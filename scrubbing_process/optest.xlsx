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x Load Raw" sheetId="1" state="visible" r:id="rId1"/>
    <sheet name="AmEx All" sheetId="2" state="visible" r:id="rId2"/>
    <sheet name="AEA_Posted" sheetId="3" state="visible" r:id="rId3"/>
    <sheet name="SBF_Posted" sheetId="4" state="visible" r:id="rId4"/>
    <sheet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 Corporate Card CBCP</t>
        </is>
      </c>
      <c r="I2" t="inlineStr">
        <is>
          <t>Airline</t>
        </is>
      </c>
      <c r="J2" t="inlineStr">
        <is>
          <t>DELTA AIR LINES</t>
        </is>
      </c>
      <c r="L2" t="n">
        <v>1035</v>
      </c>
      <c r="M2" t="inlineStr">
        <is>
          <t>VAIP</t>
        </is>
      </c>
      <c r="N2" t="inlineStr">
        <is>
          <t>Batch # 1 - $119,802.46 - test</t>
        </is>
      </c>
      <c r="O2" t="inlineStr">
        <is>
          <t>A06Y</t>
        </is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2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AMERICAN AIRLINES</t>
        </is>
      </c>
      <c r="L3" t="n">
        <v>4263</v>
      </c>
      <c r="M3" t="inlineStr">
        <is>
          <t>CONS</t>
        </is>
      </c>
      <c r="N3" t="inlineStr">
        <is>
          <t>Batch # 1 - $119,802.46 - test</t>
        </is>
      </c>
      <c r="O3" t="inlineStr">
        <is>
          <t>A07Y</t>
        </is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2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 Corporate Card CBCP</t>
        </is>
      </c>
      <c r="I4" t="inlineStr">
        <is>
          <t>Meals</t>
        </is>
      </c>
      <c r="J4" t="inlineStr">
        <is>
          <t>MILOS, INC.</t>
        </is>
      </c>
      <c r="L4" t="n">
        <v>6470</v>
      </c>
      <c r="M4" t="inlineStr">
        <is>
          <t>VAIP</t>
        </is>
      </c>
      <c r="N4" t="inlineStr">
        <is>
          <t>Batch # 1 - $119,802.46 - test</t>
        </is>
      </c>
      <c r="O4" t="inlineStr">
        <is>
          <t>A07Y</t>
        </is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2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 Corporate Card CBCP</t>
        </is>
      </c>
      <c r="I5" t="inlineStr">
        <is>
          <t>Airline</t>
        </is>
      </c>
      <c r="J5" t="inlineStr">
        <is>
          <t>United</t>
        </is>
      </c>
      <c r="L5" t="n">
        <v>6645</v>
      </c>
      <c r="M5" t="inlineStr">
        <is>
          <t>VAIP</t>
        </is>
      </c>
      <c r="N5" t="inlineStr">
        <is>
          <t>Batch # 1 - $119,802.46 - test</t>
        </is>
      </c>
      <c r="O5" t="inlineStr">
        <is>
          <t>A07Y</t>
        </is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2" t="n">
        <v>46063</v>
      </c>
      <c r="F6" t="inlineStr">
        <is>
          <t>Refund/EWR-SLC/2026 Strategy Mtg</t>
        </is>
      </c>
      <c r="G6" t="n">
        <v>-1186.84</v>
      </c>
      <c r="H6" t="inlineStr">
        <is>
          <t>American Express Corporate Card CBCP</t>
        </is>
      </c>
      <c r="I6" t="inlineStr">
        <is>
          <t>Airline</t>
        </is>
      </c>
      <c r="J6" t="inlineStr">
        <is>
          <t>UNITED AIRLINES ARC</t>
        </is>
      </c>
      <c r="L6" t="n">
        <v>1035</v>
      </c>
      <c r="M6" t="inlineStr">
        <is>
          <t>VAIP</t>
        </is>
      </c>
      <c r="N6" t="inlineStr">
        <is>
          <t>Batch # 1 - $119,802.46 - test</t>
        </is>
      </c>
      <c r="O6" t="inlineStr">
        <is>
          <t>A07Y</t>
        </is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E7" s="2" t="n">
        <v>46063</v>
      </c>
      <c r="F7" t="inlineStr">
        <is>
          <t>Refund/SLC-JFK/2026</t>
        </is>
      </c>
      <c r="G7" t="n">
        <v>-853.49</v>
      </c>
      <c r="H7" t="inlineStr">
        <is>
          <t>American Express Corporate Card CBCP</t>
        </is>
      </c>
      <c r="I7" t="inlineStr">
        <is>
          <t>Airline</t>
        </is>
      </c>
      <c r="J7" t="inlineStr">
        <is>
          <t>DELTA AIR LINES</t>
        </is>
      </c>
      <c r="L7" t="n">
        <v>1035</v>
      </c>
      <c r="M7" t="inlineStr">
        <is>
          <t>VAIP</t>
        </is>
      </c>
      <c r="N7" t="inlineStr">
        <is>
          <t>Batch # 1 - $119,802.46 - test</t>
        </is>
      </c>
      <c r="O7" t="inlineStr">
        <is>
          <t>A07Y</t>
        </is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E8" s="2" t="n">
        <v>46085</v>
      </c>
      <c r="F8" t="inlineStr">
        <is>
          <t>Tkt Fee/RT:LGA-ORD/Mgmt Mtg/Tangent</t>
        </is>
      </c>
      <c r="G8" t="n">
        <v>30</v>
      </c>
      <c r="H8" t="inlineStr">
        <is>
          <t>American Express Corporate Card CBCP</t>
        </is>
      </c>
      <c r="I8" t="inlineStr">
        <is>
          <t>Other Travel</t>
        </is>
      </c>
      <c r="J8" t="inlineStr">
        <is>
          <t>TRAVEL AGENCY SERVICES</t>
        </is>
      </c>
      <c r="L8" t="n">
        <v>6645</v>
      </c>
      <c r="M8" t="inlineStr">
        <is>
          <t>VAIP</t>
        </is>
      </c>
      <c r="N8" t="inlineStr">
        <is>
          <t>Batch # 1 - $119,802.46 - test</t>
        </is>
      </c>
      <c r="O8" t="inlineStr">
        <is>
          <t>A07Y</t>
        </is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E9" s="2" t="n">
        <v>46057</v>
      </c>
      <c r="F9" t="inlineStr">
        <is>
          <t>Travel Meal/BOD Mtg/Pave America</t>
        </is>
      </c>
      <c r="G9" t="n">
        <v>8.58</v>
      </c>
      <c r="H9" t="inlineStr">
        <is>
          <t>American Express Corporate Card CBCP</t>
        </is>
      </c>
      <c r="I9" t="inlineStr">
        <is>
          <t>Meals</t>
        </is>
      </c>
      <c r="J9" t="inlineStr">
        <is>
          <t>THE UMSTEAD HTL &amp; SPA</t>
        </is>
      </c>
      <c r="L9" t="n">
        <v>4263</v>
      </c>
      <c r="M9" t="inlineStr">
        <is>
          <t>CONS</t>
        </is>
      </c>
      <c r="N9" t="inlineStr">
        <is>
          <t>Batch # 1 - $119,802.46 - test</t>
        </is>
      </c>
      <c r="O9" t="inlineStr">
        <is>
          <t>A07Y</t>
        </is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2" t="n">
        <v>46057</v>
      </c>
      <c r="F10" t="inlineStr">
        <is>
          <t>Travel Meal/BOD Mtg/Numotion</t>
        </is>
      </c>
      <c r="G10" t="n">
        <v>64.67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THE UMSTEAD HTL &amp; SPA</t>
        </is>
      </c>
      <c r="L10" t="n">
        <v>6409</v>
      </c>
      <c r="M10" t="inlineStr">
        <is>
          <t>VAIP</t>
        </is>
      </c>
      <c r="N10" t="inlineStr">
        <is>
          <t>Batch # 1 - $119,802.46 - test</t>
        </is>
      </c>
      <c r="O10" t="inlineStr">
        <is>
          <t>A07Y</t>
        </is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2" t="n">
        <v>46057</v>
      </c>
      <c r="F11" t="inlineStr">
        <is>
          <t>Travel Meal/BOD Mtg/Numotion</t>
        </is>
      </c>
      <c r="G11" t="n">
        <v>59.38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THE UMSTEAD HTL &amp; SPA</t>
        </is>
      </c>
      <c r="L11" t="n">
        <v>6409</v>
      </c>
      <c r="M11" t="inlineStr">
        <is>
          <t>VAIP</t>
        </is>
      </c>
      <c r="N11" t="inlineStr">
        <is>
          <t>Batch # 1 - $119,802.46 - test</t>
        </is>
      </c>
      <c r="O11" t="inlineStr">
        <is>
          <t>A07Y</t>
        </is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2" t="n">
        <v>46057</v>
      </c>
      <c r="F12" t="inlineStr">
        <is>
          <t>Lodging/BOD Mtg/BOD Mtg/Numotion</t>
        </is>
      </c>
      <c r="G12" t="n">
        <v>583.16</v>
      </c>
      <c r="H12" t="inlineStr">
        <is>
          <t>American Express Corporate Card CBCP</t>
        </is>
      </c>
      <c r="I12" t="inlineStr">
        <is>
          <t>Lodging</t>
        </is>
      </c>
      <c r="J12" t="inlineStr">
        <is>
          <t>THE UMSTEAD HTL &amp; SPA</t>
        </is>
      </c>
      <c r="L12" t="n">
        <v>6409</v>
      </c>
      <c r="M12" t="inlineStr">
        <is>
          <t>VAIP</t>
        </is>
      </c>
      <c r="N12" t="inlineStr">
        <is>
          <t>Batch # 1 - $119,802.46 - test</t>
        </is>
      </c>
      <c r="O12" t="inlineStr">
        <is>
          <t>A07Y</t>
        </is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2" t="n">
        <v>46057</v>
      </c>
      <c r="F13" t="inlineStr">
        <is>
          <t>Lodging/BOD Mtg/Pave America</t>
        </is>
      </c>
      <c r="G13" t="n">
        <v>1749.45</v>
      </c>
      <c r="H13" t="inlineStr">
        <is>
          <t>American Express Corporate Card CBCP</t>
        </is>
      </c>
      <c r="I13" t="inlineStr">
        <is>
          <t>Lodging</t>
        </is>
      </c>
      <c r="J13" t="inlineStr">
        <is>
          <t>THE UMSTEAD HTL &amp; SPA</t>
        </is>
      </c>
      <c r="L13" t="n">
        <v>4263</v>
      </c>
      <c r="M13" t="inlineStr">
        <is>
          <t>CONS</t>
        </is>
      </c>
      <c r="N13" t="inlineStr">
        <is>
          <t>Batch # 1 - $119,802.46 - test</t>
        </is>
      </c>
      <c r="O13" t="inlineStr">
        <is>
          <t>A07Y</t>
        </is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E14" s="2" t="n">
        <v>46058</v>
      </c>
      <c r="F14" t="inlineStr">
        <is>
          <t>NYC-Home/BOD Dinner/HUGE</t>
        </is>
      </c>
      <c r="G14" t="n">
        <v>214.12</v>
      </c>
      <c r="H14" t="inlineStr">
        <is>
          <t>American Express Corporate Card CBCP</t>
        </is>
      </c>
      <c r="I14" t="inlineStr">
        <is>
          <t>Car Service</t>
        </is>
      </c>
      <c r="J14" t="inlineStr">
        <is>
          <t>SUMMIT EXPRESS NJ</t>
        </is>
      </c>
      <c r="L14" t="n">
        <v>6454</v>
      </c>
      <c r="M14" t="inlineStr">
        <is>
          <t>VAIP</t>
        </is>
      </c>
      <c r="N14" t="inlineStr">
        <is>
          <t>Batch # 1 - $119,802.46 - test</t>
        </is>
      </c>
      <c r="O14" t="inlineStr">
        <is>
          <t>A080</t>
        </is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E15" s="2" t="n">
        <v>46077</v>
      </c>
      <c r="F15" t="inlineStr">
        <is>
          <t>Hotel-lunch/Strategy</t>
        </is>
      </c>
      <c r="G15" t="n">
        <v>41.97</v>
      </c>
      <c r="H15" t="inlineStr">
        <is>
          <t>American Express Corporate Card CBCP</t>
        </is>
      </c>
      <c r="I15" t="inlineStr">
        <is>
          <t>Car Service</t>
        </is>
      </c>
      <c r="J15" t="inlineStr">
        <is>
          <t>UBER</t>
        </is>
      </c>
      <c r="L15" t="n">
        <v>1035</v>
      </c>
      <c r="M15" t="inlineStr">
        <is>
          <t>VAIP</t>
        </is>
      </c>
      <c r="N15" t="inlineStr">
        <is>
          <t>Batch # 1 - $119,802.46 - test</t>
        </is>
      </c>
      <c r="O15" t="inlineStr">
        <is>
          <t>A080</t>
        </is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E16" s="2" t="n">
        <v>46077</v>
      </c>
      <c r="F16" t="inlineStr">
        <is>
          <t>Lunch/Strategy</t>
        </is>
      </c>
      <c r="G16" t="n">
        <v>828.28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501 ON MAIN</t>
        </is>
      </c>
      <c r="L16" t="n">
        <v>1035</v>
      </c>
      <c r="M16" t="inlineStr">
        <is>
          <t>VAIP</t>
        </is>
      </c>
      <c r="N16" t="inlineStr">
        <is>
          <t>Batch # 1 - $119,802.46 - test</t>
        </is>
      </c>
      <c r="O16" t="inlineStr">
        <is>
          <t>A080</t>
        </is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E17" s="2" t="n">
        <v>46066</v>
      </c>
      <c r="F17" t="inlineStr">
        <is>
          <t>NYC-Home/Management Dinner/NES</t>
        </is>
      </c>
      <c r="G17" t="n">
        <v>214.12</v>
      </c>
      <c r="H17" t="inlineStr">
        <is>
          <t>American Express Corporate Card CBCP</t>
        </is>
      </c>
      <c r="I17" t="inlineStr">
        <is>
          <t>Car Service</t>
        </is>
      </c>
      <c r="J17" t="inlineStr">
        <is>
          <t>SUMMIT EXPRESS NJ</t>
        </is>
      </c>
      <c r="L17" t="n">
        <v>6961</v>
      </c>
      <c r="M17" t="inlineStr">
        <is>
          <t>VAIP</t>
        </is>
      </c>
      <c r="N17" t="inlineStr">
        <is>
          <t>Batch # 1 - $119,802.46 - test</t>
        </is>
      </c>
      <c r="O17" t="inlineStr">
        <is>
          <t>A080</t>
        </is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E18" s="2" t="n">
        <v>46065</v>
      </c>
      <c r="F18" t="inlineStr">
        <is>
          <t>NYC-Home/BOD Dinner/Redwood</t>
        </is>
      </c>
      <c r="G18" t="n">
        <v>214.12</v>
      </c>
      <c r="H18" t="inlineStr">
        <is>
          <t>American Express Corporate Card CBCP</t>
        </is>
      </c>
      <c r="I18" t="inlineStr">
        <is>
          <t>Car Service</t>
        </is>
      </c>
      <c r="J18" t="inlineStr">
        <is>
          <t>SUMMIT EXPRESS NJ</t>
        </is>
      </c>
      <c r="L18" t="n">
        <v>6456</v>
      </c>
      <c r="M18" t="inlineStr">
        <is>
          <t>VAIP</t>
        </is>
      </c>
      <c r="N18" t="inlineStr">
        <is>
          <t>Batch # 1 - $119,802.46 - test</t>
        </is>
      </c>
      <c r="O18" t="inlineStr">
        <is>
          <t>A080</t>
        </is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E19" s="2" t="n">
        <v>46065</v>
      </c>
      <c r="F19" t="inlineStr">
        <is>
          <t>Bus Dinner/Management Team/NES</t>
        </is>
      </c>
      <c r="G19" t="n">
        <v>640.41</v>
      </c>
      <c r="H19" t="inlineStr">
        <is>
          <t>American Express Corporate Card CBCP</t>
        </is>
      </c>
      <c r="I19" t="inlineStr">
        <is>
          <t>Meals</t>
        </is>
      </c>
      <c r="J19" t="inlineStr">
        <is>
          <t>IL GATTOPARDO</t>
        </is>
      </c>
      <c r="L19" t="n">
        <v>6961</v>
      </c>
      <c r="M19" t="inlineStr">
        <is>
          <t>VAIP</t>
        </is>
      </c>
      <c r="N19" t="inlineStr">
        <is>
          <t>Batch # 1 - $119,802.46 - test</t>
        </is>
      </c>
      <c r="O19" t="inlineStr">
        <is>
          <t>A080</t>
        </is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E20" s="2" t="n">
        <v>46079</v>
      </c>
      <c r="F20" t="inlineStr">
        <is>
          <t>ASE-DFW-LGA/Strategy</t>
        </is>
      </c>
      <c r="G20" t="n">
        <v>0.02</v>
      </c>
      <c r="H20" t="inlineStr">
        <is>
          <t>American Express Corporate Card CBCP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 Airlines</t>
        </is>
      </c>
      <c r="L20" t="n">
        <v>1035</v>
      </c>
      <c r="M20" t="inlineStr">
        <is>
          <t>VAIP</t>
        </is>
      </c>
      <c r="N20" t="inlineStr">
        <is>
          <t>Batch # 1 - $119,802.46 - test</t>
        </is>
      </c>
      <c r="O20" t="inlineStr">
        <is>
          <t>A08A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  <c r="P1" s="1" t="n"/>
      <c r="Q1" s="1" t="inlineStr">
        <is>
          <t>LEN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 Air Lines</t>
        </is>
      </c>
      <c r="L2" t="n">
        <v>1035</v>
      </c>
      <c r="M2" t="inlineStr">
        <is>
          <t>VAIP</t>
        </is>
      </c>
      <c r="N2" t="inlineStr">
        <is>
          <t>Batch # 1 - $119,802.46 - test</t>
        </is>
      </c>
      <c r="O2" t="inlineStr">
        <is>
          <t>A06Y</t>
        </is>
      </c>
      <c r="Q2">
        <f>LEN(F2&amp;K2)+12</f>
        <v/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2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 Airlines</t>
        </is>
      </c>
      <c r="L3" t="n">
        <v>4263</v>
      </c>
      <c r="M3" t="inlineStr">
        <is>
          <t>CONS</t>
        </is>
      </c>
      <c r="N3" t="inlineStr">
        <is>
          <t>Batch # 1 - $119,802.46 - test</t>
        </is>
      </c>
      <c r="O3" t="inlineStr">
        <is>
          <t>A07Y</t>
        </is>
      </c>
      <c r="Q3">
        <f>LEN(F3&amp;K3)+12</f>
        <v/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2" t="n">
        <v>46079</v>
      </c>
      <c r="F4" t="inlineStr">
        <is>
          <t>Deposit/BOD Dinner/Nations Roof</t>
        </is>
      </c>
      <c r="G4" t="n">
        <v>1375</v>
      </c>
      <c r="H4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Milos, Inc.</t>
        </is>
      </c>
      <c r="L4" t="n">
        <v>6470</v>
      </c>
      <c r="M4" t="inlineStr">
        <is>
          <t>VAIP</t>
        </is>
      </c>
      <c r="N4" t="inlineStr">
        <is>
          <t>Batch # 1 - $119,802.46 - test</t>
        </is>
      </c>
      <c r="O4" t="inlineStr">
        <is>
          <t>A07Y</t>
        </is>
      </c>
      <c r="Q4">
        <f>LEN(F4&amp;K4)+12</f>
        <v/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2" t="n">
        <v>46085</v>
      </c>
      <c r="F5" t="inlineStr">
        <is>
          <t>RT:LGA-ORD/Mgmt Mtg/Tangent</t>
        </is>
      </c>
      <c r="G5" t="n">
        <v>1056.52</v>
      </c>
      <c r="H5" t="inlineStr">
        <is>
          <t>American Express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n">
        <v>6645</v>
      </c>
      <c r="M5" t="inlineStr">
        <is>
          <t>VAIP</t>
        </is>
      </c>
      <c r="N5" t="inlineStr">
        <is>
          <t>Batch # 1 - $119,802.46 - test</t>
        </is>
      </c>
      <c r="O5" t="inlineStr">
        <is>
          <t>A07Y</t>
        </is>
      </c>
      <c r="Q5">
        <f>LEN(F5&amp;K5)+12</f>
        <v/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2" t="n">
        <v>46063</v>
      </c>
      <c r="F6" t="inlineStr">
        <is>
          <t>Refund/EWR-SLC/2026 Strategy Mtg</t>
        </is>
      </c>
      <c r="G6" t="n">
        <v>-1186.84</v>
      </c>
      <c r="H6" t="inlineStr">
        <is>
          <t>American Express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 Airlines Arc</t>
        </is>
      </c>
      <c r="L6" t="n">
        <v>1035</v>
      </c>
      <c r="M6" t="inlineStr">
        <is>
          <t>VAIP</t>
        </is>
      </c>
      <c r="N6" t="inlineStr">
        <is>
          <t>Batch # 1 - $119,802.46 - test</t>
        </is>
      </c>
      <c r="O6" t="inlineStr">
        <is>
          <t>A07Y</t>
        </is>
      </c>
      <c r="Q6">
        <f>LEN(F6&amp;K6)+12</f>
        <v/>
      </c>
    </row>
    <row r="7">
      <c r="A7" t="inlineStr">
        <is>
          <t>James</t>
        </is>
      </c>
      <c r="B7" t="inlineStr">
        <is>
          <t>Louis</t>
        </is>
      </c>
      <c r="C7" t="inlineStr">
        <is>
          <t>Sharpe</t>
        </is>
      </c>
      <c r="E7" s="2" t="n">
        <v>46063</v>
      </c>
      <c r="F7" t="inlineStr">
        <is>
          <t>Refund/SLC-JFK/2026</t>
        </is>
      </c>
      <c r="G7" t="n">
        <v>-853.49</v>
      </c>
      <c r="H7" t="inlineStr">
        <is>
          <t>American Express</t>
        </is>
      </c>
      <c r="I7" t="inlineStr">
        <is>
          <t>Airline</t>
        </is>
      </c>
      <c r="J7" t="inlineStr">
        <is>
          <t>DELTA AIR LINES</t>
        </is>
      </c>
      <c r="K7" t="inlineStr">
        <is>
          <t>Delta Air Lines</t>
        </is>
      </c>
      <c r="L7" t="n">
        <v>1035</v>
      </c>
      <c r="M7" t="inlineStr">
        <is>
          <t>VAIP</t>
        </is>
      </c>
      <c r="N7" t="inlineStr">
        <is>
          <t>Batch # 1 - $119,802.46 - test</t>
        </is>
      </c>
      <c r="O7" t="inlineStr">
        <is>
          <t>A07Y</t>
        </is>
      </c>
      <c r="Q7">
        <f>LEN(F7&amp;K7)+12</f>
        <v/>
      </c>
    </row>
    <row r="8">
      <c r="A8" t="inlineStr">
        <is>
          <t>James</t>
        </is>
      </c>
      <c r="B8" t="inlineStr">
        <is>
          <t>Louis</t>
        </is>
      </c>
      <c r="C8" t="inlineStr">
        <is>
          <t>Sharpe</t>
        </is>
      </c>
      <c r="E8" s="2" t="n">
        <v>46085</v>
      </c>
      <c r="F8" t="inlineStr">
        <is>
          <t>Tkt Fee/RT:LGA-ORD/Mgmt Mtg/Tangent</t>
        </is>
      </c>
      <c r="G8" t="n">
        <v>30</v>
      </c>
      <c r="H8" t="inlineStr">
        <is>
          <t>American Express</t>
        </is>
      </c>
      <c r="I8" t="inlineStr">
        <is>
          <t>Airline</t>
        </is>
      </c>
      <c r="J8" t="inlineStr">
        <is>
          <t>TRAVEL AGENCY SERVICES</t>
        </is>
      </c>
      <c r="K8" t="inlineStr">
        <is>
          <t>Travel Agency Services</t>
        </is>
      </c>
      <c r="L8" t="n">
        <v>6645</v>
      </c>
      <c r="M8" t="inlineStr">
        <is>
          <t>VAIP</t>
        </is>
      </c>
      <c r="N8" t="inlineStr">
        <is>
          <t>Batch # 1 - $119,802.46 - test</t>
        </is>
      </c>
      <c r="O8" t="inlineStr">
        <is>
          <t>A07Y</t>
        </is>
      </c>
      <c r="Q8">
        <f>LEN(F8&amp;K8)+12</f>
        <v/>
      </c>
    </row>
    <row r="9">
      <c r="A9" t="inlineStr">
        <is>
          <t>James</t>
        </is>
      </c>
      <c r="B9" t="inlineStr">
        <is>
          <t>Louis</t>
        </is>
      </c>
      <c r="C9" t="inlineStr">
        <is>
          <t>Sharpe</t>
        </is>
      </c>
      <c r="E9" s="2" t="n">
        <v>46057</v>
      </c>
      <c r="F9" t="inlineStr">
        <is>
          <t>Travel Meal/BOD Mtg/Pave America</t>
        </is>
      </c>
      <c r="G9" t="n">
        <v>8.58</v>
      </c>
      <c r="H9" t="inlineStr">
        <is>
          <t>American Express</t>
        </is>
      </c>
      <c r="I9" t="inlineStr">
        <is>
          <t>Meals</t>
        </is>
      </c>
      <c r="J9" t="inlineStr">
        <is>
          <t>THE UMSTEAD HTL &amp; SPA</t>
        </is>
      </c>
      <c r="K9" t="inlineStr">
        <is>
          <t>The Umstead Htl &amp; Spa</t>
        </is>
      </c>
      <c r="L9" t="n">
        <v>4263</v>
      </c>
      <c r="M9" t="inlineStr">
        <is>
          <t>CONS</t>
        </is>
      </c>
      <c r="N9" t="inlineStr">
        <is>
          <t>Batch # 1 - $119,802.46 - test</t>
        </is>
      </c>
      <c r="O9" t="inlineStr">
        <is>
          <t>A07Y</t>
        </is>
      </c>
      <c r="Q9">
        <f>LEN(F9&amp;K9)+12</f>
        <v/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2" t="n">
        <v>46057</v>
      </c>
      <c r="F10" t="inlineStr">
        <is>
          <t>Travel Meal/BOD Mtg/Numotion</t>
        </is>
      </c>
      <c r="G10" t="n">
        <v>64.67</v>
      </c>
      <c r="H10" t="inlineStr">
        <is>
          <t>American Express</t>
        </is>
      </c>
      <c r="I10" t="inlineStr">
        <is>
          <t>Meals</t>
        </is>
      </c>
      <c r="J10" t="inlineStr">
        <is>
          <t>THE UMSTEAD HTL &amp; SPA</t>
        </is>
      </c>
      <c r="K10" t="inlineStr">
        <is>
          <t>The Umstead Htl &amp; Spa</t>
        </is>
      </c>
      <c r="L10" t="n">
        <v>6409</v>
      </c>
      <c r="M10" t="inlineStr">
        <is>
          <t>VAIP</t>
        </is>
      </c>
      <c r="N10" t="inlineStr">
        <is>
          <t>Batch # 1 - $119,802.46 - test</t>
        </is>
      </c>
      <c r="O10" t="inlineStr">
        <is>
          <t>A07Y</t>
        </is>
      </c>
      <c r="Q10">
        <f>LEN(F10&amp;K10)+12</f>
        <v/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2" t="n">
        <v>46057</v>
      </c>
      <c r="F11" t="inlineStr">
        <is>
          <t>Travel Meal/BOD Mtg/Numotion</t>
        </is>
      </c>
      <c r="G11" t="n">
        <v>59.38</v>
      </c>
      <c r="H11" t="inlineStr">
        <is>
          <t>American Express</t>
        </is>
      </c>
      <c r="I11" t="inlineStr">
        <is>
          <t>Meals</t>
        </is>
      </c>
      <c r="J11" t="inlineStr">
        <is>
          <t>THE UMSTEAD HTL &amp; SPA</t>
        </is>
      </c>
      <c r="K11" t="inlineStr">
        <is>
          <t>The Umstead Htl &amp; Spa</t>
        </is>
      </c>
      <c r="L11" t="n">
        <v>6409</v>
      </c>
      <c r="M11" t="inlineStr">
        <is>
          <t>VAIP</t>
        </is>
      </c>
      <c r="N11" t="inlineStr">
        <is>
          <t>Batch # 1 - $119,802.46 - test</t>
        </is>
      </c>
      <c r="O11" t="inlineStr">
        <is>
          <t>A07Y</t>
        </is>
      </c>
      <c r="Q11">
        <f>LEN(F11&amp;K11)+12</f>
        <v/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2" t="n">
        <v>46057</v>
      </c>
      <c r="F12" t="inlineStr">
        <is>
          <t>Lodging/BOD Mtg/BOD Mtg/Numotion</t>
        </is>
      </c>
      <c r="G12" t="n">
        <v>583.16</v>
      </c>
      <c r="H12" t="inlineStr">
        <is>
          <t>American Express</t>
        </is>
      </c>
      <c r="I12" t="inlineStr">
        <is>
          <t>Lodging</t>
        </is>
      </c>
      <c r="J12" t="inlineStr">
        <is>
          <t>THE UMSTEAD HTL &amp; SPA</t>
        </is>
      </c>
      <c r="K12" t="inlineStr">
        <is>
          <t>The Umstead Htl &amp; Spa</t>
        </is>
      </c>
      <c r="L12" t="n">
        <v>6409</v>
      </c>
      <c r="M12" t="inlineStr">
        <is>
          <t>VAIP</t>
        </is>
      </c>
      <c r="N12" t="inlineStr">
        <is>
          <t>Batch # 1 - $119,802.46 - test</t>
        </is>
      </c>
      <c r="O12" t="inlineStr">
        <is>
          <t>A07Y</t>
        </is>
      </c>
      <c r="Q12">
        <f>LEN(F12&amp;K12)+12</f>
        <v/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2" t="n">
        <v>46057</v>
      </c>
      <c r="F13" t="inlineStr">
        <is>
          <t>Lodging/BOD Mtg/Pave America</t>
        </is>
      </c>
      <c r="G13" t="n">
        <v>1749.45</v>
      </c>
      <c r="H13" t="inlineStr">
        <is>
          <t>American Express</t>
        </is>
      </c>
      <c r="I13" t="inlineStr">
        <is>
          <t>Lodging</t>
        </is>
      </c>
      <c r="J13" t="inlineStr">
        <is>
          <t>THE UMSTEAD HTL &amp; SPA</t>
        </is>
      </c>
      <c r="K13" t="inlineStr">
        <is>
          <t>The Umstead Htl &amp; Spa</t>
        </is>
      </c>
      <c r="L13" t="n">
        <v>4263</v>
      </c>
      <c r="M13" t="inlineStr">
        <is>
          <t>CONS</t>
        </is>
      </c>
      <c r="N13" t="inlineStr">
        <is>
          <t>Batch # 1 - $119,802.46 - test</t>
        </is>
      </c>
      <c r="O13" t="inlineStr">
        <is>
          <t>A07Y</t>
        </is>
      </c>
      <c r="Q13">
        <f>LEN(F13&amp;K13)+12</f>
        <v/>
      </c>
    </row>
    <row r="14">
      <c r="A14" t="inlineStr">
        <is>
          <t>Thomas</t>
        </is>
      </c>
      <c r="B14" t="inlineStr">
        <is>
          <t>Joseph</t>
        </is>
      </c>
      <c r="C14" t="inlineStr">
        <is>
          <t>Pryma</t>
        </is>
      </c>
      <c r="E14" s="2" t="n">
        <v>46058</v>
      </c>
      <c r="F14" t="inlineStr">
        <is>
          <t>NYC-Home/BOD Dinner/HUGE</t>
        </is>
      </c>
      <c r="G14" t="n">
        <v>214.12</v>
      </c>
      <c r="H14" t="inlineStr">
        <is>
          <t>American Express</t>
        </is>
      </c>
      <c r="I14" t="inlineStr">
        <is>
          <t>Car Service</t>
        </is>
      </c>
      <c r="J14" t="inlineStr">
        <is>
          <t>SUMMIT EXPRESS NJ</t>
        </is>
      </c>
      <c r="K14" t="inlineStr">
        <is>
          <t>Summit Express Nj</t>
        </is>
      </c>
      <c r="L14" t="n">
        <v>6454</v>
      </c>
      <c r="M14" t="inlineStr">
        <is>
          <t>VAIP</t>
        </is>
      </c>
      <c r="N14" t="inlineStr">
        <is>
          <t>Batch # 1 - $119,802.46 - test</t>
        </is>
      </c>
      <c r="O14" t="inlineStr">
        <is>
          <t>A080</t>
        </is>
      </c>
      <c r="Q14">
        <f>LEN(F14&amp;K14)+12</f>
        <v/>
      </c>
    </row>
    <row r="15">
      <c r="A15" t="inlineStr">
        <is>
          <t>Thomas</t>
        </is>
      </c>
      <c r="B15" t="inlineStr">
        <is>
          <t>Joseph</t>
        </is>
      </c>
      <c r="C15" t="inlineStr">
        <is>
          <t>Pryma</t>
        </is>
      </c>
      <c r="E15" s="2" t="n">
        <v>46077</v>
      </c>
      <c r="F15" t="inlineStr">
        <is>
          <t>Hotel-lunch/Strategy</t>
        </is>
      </c>
      <c r="G15" t="n">
        <v>41.97</v>
      </c>
      <c r="H15" t="inlineStr">
        <is>
          <t>American Express</t>
        </is>
      </c>
      <c r="I15" t="inlineStr">
        <is>
          <t>Car Service</t>
        </is>
      </c>
      <c r="J15" t="inlineStr">
        <is>
          <t>UBER</t>
        </is>
      </c>
      <c r="K15" t="inlineStr">
        <is>
          <t>Uber</t>
        </is>
      </c>
      <c r="L15" t="n">
        <v>1035</v>
      </c>
      <c r="M15" t="inlineStr">
        <is>
          <t>VAIP</t>
        </is>
      </c>
      <c r="N15" t="inlineStr">
        <is>
          <t>Batch # 1 - $119,802.46 - test</t>
        </is>
      </c>
      <c r="O15" t="inlineStr">
        <is>
          <t>A080</t>
        </is>
      </c>
      <c r="Q15">
        <f>LEN(F15&amp;K15)+12</f>
        <v/>
      </c>
    </row>
    <row r="16">
      <c r="A16" t="inlineStr">
        <is>
          <t>Thomas</t>
        </is>
      </c>
      <c r="B16" t="inlineStr">
        <is>
          <t>Joseph</t>
        </is>
      </c>
      <c r="C16" t="inlineStr">
        <is>
          <t>Pryma</t>
        </is>
      </c>
      <c r="E16" s="2" t="n">
        <v>46077</v>
      </c>
      <c r="F16" t="inlineStr">
        <is>
          <t>Lunch/Strategy</t>
        </is>
      </c>
      <c r="G16" t="n">
        <v>828.28</v>
      </c>
      <c r="H16" t="inlineStr">
        <is>
          <t>American Express</t>
        </is>
      </c>
      <c r="I16" t="inlineStr">
        <is>
          <t>Meals</t>
        </is>
      </c>
      <c r="J16" t="inlineStr">
        <is>
          <t>501 ON MAIN</t>
        </is>
      </c>
      <c r="K16" t="inlineStr">
        <is>
          <t>501 On Main</t>
        </is>
      </c>
      <c r="L16" t="n">
        <v>1035</v>
      </c>
      <c r="M16" t="inlineStr">
        <is>
          <t>VAIP</t>
        </is>
      </c>
      <c r="N16" t="inlineStr">
        <is>
          <t>Batch # 1 - $119,802.46 - test</t>
        </is>
      </c>
      <c r="O16" t="inlineStr">
        <is>
          <t>A080</t>
        </is>
      </c>
      <c r="Q16">
        <f>LEN(F16&amp;K16)+12</f>
        <v/>
      </c>
    </row>
    <row r="17">
      <c r="A17" t="inlineStr">
        <is>
          <t>Thomas</t>
        </is>
      </c>
      <c r="B17" t="inlineStr">
        <is>
          <t>Joseph</t>
        </is>
      </c>
      <c r="C17" t="inlineStr">
        <is>
          <t>Pryma</t>
        </is>
      </c>
      <c r="E17" s="2" t="n">
        <v>46066</v>
      </c>
      <c r="F17" t="inlineStr">
        <is>
          <t>NYC-Home/Management Dinner/NES</t>
        </is>
      </c>
      <c r="G17" t="n">
        <v>214.12</v>
      </c>
      <c r="H17" t="inlineStr">
        <is>
          <t>American Express</t>
        </is>
      </c>
      <c r="I17" t="inlineStr">
        <is>
          <t>Car Service</t>
        </is>
      </c>
      <c r="J17" t="inlineStr">
        <is>
          <t>SUMMIT EXPRESS NJ</t>
        </is>
      </c>
      <c r="K17" t="inlineStr">
        <is>
          <t>Summit Express Nj</t>
        </is>
      </c>
      <c r="L17" t="n">
        <v>6961</v>
      </c>
      <c r="M17" t="inlineStr">
        <is>
          <t>VAIP</t>
        </is>
      </c>
      <c r="N17" t="inlineStr">
        <is>
          <t>Batch # 1 - $119,802.46 - test</t>
        </is>
      </c>
      <c r="O17" t="inlineStr">
        <is>
          <t>A080</t>
        </is>
      </c>
      <c r="Q17">
        <f>LEN(F17&amp;K17)+12</f>
        <v/>
      </c>
    </row>
    <row r="18">
      <c r="A18" t="inlineStr">
        <is>
          <t>Thomas</t>
        </is>
      </c>
      <c r="B18" t="inlineStr">
        <is>
          <t>Joseph</t>
        </is>
      </c>
      <c r="C18" t="inlineStr">
        <is>
          <t>Pryma</t>
        </is>
      </c>
      <c r="E18" s="2" t="n">
        <v>46065</v>
      </c>
      <c r="F18" t="inlineStr">
        <is>
          <t>NYC-Home/BOD Dinner/Redwood</t>
        </is>
      </c>
      <c r="G18" t="n">
        <v>214.12</v>
      </c>
      <c r="H18" t="inlineStr">
        <is>
          <t>American Express</t>
        </is>
      </c>
      <c r="I18" t="inlineStr">
        <is>
          <t>Car Service</t>
        </is>
      </c>
      <c r="J18" t="inlineStr">
        <is>
          <t>SUMMIT EXPRESS NJ</t>
        </is>
      </c>
      <c r="K18" t="inlineStr">
        <is>
          <t>Summit Express Nj</t>
        </is>
      </c>
      <c r="L18" t="n">
        <v>6456</v>
      </c>
      <c r="M18" t="inlineStr">
        <is>
          <t>VAIP</t>
        </is>
      </c>
      <c r="N18" t="inlineStr">
        <is>
          <t>Batch # 1 - $119,802.46 - test</t>
        </is>
      </c>
      <c r="O18" t="inlineStr">
        <is>
          <t>A080</t>
        </is>
      </c>
      <c r="Q18">
        <f>LEN(F18&amp;K18)+12</f>
        <v/>
      </c>
    </row>
    <row r="19">
      <c r="A19" t="inlineStr">
        <is>
          <t>Thomas</t>
        </is>
      </c>
      <c r="B19" t="inlineStr">
        <is>
          <t>Joseph</t>
        </is>
      </c>
      <c r="C19" t="inlineStr">
        <is>
          <t>Pryma</t>
        </is>
      </c>
      <c r="E19" s="2" t="n">
        <v>46065</v>
      </c>
      <c r="F19" t="inlineStr">
        <is>
          <t>Bus Dinner/Management Team/NES</t>
        </is>
      </c>
      <c r="G19" t="n">
        <v>640.41</v>
      </c>
      <c r="H19" t="inlineStr">
        <is>
          <t>American Express</t>
        </is>
      </c>
      <c r="I19" t="inlineStr">
        <is>
          <t>Meals</t>
        </is>
      </c>
      <c r="J19" t="inlineStr">
        <is>
          <t>IL GATTOPARDO</t>
        </is>
      </c>
      <c r="K19" t="inlineStr">
        <is>
          <t>Il Gattopardo</t>
        </is>
      </c>
      <c r="L19" t="n">
        <v>6961</v>
      </c>
      <c r="M19" t="inlineStr">
        <is>
          <t>VAIP</t>
        </is>
      </c>
      <c r="N19" t="inlineStr">
        <is>
          <t>Batch # 1 - $119,802.46 - test</t>
        </is>
      </c>
      <c r="O19" t="inlineStr">
        <is>
          <t>A080</t>
        </is>
      </c>
      <c r="Q19">
        <f>LEN(F19&amp;K19)+12</f>
        <v/>
      </c>
    </row>
    <row r="20">
      <c r="A20" t="inlineStr">
        <is>
          <t>Jeffrey</t>
        </is>
      </c>
      <c r="B20" t="inlineStr">
        <is>
          <t>Alois</t>
        </is>
      </c>
      <c r="C20" t="inlineStr">
        <is>
          <t>Nagel</t>
        </is>
      </c>
      <c r="E20" s="2" t="n">
        <v>46079</v>
      </c>
      <c r="F20" t="inlineStr">
        <is>
          <t>ASE-DFW-LGA/Strategy</t>
        </is>
      </c>
      <c r="G20" t="n">
        <v>0.02</v>
      </c>
      <c r="H20" t="inlineStr">
        <is>
          <t>American Express</t>
        </is>
      </c>
      <c r="I20" t="inlineStr">
        <is>
          <t>Airline</t>
        </is>
      </c>
      <c r="J20" t="inlineStr">
        <is>
          <t>American Airlines</t>
        </is>
      </c>
      <c r="K20" t="inlineStr">
        <is>
          <t>American Airlines</t>
        </is>
      </c>
      <c r="L20" t="n">
        <v>1035</v>
      </c>
      <c r="M20" t="inlineStr">
        <is>
          <t>VAIP</t>
        </is>
      </c>
      <c r="N20" t="inlineStr">
        <is>
          <t>Batch # 1 - $119,802.46 - test</t>
        </is>
      </c>
      <c r="O20" t="inlineStr">
        <is>
          <t>A08A</t>
        </is>
      </c>
      <c r="Q20">
        <f>LEN(F20&amp;K20)+12</f>
        <v/>
      </c>
    </row>
    <row r="21">
      <c r="F21" s="1" t="inlineStr">
        <is>
          <t>TOTAL - AmEx All</t>
        </is>
      </c>
      <c r="G21" s="1">
        <f>SUM(G2:G20)</f>
        <v/>
      </c>
    </row>
    <row r="2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2" t="n">
        <v>46064</v>
      </c>
      <c r="F2" s="3" t="inlineStr">
        <is>
          <t>Refund/RT:JFK-SLC/Strategy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n">
        <v>1035</v>
      </c>
      <c r="L2" t="inlineStr">
        <is>
          <t>VAIP</t>
        </is>
      </c>
      <c r="M2" t="inlineStr">
        <is>
          <t>Batch # 1 - $119,802.46 - test</t>
        </is>
      </c>
      <c r="N2" t="inlineStr">
        <is>
          <t>A06Y</t>
        </is>
      </c>
      <c r="O2" t="inlineStr">
        <is>
          <t>Change G/L to 14000 at time of posting (prepaid)</t>
        </is>
      </c>
      <c r="P2">
        <f>LEN(F2&amp;J2)+12</f>
        <v/>
      </c>
    </row>
    <row r="3">
      <c r="A3" t="inlineStr">
        <is>
          <t>Jeffrey</t>
        </is>
      </c>
      <c r="B3" t="inlineStr">
        <is>
          <t>Alois</t>
        </is>
      </c>
      <c r="C3" t="inlineStr">
        <is>
          <t>Nagel</t>
        </is>
      </c>
      <c r="E3" s="2" t="n">
        <v>46079</v>
      </c>
      <c r="F3" t="inlineStr">
        <is>
          <t>ASE-DFW-LGA/Strategy</t>
        </is>
      </c>
      <c r="G3" t="n">
        <v>0.02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n">
        <v>1035</v>
      </c>
      <c r="L3" t="inlineStr">
        <is>
          <t>VAIP</t>
        </is>
      </c>
      <c r="M3" t="inlineStr">
        <is>
          <t>Batch # 1 - $119,802.46 - test</t>
        </is>
      </c>
      <c r="N3" t="inlineStr">
        <is>
          <t>A08A</t>
        </is>
      </c>
      <c r="O3" t="inlineStr">
        <is>
          <t>Change G/L to 14000 at time of posting (prepaid)</t>
        </is>
      </c>
      <c r="P3">
        <f>LEN(F3&amp;J3)+12</f>
        <v/>
      </c>
    </row>
    <row r="4">
      <c r="A4" t="inlineStr">
        <is>
          <t>Thomas</t>
        </is>
      </c>
      <c r="B4" t="inlineStr">
        <is>
          <t>Joseph</t>
        </is>
      </c>
      <c r="C4" t="inlineStr">
        <is>
          <t>Pryma</t>
        </is>
      </c>
      <c r="E4" s="2" t="n">
        <v>46058</v>
      </c>
      <c r="F4" t="inlineStr">
        <is>
          <t>NYC-Home/BOD Dinner/HUGE</t>
        </is>
      </c>
      <c r="G4" t="n">
        <v>214.12</v>
      </c>
      <c r="H4" t="inlineStr">
        <is>
          <t>American Express</t>
        </is>
      </c>
      <c r="I4" t="inlineStr">
        <is>
          <t>Car Service</t>
        </is>
      </c>
      <c r="J4" t="inlineStr">
        <is>
          <t>Summit Express Nj</t>
        </is>
      </c>
      <c r="K4" t="n">
        <v>6454</v>
      </c>
      <c r="L4" t="inlineStr">
        <is>
          <t>VAIP</t>
        </is>
      </c>
      <c r="M4" t="inlineStr">
        <is>
          <t>Batch # 1 - $119,802.46 - test</t>
        </is>
      </c>
      <c r="N4" t="inlineStr">
        <is>
          <t>A080</t>
        </is>
      </c>
      <c r="P4">
        <f>LEN(F4&amp;J4)+12</f>
        <v/>
      </c>
    </row>
    <row r="5">
      <c r="A5" t="inlineStr">
        <is>
          <t>Thomas</t>
        </is>
      </c>
      <c r="B5" t="inlineStr">
        <is>
          <t>Joseph</t>
        </is>
      </c>
      <c r="C5" t="inlineStr">
        <is>
          <t>Pryma</t>
        </is>
      </c>
      <c r="E5" s="2" t="n">
        <v>46065</v>
      </c>
      <c r="F5" t="inlineStr">
        <is>
          <t>NYC-Home/BOD Dinner/Redwood</t>
        </is>
      </c>
      <c r="G5" t="n">
        <v>214.12</v>
      </c>
      <c r="H5" t="inlineStr">
        <is>
          <t>American Express</t>
        </is>
      </c>
      <c r="I5" t="inlineStr">
        <is>
          <t>Car Service</t>
        </is>
      </c>
      <c r="J5" t="inlineStr">
        <is>
          <t>Summit Express Nj</t>
        </is>
      </c>
      <c r="K5" t="n">
        <v>6456</v>
      </c>
      <c r="L5" t="inlineStr">
        <is>
          <t>VAIP</t>
        </is>
      </c>
      <c r="M5" t="inlineStr">
        <is>
          <t>Batch # 1 - $119,802.46 - test</t>
        </is>
      </c>
      <c r="N5" t="inlineStr">
        <is>
          <t>A080</t>
        </is>
      </c>
      <c r="P5">
        <f>LEN(F5&amp;J5)+12</f>
        <v/>
      </c>
    </row>
    <row r="6">
      <c r="A6" t="inlineStr">
        <is>
          <t>Thomas</t>
        </is>
      </c>
      <c r="B6" t="inlineStr">
        <is>
          <t>Joseph</t>
        </is>
      </c>
      <c r="C6" t="inlineStr">
        <is>
          <t>Pryma</t>
        </is>
      </c>
      <c r="E6" s="2" t="n">
        <v>46065</v>
      </c>
      <c r="F6" t="inlineStr">
        <is>
          <t>Bus Dinner/Management Team/NES</t>
        </is>
      </c>
      <c r="G6" t="n">
        <v>640.41</v>
      </c>
      <c r="H6" t="inlineStr">
        <is>
          <t>American Express</t>
        </is>
      </c>
      <c r="I6" t="inlineStr">
        <is>
          <t>Meals</t>
        </is>
      </c>
      <c r="J6" t="inlineStr">
        <is>
          <t>Il Gattopardo</t>
        </is>
      </c>
      <c r="K6" t="n">
        <v>6961</v>
      </c>
      <c r="L6" t="inlineStr">
        <is>
          <t>VAIP</t>
        </is>
      </c>
      <c r="M6" t="inlineStr">
        <is>
          <t>Batch # 1 - $119,802.46 - test</t>
        </is>
      </c>
      <c r="N6" t="inlineStr">
        <is>
          <t>A080</t>
        </is>
      </c>
      <c r="P6">
        <f>LEN(F6&amp;J6)+12</f>
        <v/>
      </c>
    </row>
    <row r="7">
      <c r="A7" t="inlineStr">
        <is>
          <t>Thomas</t>
        </is>
      </c>
      <c r="B7" t="inlineStr">
        <is>
          <t>Joseph</t>
        </is>
      </c>
      <c r="C7" t="inlineStr">
        <is>
          <t>Pryma</t>
        </is>
      </c>
      <c r="E7" s="2" t="n">
        <v>46066</v>
      </c>
      <c r="F7" t="inlineStr">
        <is>
          <t>NYC-Home/Management Dinner/NES</t>
        </is>
      </c>
      <c r="G7" t="n">
        <v>214.12</v>
      </c>
      <c r="H7" t="inlineStr">
        <is>
          <t>American Express</t>
        </is>
      </c>
      <c r="I7" t="inlineStr">
        <is>
          <t>Car Service</t>
        </is>
      </c>
      <c r="J7" t="inlineStr">
        <is>
          <t>Summit Express Nj</t>
        </is>
      </c>
      <c r="K7" t="n">
        <v>6961</v>
      </c>
      <c r="L7" t="inlineStr">
        <is>
          <t>VAIP</t>
        </is>
      </c>
      <c r="M7" t="inlineStr">
        <is>
          <t>Batch # 1 - $119,802.46 - test</t>
        </is>
      </c>
      <c r="N7" t="inlineStr">
        <is>
          <t>A080</t>
        </is>
      </c>
      <c r="P7">
        <f>LEN(F7&amp;J7)+12</f>
        <v/>
      </c>
    </row>
    <row r="8">
      <c r="A8" t="inlineStr">
        <is>
          <t>Thomas</t>
        </is>
      </c>
      <c r="B8" t="inlineStr">
        <is>
          <t>Joseph</t>
        </is>
      </c>
      <c r="C8" t="inlineStr">
        <is>
          <t>Pryma</t>
        </is>
      </c>
      <c r="E8" s="2" t="n">
        <v>46077</v>
      </c>
      <c r="F8" t="inlineStr">
        <is>
          <t>Hotel-lunch/Strategy</t>
        </is>
      </c>
      <c r="G8" t="n">
        <v>41.97</v>
      </c>
      <c r="H8" t="inlineStr">
        <is>
          <t>American Express</t>
        </is>
      </c>
      <c r="I8" t="inlineStr">
        <is>
          <t>Car Service</t>
        </is>
      </c>
      <c r="J8" t="inlineStr">
        <is>
          <t>Uber</t>
        </is>
      </c>
      <c r="K8" t="n">
        <v>1035</v>
      </c>
      <c r="L8" t="inlineStr">
        <is>
          <t>VAIP</t>
        </is>
      </c>
      <c r="M8" t="inlineStr">
        <is>
          <t>Batch # 1 - $119,802.46 - test</t>
        </is>
      </c>
      <c r="N8" t="inlineStr">
        <is>
          <t>A080</t>
        </is>
      </c>
      <c r="O8" t="inlineStr">
        <is>
          <t>Change G/L to 14000 at time of posting (prepaid)</t>
        </is>
      </c>
      <c r="P8">
        <f>LEN(F8&amp;J8)+12</f>
        <v/>
      </c>
    </row>
    <row r="9">
      <c r="A9" t="inlineStr">
        <is>
          <t>Thomas</t>
        </is>
      </c>
      <c r="B9" t="inlineStr">
        <is>
          <t>Joseph</t>
        </is>
      </c>
      <c r="C9" t="inlineStr">
        <is>
          <t>Pryma</t>
        </is>
      </c>
      <c r="E9" s="2" t="n">
        <v>46077</v>
      </c>
      <c r="F9" t="inlineStr">
        <is>
          <t>Lunch/Strategy</t>
        </is>
      </c>
      <c r="G9" t="n">
        <v>828.28</v>
      </c>
      <c r="H9" t="inlineStr">
        <is>
          <t>American Express</t>
        </is>
      </c>
      <c r="I9" t="inlineStr">
        <is>
          <t>Meals</t>
        </is>
      </c>
      <c r="J9" t="inlineStr">
        <is>
          <t>501 On Main</t>
        </is>
      </c>
      <c r="K9" t="n">
        <v>1035</v>
      </c>
      <c r="L9" t="inlineStr">
        <is>
          <t>VAIP</t>
        </is>
      </c>
      <c r="M9" t="inlineStr">
        <is>
          <t>Batch # 1 - $119,802.46 - test</t>
        </is>
      </c>
      <c r="N9" t="inlineStr">
        <is>
          <t>A080</t>
        </is>
      </c>
      <c r="O9" t="inlineStr">
        <is>
          <t>Change G/L to 14000 at time of posting (prepaid)</t>
        </is>
      </c>
      <c r="P9">
        <f>LEN(F9&amp;J9)+12</f>
        <v/>
      </c>
    </row>
    <row r="10">
      <c r="A10" t="inlineStr">
        <is>
          <t>James</t>
        </is>
      </c>
      <c r="B10" t="inlineStr">
        <is>
          <t>Louis</t>
        </is>
      </c>
      <c r="C10" t="inlineStr">
        <is>
          <t>Sharpe</t>
        </is>
      </c>
      <c r="E10" s="2" t="n">
        <v>46055</v>
      </c>
      <c r="F10" t="inlineStr">
        <is>
          <t>Refund/LGA-RDU/BOD Mtg/Pave America</t>
        </is>
      </c>
      <c r="G10" t="n">
        <v>-414.1</v>
      </c>
      <c r="H10" t="inlineStr">
        <is>
          <t>American Express</t>
        </is>
      </c>
      <c r="I10" t="inlineStr">
        <is>
          <t>Airline</t>
        </is>
      </c>
      <c r="J10" t="inlineStr">
        <is>
          <t>American Airlines</t>
        </is>
      </c>
      <c r="K10" t="n">
        <v>4263</v>
      </c>
      <c r="L10" t="inlineStr">
        <is>
          <t>CONS</t>
        </is>
      </c>
      <c r="M10" t="inlineStr">
        <is>
          <t>Batch # 1 - $119,802.46 - test</t>
        </is>
      </c>
      <c r="N10" t="inlineStr">
        <is>
          <t>A07Y</t>
        </is>
      </c>
      <c r="P10">
        <f>LEN(F10&amp;J10)+12</f>
        <v/>
      </c>
    </row>
    <row r="11">
      <c r="A11" t="inlineStr">
        <is>
          <t>James</t>
        </is>
      </c>
      <c r="B11" t="inlineStr">
        <is>
          <t>Louis</t>
        </is>
      </c>
      <c r="C11" t="inlineStr">
        <is>
          <t>Sharpe</t>
        </is>
      </c>
      <c r="E11" s="2" t="n">
        <v>46057</v>
      </c>
      <c r="F11" t="inlineStr">
        <is>
          <t>Travel Meal/BOD Mtg/Pave America</t>
        </is>
      </c>
      <c r="G11" t="n">
        <v>8.58</v>
      </c>
      <c r="H11" t="inlineStr">
        <is>
          <t>American Express</t>
        </is>
      </c>
      <c r="I11" t="inlineStr">
        <is>
          <t>Meals</t>
        </is>
      </c>
      <c r="J11" t="inlineStr">
        <is>
          <t>The Umstead Htl &amp; Spa</t>
        </is>
      </c>
      <c r="K11" t="n">
        <v>4263</v>
      </c>
      <c r="L11" t="inlineStr">
        <is>
          <t>CONS</t>
        </is>
      </c>
      <c r="M11" t="inlineStr">
        <is>
          <t>Batch # 1 - $119,802.46 - test</t>
        </is>
      </c>
      <c r="N11" t="inlineStr">
        <is>
          <t>A07Y</t>
        </is>
      </c>
      <c r="O11" t="inlineStr">
        <is>
          <t>Review whether lodging/air/car/meals should share one project code: 4263, 6409</t>
        </is>
      </c>
      <c r="P11">
        <f>LEN(F11&amp;J11)+12</f>
        <v/>
      </c>
    </row>
    <row r="12">
      <c r="A12" t="inlineStr">
        <is>
          <t>James</t>
        </is>
      </c>
      <c r="B12" t="inlineStr">
        <is>
          <t>Louis</t>
        </is>
      </c>
      <c r="C12" t="inlineStr">
        <is>
          <t>Sharpe</t>
        </is>
      </c>
      <c r="E12" s="2" t="n">
        <v>46057</v>
      </c>
      <c r="F12" t="inlineStr">
        <is>
          <t>Travel Meal/BOD Mtg/Numotion</t>
        </is>
      </c>
      <c r="G12" t="n">
        <v>64.67</v>
      </c>
      <c r="H12" t="inlineStr">
        <is>
          <t>American Express</t>
        </is>
      </c>
      <c r="I12" t="inlineStr">
        <is>
          <t>Meals</t>
        </is>
      </c>
      <c r="J12" t="inlineStr">
        <is>
          <t>The Umstead Htl &amp; Spa</t>
        </is>
      </c>
      <c r="K12" t="n">
        <v>6409</v>
      </c>
      <c r="L12" t="inlineStr">
        <is>
          <t>VAIP</t>
        </is>
      </c>
      <c r="M12" t="inlineStr">
        <is>
          <t>Batch # 1 - $119,802.46 - test</t>
        </is>
      </c>
      <c r="N12" t="inlineStr">
        <is>
          <t>A07Y</t>
        </is>
      </c>
      <c r="O12" t="inlineStr">
        <is>
          <t>Review whether lodging/air/car/meals should share one project code: 4263, 6409</t>
        </is>
      </c>
      <c r="P12">
        <f>LEN(F12&amp;J12)+12</f>
        <v/>
      </c>
    </row>
    <row r="13">
      <c r="A13" t="inlineStr">
        <is>
          <t>James</t>
        </is>
      </c>
      <c r="B13" t="inlineStr">
        <is>
          <t>Louis</t>
        </is>
      </c>
      <c r="C13" t="inlineStr">
        <is>
          <t>Sharpe</t>
        </is>
      </c>
      <c r="E13" s="2" t="n">
        <v>46057</v>
      </c>
      <c r="F13" t="inlineStr">
        <is>
          <t>Travel Meal/BOD Mtg/Numotion</t>
        </is>
      </c>
      <c r="G13" t="n">
        <v>59.38</v>
      </c>
      <c r="H13" t="inlineStr">
        <is>
          <t>American Express</t>
        </is>
      </c>
      <c r="I13" t="inlineStr">
        <is>
          <t>Meals</t>
        </is>
      </c>
      <c r="J13" t="inlineStr">
        <is>
          <t>The Umstead Htl &amp; Spa</t>
        </is>
      </c>
      <c r="K13" t="n">
        <v>6409</v>
      </c>
      <c r="L13" t="inlineStr">
        <is>
          <t>VAIP</t>
        </is>
      </c>
      <c r="M13" t="inlineStr">
        <is>
          <t>Batch # 1 - $119,802.46 - test</t>
        </is>
      </c>
      <c r="N13" t="inlineStr">
        <is>
          <t>A07Y</t>
        </is>
      </c>
      <c r="O13" t="inlineStr">
        <is>
          <t>Review whether lodging/air/car/meals should share one project code: 4263, 6409</t>
        </is>
      </c>
      <c r="P13">
        <f>LEN(F13&amp;J13)+12</f>
        <v/>
      </c>
    </row>
    <row r="14">
      <c r="A14" t="inlineStr">
        <is>
          <t>James</t>
        </is>
      </c>
      <c r="B14" t="inlineStr">
        <is>
          <t>Louis</t>
        </is>
      </c>
      <c r="C14" t="inlineStr">
        <is>
          <t>Sharpe</t>
        </is>
      </c>
      <c r="E14" s="2" t="n">
        <v>46057</v>
      </c>
      <c r="F14" t="inlineStr">
        <is>
          <t>Lodging/BOD Mtg/BOD Mtg/Numotion</t>
        </is>
      </c>
      <c r="G14" t="n">
        <v>583.16</v>
      </c>
      <c r="H14" t="inlineStr">
        <is>
          <t>American Express</t>
        </is>
      </c>
      <c r="I14" t="inlineStr">
        <is>
          <t>Lodging</t>
        </is>
      </c>
      <c r="J14" t="inlineStr">
        <is>
          <t>The Umstead Htl &amp; Spa</t>
        </is>
      </c>
      <c r="K14" t="n">
        <v>6409</v>
      </c>
      <c r="L14" t="inlineStr">
        <is>
          <t>VAIP</t>
        </is>
      </c>
      <c r="M14" t="inlineStr">
        <is>
          <t>Batch # 1 - $119,802.46 - test</t>
        </is>
      </c>
      <c r="N14" t="inlineStr">
        <is>
          <t>A07Y</t>
        </is>
      </c>
      <c r="O14" t="inlineStr">
        <is>
          <t>Review whether lodging/air/car/meals should share one project code: 4263, 6409</t>
        </is>
      </c>
      <c r="P14">
        <f>LEN(F14&amp;J14)+12</f>
        <v/>
      </c>
    </row>
    <row r="15">
      <c r="A15" t="inlineStr">
        <is>
          <t>James</t>
        </is>
      </c>
      <c r="B15" t="inlineStr">
        <is>
          <t>Louis</t>
        </is>
      </c>
      <c r="C15" t="inlineStr">
        <is>
          <t>Sharpe</t>
        </is>
      </c>
      <c r="E15" s="2" t="n">
        <v>46057</v>
      </c>
      <c r="F15" t="inlineStr">
        <is>
          <t>Lodging/BOD Mtg/Pave America</t>
        </is>
      </c>
      <c r="G15" t="n">
        <v>1749.45</v>
      </c>
      <c r="H15" t="inlineStr">
        <is>
          <t>American Express</t>
        </is>
      </c>
      <c r="I15" t="inlineStr">
        <is>
          <t>Lodging</t>
        </is>
      </c>
      <c r="J15" t="inlineStr">
        <is>
          <t>The Umstead Htl &amp; Spa</t>
        </is>
      </c>
      <c r="K15" t="n">
        <v>4263</v>
      </c>
      <c r="L15" t="inlineStr">
        <is>
          <t>CONS</t>
        </is>
      </c>
      <c r="M15" t="inlineStr">
        <is>
          <t>Batch # 1 - $119,802.46 - test</t>
        </is>
      </c>
      <c r="N15" t="inlineStr">
        <is>
          <t>A07Y</t>
        </is>
      </c>
      <c r="O15" t="inlineStr">
        <is>
          <t>Review whether lodging/air/car/meals should share one project code: 4263, 6409</t>
        </is>
      </c>
      <c r="P15">
        <f>LEN(F15&amp;J15)+12</f>
        <v/>
      </c>
    </row>
    <row r="16">
      <c r="A16" t="inlineStr">
        <is>
          <t>James</t>
        </is>
      </c>
      <c r="B16" t="inlineStr">
        <is>
          <t>Louis</t>
        </is>
      </c>
      <c r="C16" t="inlineStr">
        <is>
          <t>Sharpe</t>
        </is>
      </c>
      <c r="E16" s="2" t="n">
        <v>46063</v>
      </c>
      <c r="F16" t="inlineStr">
        <is>
          <t>Refund/EWR-SLC/2026 Strategy Mtg</t>
        </is>
      </c>
      <c r="G16" t="n">
        <v>-1186.84</v>
      </c>
      <c r="H16" t="inlineStr">
        <is>
          <t>American Express</t>
        </is>
      </c>
      <c r="I16" t="inlineStr">
        <is>
          <t>Airline</t>
        </is>
      </c>
      <c r="J16" t="inlineStr">
        <is>
          <t>United Airlines Arc</t>
        </is>
      </c>
      <c r="K16" t="n">
        <v>1035</v>
      </c>
      <c r="L16" t="inlineStr">
        <is>
          <t>VAIP</t>
        </is>
      </c>
      <c r="M16" t="inlineStr">
        <is>
          <t>Batch # 1 - $119,802.46 - test</t>
        </is>
      </c>
      <c r="N16" t="inlineStr">
        <is>
          <t>A07Y</t>
        </is>
      </c>
      <c r="O16" t="inlineStr">
        <is>
          <t>Change G/L to 14000 at time of posting (prepaid)</t>
        </is>
      </c>
      <c r="P16">
        <f>LEN(F16&amp;J16)+12</f>
        <v/>
      </c>
    </row>
    <row r="17">
      <c r="A17" t="inlineStr">
        <is>
          <t>James</t>
        </is>
      </c>
      <c r="B17" t="inlineStr">
        <is>
          <t>Louis</t>
        </is>
      </c>
      <c r="C17" t="inlineStr">
        <is>
          <t>Sharpe</t>
        </is>
      </c>
      <c r="E17" s="2" t="n">
        <v>46063</v>
      </c>
      <c r="F17" t="inlineStr">
        <is>
          <t>Refund/SLC-JFK/2026</t>
        </is>
      </c>
      <c r="G17" t="n">
        <v>-853.49</v>
      </c>
      <c r="H17" t="inlineStr">
        <is>
          <t>American Express</t>
        </is>
      </c>
      <c r="I17" t="inlineStr">
        <is>
          <t>Airline</t>
        </is>
      </c>
      <c r="J17" t="inlineStr">
        <is>
          <t>Delta Air Lines</t>
        </is>
      </c>
      <c r="K17" t="n">
        <v>1035</v>
      </c>
      <c r="L17" t="inlineStr">
        <is>
          <t>VAIP</t>
        </is>
      </c>
      <c r="M17" t="inlineStr">
        <is>
          <t>Batch # 1 - $119,802.46 - test</t>
        </is>
      </c>
      <c r="N17" t="inlineStr">
        <is>
          <t>A07Y</t>
        </is>
      </c>
      <c r="O17" t="inlineStr">
        <is>
          <t>Change G/L to 14000 at time of posting (prepaid)</t>
        </is>
      </c>
      <c r="P17">
        <f>LEN(F17&amp;J17)+12</f>
        <v/>
      </c>
    </row>
    <row r="18">
      <c r="A18" t="inlineStr">
        <is>
          <t>James</t>
        </is>
      </c>
      <c r="B18" t="inlineStr">
        <is>
          <t>Louis</t>
        </is>
      </c>
      <c r="C18" t="inlineStr">
        <is>
          <t>Sharpe</t>
        </is>
      </c>
      <c r="E18" s="2" t="n">
        <v>46079</v>
      </c>
      <c r="F18" t="inlineStr">
        <is>
          <t>Deposit/BOD Dinner/Nations Roof</t>
        </is>
      </c>
      <c r="G18" t="n">
        <v>1375</v>
      </c>
      <c r="H18" t="inlineStr">
        <is>
          <t>American Express</t>
        </is>
      </c>
      <c r="I18" t="inlineStr">
        <is>
          <t>Meals</t>
        </is>
      </c>
      <c r="J18" t="inlineStr">
        <is>
          <t>Milos, Inc.</t>
        </is>
      </c>
      <c r="K18" t="n">
        <v>6470</v>
      </c>
      <c r="L18" t="inlineStr">
        <is>
          <t>VAIP</t>
        </is>
      </c>
      <c r="M18" t="inlineStr">
        <is>
          <t>Batch # 1 - $119,802.46 - test</t>
        </is>
      </c>
      <c r="N18" t="inlineStr">
        <is>
          <t>A07Y</t>
        </is>
      </c>
      <c r="P18">
        <f>LEN(F18&amp;J18)+12</f>
        <v/>
      </c>
    </row>
    <row r="19">
      <c r="A19" t="inlineStr">
        <is>
          <t>James</t>
        </is>
      </c>
      <c r="B19" t="inlineStr">
        <is>
          <t>Louis</t>
        </is>
      </c>
      <c r="C19" t="inlineStr">
        <is>
          <t>Sharpe</t>
        </is>
      </c>
      <c r="E19" s="2" t="n">
        <v>46085</v>
      </c>
      <c r="F19" t="inlineStr">
        <is>
          <t>RT:LGA-ORD/Mgmt Mtg/Tangent</t>
        </is>
      </c>
      <c r="G19" t="n">
        <v>1056.52</v>
      </c>
      <c r="H19" t="inlineStr">
        <is>
          <t>American Express</t>
        </is>
      </c>
      <c r="I19" t="inlineStr">
        <is>
          <t>Airline</t>
        </is>
      </c>
      <c r="J19" t="inlineStr">
        <is>
          <t>United</t>
        </is>
      </c>
      <c r="K19" t="n">
        <v>6645</v>
      </c>
      <c r="L19" t="inlineStr">
        <is>
          <t>VAIP</t>
        </is>
      </c>
      <c r="M19" t="inlineStr">
        <is>
          <t>Batch # 1 - $119,802.46 - test</t>
        </is>
      </c>
      <c r="N19" t="inlineStr">
        <is>
          <t>A07Y</t>
        </is>
      </c>
      <c r="P19">
        <f>LEN(F19&amp;J19)+12</f>
        <v/>
      </c>
    </row>
    <row r="20">
      <c r="A20" t="inlineStr">
        <is>
          <t>James</t>
        </is>
      </c>
      <c r="B20" t="inlineStr">
        <is>
          <t>Louis</t>
        </is>
      </c>
      <c r="C20" t="inlineStr">
        <is>
          <t>Sharpe</t>
        </is>
      </c>
      <c r="E20" s="2" t="n">
        <v>46085</v>
      </c>
      <c r="F20" t="inlineStr">
        <is>
          <t>Tkt Fee/RT:LGA-ORD/Mgmt Mtg/Tangent</t>
        </is>
      </c>
      <c r="G20" t="n">
        <v>30</v>
      </c>
      <c r="H20" t="inlineStr">
        <is>
          <t>American Express</t>
        </is>
      </c>
      <c r="I20" s="3" t="inlineStr">
        <is>
          <t>Airline</t>
        </is>
      </c>
      <c r="J20" t="inlineStr">
        <is>
          <t>Travel Agency Services</t>
        </is>
      </c>
      <c r="K20" t="n">
        <v>6645</v>
      </c>
      <c r="L20" t="inlineStr">
        <is>
          <t>VAIP</t>
        </is>
      </c>
      <c r="M20" t="inlineStr">
        <is>
          <t>Batch # 1 - $119,802.46 - test</t>
        </is>
      </c>
      <c r="N20" t="inlineStr">
        <is>
          <t>A07Y</t>
        </is>
      </c>
      <c r="P20">
        <f>LEN(F20&amp;J20)+12</f>
        <v/>
      </c>
    </row>
    <row r="21">
      <c r="F21" s="1" t="inlineStr">
        <is>
          <t>TOTAL - AEA</t>
        </is>
      </c>
      <c r="G21" s="1">
        <f>SUM(G2:G20)</f>
        <v/>
      </c>
    </row>
    <row r="2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F2" s="1" t="inlineStr">
        <is>
          <t>TOTAL - SBF</t>
        </is>
      </c>
      <c r="G2" s="1">
        <f>SUM(G2:G1)</f>
        <v/>
      </c>
    </row>
    <row r="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F2" s="1" t="inlineStr">
        <is>
          <t>TOTAL - DEBT</t>
        </is>
      </c>
      <c r="G2" s="1">
        <f>SUM(G2:G1)</f>
        <v/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2026-04-14T12:37:22Z</dcterms:created>
  <dcterms:modified xsi:type="dcterms:W3CDTF">2026-04-14T12:37:22Z</dcterms:modified>
</cp:coreProperties>
</file>