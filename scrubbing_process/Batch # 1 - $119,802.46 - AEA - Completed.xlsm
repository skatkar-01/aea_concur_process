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F:\Finance Only\AEA AP\2026\AmEx\AmEx Loads\03.06.2026 Scrubbed Excel Reports\"/>
    </mc:Choice>
  </mc:AlternateContent>
  <xr:revisionPtr revIDLastSave="0" documentId="13_ncr:1_{CEA564D2-8D54-4ED0-8131-E2DC6C06F452}" xr6:coauthVersionLast="47" xr6:coauthVersionMax="47" xr10:uidLastSave="{00000000-0000-0000-0000-000000000000}"/>
  <bookViews>
    <workbookView xWindow="-120" yWindow="-120" windowWidth="29040" windowHeight="15720" activeTab="5" xr2:uid="{5E2ABBFF-FBF9-449A-9836-046A396CF633}"/>
  </bookViews>
  <sheets>
    <sheet name="Employee List" sheetId="3" r:id="rId1"/>
    <sheet name="Vendor List" sheetId="4" r:id="rId2"/>
    <sheet name="AmEx Load Raw" sheetId="1" r:id="rId3"/>
    <sheet name="AmEx All" sheetId="8" r:id="rId4"/>
    <sheet name="AEA_Posted" sheetId="7" r:id="rId5"/>
    <sheet name="SBF_Posted" sheetId="6" r:id="rId6"/>
    <sheet name="DEBT_Reviewed" sheetId="10" r:id="rId7"/>
  </sheets>
  <functionGroups builtInGroupCount="19"/>
  <externalReferences>
    <externalReference r:id="rId8"/>
  </externalReferences>
  <definedNames>
    <definedName name="_xlnm._FilterDatabase" localSheetId="4" hidden="1">AEA_Posted!$A$1:$Q$396</definedName>
    <definedName name="_xlnm._FilterDatabase" localSheetId="0" hidden="1">'Employee List'!$A$1:$X$1</definedName>
    <definedName name="_xlnm._FilterDatabase" localSheetId="5" hidden="1">SBF_Posted!$A$1:$P$155</definedName>
    <definedName name="_xlnm._FilterDatabase" localSheetId="1" hidden="1">'Vendor List'!#REF!</definedName>
    <definedName name="_xlnm.Print_Area" localSheetId="0">'Employee List'!$A$1:$D$179</definedName>
    <definedName name="_xlnm.Print_Titles" localSheetId="0">'Employee List'!$1:$1</definedName>
    <definedName name="Z_1AD1A19C_EFF8_4BEB_AFDA_F555AEFD94D2_.wvu.Cols" localSheetId="0" hidden="1">'Employee List'!#REF!</definedName>
    <definedName name="Z_1AD1A19C_EFF8_4BEB_AFDA_F555AEFD94D2_.wvu.FilterData" localSheetId="0" hidden="1">'Employee List'!$A$1:$D$178</definedName>
    <definedName name="Z_1AD1A19C_EFF8_4BEB_AFDA_F555AEFD94D2_.wvu.PrintArea" localSheetId="0" hidden="1">'Employee List'!$A$1:$D$179</definedName>
    <definedName name="Z_1AD1A19C_EFF8_4BEB_AFDA_F555AEFD94D2_.wvu.PrintTitles" localSheetId="0" hidden="1">'Employee List'!$1:$1</definedName>
    <definedName name="Z_1AD1A19C_EFF8_4BEB_AFDA_F555AEFD94D2_.wvu.Rows" localSheetId="0" hidden="1">'Employee List'!#REF!,'Employee List'!#REF!,'Employee List'!#REF!</definedName>
    <definedName name="Z_5CD496A0_E610_481B_B9D6_377F52F3E339_.wvu.Cols" localSheetId="0" hidden="1">'Employee List'!#REF!</definedName>
    <definedName name="Z_5CD496A0_E610_481B_B9D6_377F52F3E339_.wvu.FilterData" localSheetId="0" hidden="1">'Employee List'!$A$1:$D$178</definedName>
    <definedName name="Z_5CD496A0_E610_481B_B9D6_377F52F3E339_.wvu.PrintArea" localSheetId="0" hidden="1">'Employee List'!$A$1:$D$179</definedName>
    <definedName name="Z_5CD496A0_E610_481B_B9D6_377F52F3E339_.wvu.PrintTitles" localSheetId="0" hidden="1">'Employee List'!$1:$1</definedName>
    <definedName name="Z_5CD496A0_E610_481B_B9D6_377F52F3E339_.wvu.Rows" localSheetId="0" hidden="1">'Employee List'!#REF!,'Employee List'!#REF!,'Employee List'!#REF!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64" i="8" l="1"/>
  <c r="G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Q7" i="8"/>
  <c r="Q6" i="8"/>
  <c r="Q5" i="8"/>
  <c r="Q4" i="8"/>
  <c r="Q3" i="8"/>
  <c r="Q2" i="8"/>
  <c r="P19" i="6"/>
  <c r="P202" i="7" l="1"/>
  <c r="G12" i="10" l="1"/>
  <c r="P5" i="10"/>
  <c r="P3" i="10"/>
  <c r="P2" i="10"/>
  <c r="P4" i="10"/>
  <c r="P6" i="10"/>
  <c r="P7" i="10"/>
  <c r="P8" i="10"/>
  <c r="P10" i="10"/>
  <c r="P9" i="10"/>
  <c r="P11" i="10"/>
  <c r="G562" i="1"/>
  <c r="G561" i="1" l="1"/>
  <c r="G396" i="7"/>
  <c r="G562" i="8" s="1"/>
  <c r="G155" i="6"/>
  <c r="G563" i="8" s="1"/>
  <c r="P331" i="7"/>
  <c r="P330" i="7"/>
  <c r="P333" i="7"/>
  <c r="P332" i="7"/>
  <c r="P334" i="7"/>
  <c r="P335" i="7"/>
  <c r="P336" i="7"/>
  <c r="P337" i="7"/>
  <c r="P338" i="7"/>
  <c r="P339" i="7"/>
  <c r="P326" i="7"/>
  <c r="P319" i="7"/>
  <c r="P321" i="7"/>
  <c r="P320" i="7"/>
  <c r="P322" i="7"/>
  <c r="P325" i="7"/>
  <c r="P324" i="7"/>
  <c r="P323" i="7"/>
  <c r="P327" i="7"/>
  <c r="P328" i="7"/>
  <c r="P329" i="7"/>
  <c r="P190" i="7"/>
  <c r="P192" i="7"/>
  <c r="P191" i="7"/>
  <c r="P194" i="7"/>
  <c r="P193" i="7"/>
  <c r="P196" i="7"/>
  <c r="P195" i="7"/>
  <c r="P197" i="7"/>
  <c r="P199" i="7"/>
  <c r="P198" i="7"/>
  <c r="P200" i="7"/>
  <c r="P201" i="7"/>
  <c r="P182" i="7"/>
  <c r="P183" i="7"/>
  <c r="P186" i="7"/>
  <c r="P185" i="7"/>
  <c r="P184" i="7"/>
  <c r="P187" i="7"/>
  <c r="P188" i="7"/>
  <c r="P189" i="7"/>
  <c r="P395" i="7"/>
  <c r="P372" i="7"/>
  <c r="P373" i="7"/>
  <c r="P377" i="7"/>
  <c r="P379" i="7"/>
  <c r="P380" i="7"/>
  <c r="P381" i="7"/>
  <c r="P382" i="7"/>
  <c r="P384" i="7"/>
  <c r="P388" i="7"/>
  <c r="P387" i="7"/>
  <c r="P386" i="7"/>
  <c r="P392" i="7"/>
  <c r="P393" i="7"/>
  <c r="P394" i="7"/>
  <c r="P376" i="7"/>
  <c r="P375" i="7"/>
  <c r="P378" i="7"/>
  <c r="P391" i="7"/>
  <c r="P383" i="7"/>
  <c r="P374" i="7"/>
  <c r="P389" i="7"/>
  <c r="P390" i="7"/>
  <c r="P385" i="7"/>
  <c r="P371" i="7"/>
  <c r="P370" i="7"/>
  <c r="P358" i="7"/>
  <c r="P359" i="7"/>
  <c r="P362" i="7"/>
  <c r="P361" i="7"/>
  <c r="P360" i="7"/>
  <c r="P364" i="7"/>
  <c r="P363" i="7"/>
  <c r="P366" i="7"/>
  <c r="P365" i="7"/>
  <c r="P367" i="7"/>
  <c r="P368" i="7"/>
  <c r="P369" i="7"/>
  <c r="P351" i="7"/>
  <c r="P353" i="7"/>
  <c r="P352" i="7"/>
  <c r="P354" i="7"/>
  <c r="P357" i="7"/>
  <c r="P356" i="7"/>
  <c r="P355" i="7"/>
  <c r="P291" i="7"/>
  <c r="P286" i="7"/>
  <c r="P309" i="7"/>
  <c r="P310" i="7"/>
  <c r="P283" i="7"/>
  <c r="P282" i="7"/>
  <c r="P281" i="7"/>
  <c r="P280" i="7"/>
  <c r="P285" i="7"/>
  <c r="P284" i="7"/>
  <c r="P289" i="7"/>
  <c r="P288" i="7"/>
  <c r="P287" i="7"/>
  <c r="P290" i="7"/>
  <c r="P293" i="7"/>
  <c r="P292" i="7"/>
  <c r="P295" i="7"/>
  <c r="P294" i="7"/>
  <c r="P296" i="7"/>
  <c r="P299" i="7"/>
  <c r="P298" i="7"/>
  <c r="P297" i="7"/>
  <c r="P300" i="7"/>
  <c r="P301" i="7"/>
  <c r="P302" i="7"/>
  <c r="P303" i="7"/>
  <c r="P305" i="7"/>
  <c r="P304" i="7"/>
  <c r="P306" i="7"/>
  <c r="P307" i="7"/>
  <c r="P308" i="7"/>
  <c r="P180" i="7"/>
  <c r="P181" i="7"/>
  <c r="P179" i="7"/>
  <c r="P176" i="7"/>
  <c r="P154" i="7"/>
  <c r="P155" i="7"/>
  <c r="P156" i="7"/>
  <c r="P157" i="7"/>
  <c r="P162" i="7"/>
  <c r="P161" i="7"/>
  <c r="P160" i="7"/>
  <c r="P159" i="7"/>
  <c r="P158" i="7"/>
  <c r="P164" i="7"/>
  <c r="P163" i="7"/>
  <c r="P165" i="7"/>
  <c r="P166" i="7"/>
  <c r="P167" i="7"/>
  <c r="P168" i="7"/>
  <c r="P169" i="7"/>
  <c r="P170" i="7"/>
  <c r="P172" i="7"/>
  <c r="P171" i="7"/>
  <c r="P174" i="7"/>
  <c r="P173" i="7"/>
  <c r="P175" i="7"/>
  <c r="P178" i="7"/>
  <c r="P177" i="7"/>
  <c r="P75" i="7"/>
  <c r="P76" i="7"/>
  <c r="P77" i="7"/>
  <c r="P78" i="7"/>
  <c r="P79" i="7"/>
  <c r="P81" i="7"/>
  <c r="P80" i="7"/>
  <c r="P138" i="7"/>
  <c r="P137" i="7"/>
  <c r="P136" i="7"/>
  <c r="P142" i="7"/>
  <c r="P141" i="7"/>
  <c r="P140" i="7"/>
  <c r="P139" i="7"/>
  <c r="P144" i="7"/>
  <c r="P143" i="7"/>
  <c r="P147" i="7"/>
  <c r="P146" i="7"/>
  <c r="P145" i="7"/>
  <c r="P149" i="7"/>
  <c r="P148" i="7"/>
  <c r="P151" i="7"/>
  <c r="P150" i="7"/>
  <c r="P153" i="7"/>
  <c r="P152" i="7"/>
  <c r="P116" i="7"/>
  <c r="P131" i="7"/>
  <c r="P130" i="7"/>
  <c r="P115" i="7"/>
  <c r="P127" i="7"/>
  <c r="P129" i="7"/>
  <c r="P135" i="7"/>
  <c r="P134" i="7"/>
  <c r="P133" i="7"/>
  <c r="P132" i="7"/>
  <c r="P128" i="7"/>
  <c r="P126" i="7"/>
  <c r="P125" i="7"/>
  <c r="P124" i="7"/>
  <c r="P123" i="7"/>
  <c r="P122" i="7"/>
  <c r="P121" i="7"/>
  <c r="P120" i="7"/>
  <c r="P119" i="7"/>
  <c r="P118" i="7"/>
  <c r="P117" i="7"/>
  <c r="P114" i="7"/>
  <c r="P29" i="7"/>
  <c r="P28" i="7"/>
  <c r="P27" i="7"/>
  <c r="P26" i="7"/>
  <c r="P48" i="7"/>
  <c r="P47" i="7"/>
  <c r="P46" i="7"/>
  <c r="P45" i="7"/>
  <c r="P44" i="7"/>
  <c r="P43" i="7"/>
  <c r="P37" i="7"/>
  <c r="P38" i="7"/>
  <c r="P30" i="7"/>
  <c r="P32" i="7"/>
  <c r="P25" i="7"/>
  <c r="P24" i="7"/>
  <c r="P35" i="7"/>
  <c r="P34" i="7"/>
  <c r="P33" i="7"/>
  <c r="P23" i="7"/>
  <c r="P22" i="7"/>
  <c r="P21" i="7"/>
  <c r="P20" i="7"/>
  <c r="P31" i="7"/>
  <c r="P36" i="7"/>
  <c r="P40" i="7"/>
  <c r="P39" i="7"/>
  <c r="P42" i="7"/>
  <c r="P49" i="7"/>
  <c r="P41" i="7"/>
  <c r="P19" i="7"/>
  <c r="P18" i="7"/>
  <c r="P17" i="7"/>
  <c r="P10" i="7"/>
  <c r="P9" i="7"/>
  <c r="P8" i="7"/>
  <c r="P83" i="7"/>
  <c r="P82" i="7"/>
  <c r="P84" i="7"/>
  <c r="P85" i="7"/>
  <c r="P91" i="7"/>
  <c r="P90" i="7"/>
  <c r="P89" i="7"/>
  <c r="P88" i="7"/>
  <c r="P87" i="7"/>
  <c r="P86" i="7"/>
  <c r="P2" i="7"/>
  <c r="P263" i="7"/>
  <c r="P262" i="7"/>
  <c r="P261" i="7"/>
  <c r="P265" i="7"/>
  <c r="P264" i="7"/>
  <c r="P266" i="7"/>
  <c r="P268" i="7"/>
  <c r="P267" i="7"/>
  <c r="P271" i="7"/>
  <c r="P270" i="7"/>
  <c r="P269" i="7"/>
  <c r="P274" i="7"/>
  <c r="P273" i="7"/>
  <c r="P272" i="7"/>
  <c r="P275" i="7"/>
  <c r="P278" i="7"/>
  <c r="P277" i="7"/>
  <c r="P276" i="7"/>
  <c r="P279" i="7"/>
  <c r="P74" i="7"/>
  <c r="P73" i="7"/>
  <c r="P72" i="7"/>
  <c r="P71" i="7"/>
  <c r="P70" i="7"/>
  <c r="P54" i="7"/>
  <c r="P55" i="7"/>
  <c r="P56" i="7"/>
  <c r="P57" i="7"/>
  <c r="P58" i="7"/>
  <c r="P52" i="7"/>
  <c r="P53" i="7"/>
  <c r="P51" i="7"/>
  <c r="P50" i="7"/>
  <c r="P111" i="7"/>
  <c r="P110" i="7"/>
  <c r="P113" i="7"/>
  <c r="P112" i="7"/>
  <c r="P108" i="7"/>
  <c r="P107" i="7"/>
  <c r="P109" i="7"/>
  <c r="P106" i="7"/>
  <c r="P105" i="7"/>
  <c r="P104" i="7"/>
  <c r="P103" i="7"/>
  <c r="P102" i="7"/>
  <c r="P101" i="7"/>
  <c r="P97" i="7"/>
  <c r="P95" i="7"/>
  <c r="P94" i="7"/>
  <c r="P93" i="7"/>
  <c r="P92" i="7"/>
  <c r="P96" i="7"/>
  <c r="P100" i="7"/>
  <c r="P99" i="7"/>
  <c r="P98" i="7"/>
  <c r="P4" i="7"/>
  <c r="P3" i="7"/>
  <c r="P5" i="7"/>
  <c r="P6" i="7"/>
  <c r="P15" i="7"/>
  <c r="P14" i="7"/>
  <c r="P11" i="7"/>
  <c r="P12" i="7"/>
  <c r="P13" i="7"/>
  <c r="P16" i="7"/>
  <c r="P44" i="6"/>
  <c r="P52" i="6"/>
  <c r="P16" i="6"/>
  <c r="P51" i="6"/>
  <c r="P50" i="6"/>
  <c r="P58" i="6"/>
  <c r="P57" i="6"/>
  <c r="P49" i="6"/>
  <c r="P48" i="6"/>
  <c r="P47" i="6"/>
  <c r="P46" i="6"/>
  <c r="P45" i="6"/>
  <c r="P54" i="6"/>
  <c r="P53" i="6"/>
  <c r="P56" i="6"/>
  <c r="P55" i="6"/>
  <c r="P43" i="6"/>
  <c r="P42" i="6"/>
  <c r="P34" i="6"/>
  <c r="P33" i="6"/>
  <c r="P37" i="6"/>
  <c r="P36" i="6"/>
  <c r="P15" i="6"/>
  <c r="P35" i="6"/>
  <c r="P38" i="6"/>
  <c r="P39" i="6"/>
  <c r="P41" i="6"/>
  <c r="P40" i="6"/>
  <c r="P23" i="6"/>
  <c r="P26" i="6"/>
  <c r="P30" i="6"/>
  <c r="P32" i="6"/>
  <c r="P12" i="6"/>
  <c r="P11" i="6"/>
  <c r="P14" i="6"/>
  <c r="P18" i="6"/>
  <c r="P17" i="6"/>
  <c r="P21" i="6"/>
  <c r="P20" i="6"/>
  <c r="P22" i="6"/>
  <c r="P29" i="6"/>
  <c r="P25" i="6"/>
  <c r="P31" i="6"/>
  <c r="P28" i="6"/>
  <c r="P27" i="6"/>
  <c r="P24" i="6"/>
  <c r="P13" i="6"/>
  <c r="P4" i="6"/>
  <c r="P3" i="6"/>
  <c r="P2" i="6"/>
  <c r="P6" i="6"/>
  <c r="P5" i="6"/>
  <c r="P7" i="6"/>
  <c r="P8" i="6"/>
  <c r="P10" i="6"/>
  <c r="P9" i="6"/>
  <c r="P137" i="6"/>
  <c r="P136" i="6"/>
  <c r="P130" i="6"/>
  <c r="P129" i="6"/>
  <c r="P135" i="6"/>
  <c r="P134" i="6"/>
  <c r="P133" i="6"/>
  <c r="P132" i="6"/>
  <c r="P108" i="6"/>
  <c r="P107" i="6"/>
  <c r="P106" i="6"/>
  <c r="P105" i="6"/>
  <c r="P104" i="6"/>
  <c r="P103" i="6"/>
  <c r="P131" i="6"/>
  <c r="P127" i="6"/>
  <c r="P102" i="6"/>
  <c r="P101" i="6"/>
  <c r="P100" i="6"/>
  <c r="P109" i="6"/>
  <c r="P114" i="6"/>
  <c r="P113" i="6"/>
  <c r="P112" i="6"/>
  <c r="P111" i="6"/>
  <c r="P110" i="6"/>
  <c r="P119" i="6"/>
  <c r="P118" i="6"/>
  <c r="P117" i="6"/>
  <c r="P116" i="6"/>
  <c r="P115" i="6"/>
  <c r="P95" i="6"/>
  <c r="P120" i="6"/>
  <c r="P126" i="6"/>
  <c r="P125" i="6"/>
  <c r="P124" i="6"/>
  <c r="P123" i="6"/>
  <c r="P122" i="6"/>
  <c r="P121" i="6"/>
  <c r="P128" i="6"/>
  <c r="P94" i="6"/>
  <c r="P93" i="6"/>
  <c r="P91" i="6"/>
  <c r="P90" i="6"/>
  <c r="P89" i="6"/>
  <c r="P97" i="6"/>
  <c r="P96" i="6"/>
  <c r="P99" i="6"/>
  <c r="P98" i="6"/>
  <c r="P92" i="6"/>
  <c r="P88" i="6"/>
  <c r="P87" i="6"/>
  <c r="P75" i="6"/>
  <c r="P74" i="6"/>
  <c r="P73" i="6"/>
  <c r="P72" i="6"/>
  <c r="P79" i="6"/>
  <c r="P78" i="6"/>
  <c r="P77" i="6"/>
  <c r="P76" i="6"/>
  <c r="P82" i="6"/>
  <c r="P81" i="6"/>
  <c r="P80" i="6"/>
  <c r="P86" i="6"/>
  <c r="P85" i="6"/>
  <c r="P84" i="6"/>
  <c r="P83" i="6"/>
  <c r="P64" i="6"/>
  <c r="P70" i="6"/>
  <c r="P71" i="6"/>
  <c r="P60" i="6"/>
  <c r="P63" i="6"/>
  <c r="P62" i="6"/>
  <c r="P61" i="6"/>
  <c r="P66" i="6"/>
  <c r="P65" i="6"/>
  <c r="P67" i="6"/>
  <c r="P69" i="6"/>
  <c r="P68" i="6"/>
  <c r="P59" i="6"/>
  <c r="P312" i="7"/>
  <c r="P311" i="7"/>
  <c r="P236" i="7"/>
  <c r="P206" i="7"/>
  <c r="P205" i="7"/>
  <c r="P218" i="7"/>
  <c r="P217" i="7"/>
  <c r="P203" i="7"/>
  <c r="P204" i="7"/>
  <c r="P209" i="7"/>
  <c r="P208" i="7"/>
  <c r="P207" i="7"/>
  <c r="P212" i="7"/>
  <c r="P211" i="7"/>
  <c r="P210" i="7"/>
  <c r="P214" i="7"/>
  <c r="P213" i="7"/>
  <c r="P215" i="7"/>
  <c r="P216" i="7"/>
  <c r="P220" i="7"/>
  <c r="P219" i="7"/>
  <c r="P221" i="7"/>
  <c r="P222" i="7"/>
  <c r="P230" i="7"/>
  <c r="P229" i="7"/>
  <c r="P228" i="7"/>
  <c r="P227" i="7"/>
  <c r="P226" i="7"/>
  <c r="P225" i="7"/>
  <c r="P224" i="7"/>
  <c r="P223" i="7"/>
  <c r="P231" i="7"/>
  <c r="P232" i="7"/>
  <c r="P234" i="7"/>
  <c r="P233" i="7"/>
  <c r="P235" i="7"/>
  <c r="P69" i="7"/>
  <c r="P68" i="7"/>
  <c r="P67" i="7"/>
  <c r="P66" i="7"/>
  <c r="P65" i="7"/>
  <c r="P64" i="7"/>
  <c r="P63" i="7"/>
  <c r="P62" i="7"/>
  <c r="P61" i="7"/>
  <c r="P60" i="7"/>
  <c r="P59" i="7"/>
  <c r="P248" i="7"/>
  <c r="P247" i="7"/>
  <c r="P260" i="7"/>
  <c r="P259" i="7"/>
  <c r="P258" i="7"/>
  <c r="P257" i="7"/>
  <c r="P256" i="7"/>
  <c r="P255" i="7"/>
  <c r="P254" i="7"/>
  <c r="P238" i="7"/>
  <c r="P237" i="7"/>
  <c r="P239" i="7"/>
  <c r="P242" i="7"/>
  <c r="P241" i="7"/>
  <c r="P240" i="7"/>
  <c r="P246" i="7"/>
  <c r="P245" i="7"/>
  <c r="P244" i="7"/>
  <c r="P243" i="7"/>
  <c r="P249" i="7"/>
  <c r="P250" i="7"/>
  <c r="P253" i="7"/>
  <c r="P252" i="7"/>
  <c r="P251" i="7"/>
  <c r="P315" i="7"/>
  <c r="P314" i="7"/>
  <c r="P316" i="7"/>
  <c r="P318" i="7"/>
  <c r="P317" i="7"/>
  <c r="P313" i="7"/>
  <c r="P345" i="7"/>
  <c r="P344" i="7"/>
  <c r="P343" i="7"/>
  <c r="P342" i="7"/>
  <c r="P341" i="7"/>
  <c r="P350" i="7"/>
  <c r="P347" i="7"/>
  <c r="P346" i="7"/>
  <c r="P349" i="7"/>
  <c r="P348" i="7"/>
  <c r="P340" i="7"/>
  <c r="P7" i="7"/>
  <c r="P154" i="6"/>
  <c r="P153" i="6"/>
  <c r="P142" i="6"/>
  <c r="P141" i="6"/>
  <c r="P140" i="6"/>
  <c r="P139" i="6"/>
  <c r="P138" i="6"/>
  <c r="P152" i="6"/>
  <c r="P151" i="6"/>
  <c r="P150" i="6"/>
  <c r="P145" i="6"/>
  <c r="P147" i="6"/>
  <c r="P146" i="6"/>
  <c r="P148" i="6"/>
  <c r="P149" i="6"/>
  <c r="P144" i="6"/>
  <c r="P143" i="6"/>
  <c r="G565" i="1"/>
  <c r="G565" i="8" l="1"/>
  <c r="G566" i="8" s="1"/>
  <c r="G564" i="1"/>
</calcChain>
</file>

<file path=xl/sharedStrings.xml><?xml version="1.0" encoding="utf-8"?>
<sst xmlns="http://schemas.openxmlformats.org/spreadsheetml/2006/main" count="21816" uniqueCount="4891">
  <si>
    <t>Employee First Name</t>
  </si>
  <si>
    <t>Employee Middle Name</t>
  </si>
  <si>
    <t>Employee Last Name</t>
  </si>
  <si>
    <t>Blank/Placeholder</t>
  </si>
  <si>
    <t>Report Entry Transaction Date</t>
  </si>
  <si>
    <t>Report Entry Description</t>
  </si>
  <si>
    <t>Journal Amount</t>
  </si>
  <si>
    <t>Report Entry Payment Type Name</t>
  </si>
  <si>
    <t>Report Entry Expense Type Name</t>
  </si>
  <si>
    <t>Report Entry Vendor Description</t>
  </si>
  <si>
    <t>Report Entry Vendor Name</t>
  </si>
  <si>
    <t>Project</t>
  </si>
  <si>
    <t>Cost Center</t>
  </si>
  <si>
    <t>Report Purpose</t>
  </si>
  <si>
    <t>Employee ID</t>
  </si>
  <si>
    <t>American Express Corporate Card CBCP</t>
  </si>
  <si>
    <t>Meals</t>
  </si>
  <si>
    <t>AQUARELA COFFEE  DTLA</t>
  </si>
  <si>
    <t>GROWTH</t>
  </si>
  <si>
    <t>A06C</t>
  </si>
  <si>
    <t>PICCINO PRESIDIO</t>
  </si>
  <si>
    <t>Car Service</t>
  </si>
  <si>
    <t>Uber Technologies, Inc</t>
  </si>
  <si>
    <t>SHERATON GRAND LOS ANGELES</t>
  </si>
  <si>
    <t>71 ABOVE RESTAURANT</t>
  </si>
  <si>
    <t>BURBANK AIRPORT FOOD &amp; BEVERAG</t>
  </si>
  <si>
    <t>INTELSAT INFLIGHT UAL INF</t>
  </si>
  <si>
    <t>60776-SFO PREPAID PARKING</t>
  </si>
  <si>
    <t>DOORDASH</t>
  </si>
  <si>
    <t>United</t>
  </si>
  <si>
    <t>TRAVEL AGENCY SERVICES</t>
  </si>
  <si>
    <t>A06L</t>
  </si>
  <si>
    <t>UNITED AIRLINES ARC</t>
  </si>
  <si>
    <t>CHIPOTLE 1126</t>
  </si>
  <si>
    <t>SBF</t>
  </si>
  <si>
    <t>A06O</t>
  </si>
  <si>
    <t>SMILERS</t>
  </si>
  <si>
    <t>INTELSAT INFLIGHT AIR</t>
  </si>
  <si>
    <t>Westin O'Hare</t>
  </si>
  <si>
    <t>MORTON'S ROSEMONT</t>
  </si>
  <si>
    <t>CARLUCCI  ROSEMONT</t>
  </si>
  <si>
    <t>Delta</t>
  </si>
  <si>
    <t>CHIPOTLE 0769</t>
  </si>
  <si>
    <t>HELIX PAY</t>
  </si>
  <si>
    <t>CURB SVC. - TAXI</t>
  </si>
  <si>
    <t>MCDONALDS 31491</t>
  </si>
  <si>
    <t>The Westin Fort Lauderdale</t>
  </si>
  <si>
    <t>DELTA AIR LINES</t>
  </si>
  <si>
    <t>A070</t>
  </si>
  <si>
    <t>BLACK FOX COFFEE</t>
  </si>
  <si>
    <t>GREGORYS COFFEE</t>
  </si>
  <si>
    <t>RITZ CARLTON LAKE OCONEE</t>
  </si>
  <si>
    <t>6234 ATL KIOSKS</t>
  </si>
  <si>
    <t>A075</t>
  </si>
  <si>
    <t>SANTI</t>
  </si>
  <si>
    <t>GRUBHUB</t>
  </si>
  <si>
    <t>WESTIN FORT LAUDERDALE</t>
  </si>
  <si>
    <t>AMS SOUTH FLORIDA JV</t>
  </si>
  <si>
    <t>MICHAEL'S</t>
  </si>
  <si>
    <t>A079</t>
  </si>
  <si>
    <t>SBB TICKET SHOP</t>
  </si>
  <si>
    <t>DOW JONES NEWS GBP</t>
  </si>
  <si>
    <t>BLADE URBAN AIR MOBILITY, INC.</t>
  </si>
  <si>
    <t>SUMMIT ELITE CLASS LIMO</t>
  </si>
  <si>
    <t>Miscellaneous</t>
  </si>
  <si>
    <t>LINKEDIN CORPORATION</t>
  </si>
  <si>
    <t>THE MODERN</t>
  </si>
  <si>
    <t>A07Z</t>
  </si>
  <si>
    <t>British Airways</t>
  </si>
  <si>
    <t>PANDA EXPRESS 2547</t>
  </si>
  <si>
    <t>AMERICAN AIRLINES</t>
  </si>
  <si>
    <t>METRO MARCHE</t>
  </si>
  <si>
    <t>CORE CLUB MEMBERS CORP</t>
  </si>
  <si>
    <t>AURORA</t>
  </si>
  <si>
    <t>A08M</t>
  </si>
  <si>
    <t>SBUX09850</t>
  </si>
  <si>
    <t>FOUR SEASONS HOTEL MINNEA</t>
  </si>
  <si>
    <t>STN ERIKSEN LDG/FRT DESK</t>
  </si>
  <si>
    <t>LGA BEECHERS #6331170</t>
  </si>
  <si>
    <t>MAC'S SPEED SHOP SOUTH END</t>
  </si>
  <si>
    <t>A091</t>
  </si>
  <si>
    <t>MAMAN 545 MADISON LLC</t>
  </si>
  <si>
    <t>CREATIVE MOBILE TECHNOLOG</t>
  </si>
  <si>
    <t>CURB-TAXI APP</t>
  </si>
  <si>
    <t>MAMAN 545 MADISON</t>
  </si>
  <si>
    <t>BERKSHIRE FARMS A</t>
  </si>
  <si>
    <t>DUANE READE # 14127</t>
  </si>
  <si>
    <t>BOSTON HARBOR HOTEL OL2</t>
  </si>
  <si>
    <t>OMNI PARKER HOUSE</t>
  </si>
  <si>
    <t>BLUE BOTTLE COFFEE</t>
  </si>
  <si>
    <t>SLC PUBLIC MKT AT SLC 522</t>
  </si>
  <si>
    <t>STEINERIKSENOSLO</t>
  </si>
  <si>
    <t>4036 BLUESTONE</t>
  </si>
  <si>
    <t>UNITED AIRLINES</t>
  </si>
  <si>
    <t>A0AC</t>
  </si>
  <si>
    <t>UBER EATS</t>
  </si>
  <si>
    <t>BURGER 21 A-2  TPA</t>
  </si>
  <si>
    <t>HILTON TORONTO AIRPORT</t>
  </si>
  <si>
    <t>HOTEL BARDO SAVANNAH FD</t>
  </si>
  <si>
    <t>PARKING MANAGEMENT COMPANY, LLC</t>
  </si>
  <si>
    <t>TAMPA INTL AIPORT</t>
  </si>
  <si>
    <t>EMBASSY MNPLIS ARPRT69517</t>
  </si>
  <si>
    <t>A0AD</t>
  </si>
  <si>
    <t>AMTRAK.COM</t>
  </si>
  <si>
    <t>SURFSIDE TRANSPORTATION/ BOBCAT</t>
  </si>
  <si>
    <t>STAMFORD</t>
  </si>
  <si>
    <t>MISSION AND MARKET</t>
  </si>
  <si>
    <t>COURTYARD PHILADELPHIA DEVON/VILLANOVA</t>
  </si>
  <si>
    <t>COURTYARD BY MARRIOTT</t>
  </si>
  <si>
    <t>BUD AND MARILYNS</t>
  </si>
  <si>
    <t>REGUS MANAGEMENT GROUP LL</t>
  </si>
  <si>
    <t>UBER</t>
  </si>
  <si>
    <t>A0AF</t>
  </si>
  <si>
    <t>GREAT AMERICAN BAGEL #130</t>
  </si>
  <si>
    <t>A0AR</t>
  </si>
  <si>
    <t>LGA E BUBBYS MARKET</t>
  </si>
  <si>
    <t>LE M?RIDIEN TAMPA</t>
  </si>
  <si>
    <t>JETBLUE ARC</t>
  </si>
  <si>
    <t>JFK T5 FOOD COURT</t>
  </si>
  <si>
    <t>JetBlue</t>
  </si>
  <si>
    <t>AMTRAK AGENCY X</t>
  </si>
  <si>
    <t>A0AW</t>
  </si>
  <si>
    <t>SBUX14540</t>
  </si>
  <si>
    <t>A0B1</t>
  </si>
  <si>
    <t>SUNLIFE ORGANICS CC</t>
  </si>
  <si>
    <t>A0B4</t>
  </si>
  <si>
    <t>JAYDE'S MARKET</t>
  </si>
  <si>
    <t>MASSIS KABOB - CENTURY CITY</t>
  </si>
  <si>
    <t>P3 LAX SMART PARKING</t>
  </si>
  <si>
    <t>STEADY STATE ROASTING CO.</t>
  </si>
  <si>
    <t>DOW JONES &amp; CO INC</t>
  </si>
  <si>
    <t>FOOTHILL EASTERN ETCA</t>
  </si>
  <si>
    <t>10353D CAVA CENTURY CITY</t>
  </si>
  <si>
    <t>A0B5</t>
  </si>
  <si>
    <t>SWEETGREEN</t>
  </si>
  <si>
    <t>FARM CUP CENTURY CITY</t>
  </si>
  <si>
    <t>68160 4962 SPEEDWAY</t>
  </si>
  <si>
    <t>A0BC</t>
  </si>
  <si>
    <t>AMAZON MARKEPLACE NA  PA</t>
  </si>
  <si>
    <t>CAFE RX</t>
  </si>
  <si>
    <t>EDGEWOOD TAHOE</t>
  </si>
  <si>
    <t>MTA METERS - MTA MACKAY</t>
  </si>
  <si>
    <t>PEETS COFFEE &amp; TEA 00502</t>
  </si>
  <si>
    <t>SWA INFLIGHT WIFI</t>
  </si>
  <si>
    <t>SUSIE CAKES</t>
  </si>
  <si>
    <t>TARGET.COM</t>
  </si>
  <si>
    <t>MTA LIRR TVM</t>
  </si>
  <si>
    <t>NYCT PAYGO</t>
  </si>
  <si>
    <t>SOCIETY6</t>
  </si>
  <si>
    <t>SBUX17478</t>
  </si>
  <si>
    <t>THE PIERRE NEW YORK TAJ</t>
  </si>
  <si>
    <t>BRYANT PARK MARKET BY HUD</t>
  </si>
  <si>
    <t>A0BS</t>
  </si>
  <si>
    <t>BLAKE &amp; TODD</t>
  </si>
  <si>
    <t>STARBUCKS 68420 E HEADHOU</t>
  </si>
  <si>
    <t>MONTEREY</t>
  </si>
  <si>
    <t>A0C7</t>
  </si>
  <si>
    <t>LIMELIGHT ASPEN FRONT DES</t>
  </si>
  <si>
    <t>ROBERTS FLORIST INC</t>
  </si>
  <si>
    <t>PRINTLEAF INC.</t>
  </si>
  <si>
    <t>PINK TACO NY TIMES SQUARE</t>
  </si>
  <si>
    <t>FLOLO HOLISTIC</t>
  </si>
  <si>
    <t>'ESSEN</t>
  </si>
  <si>
    <t>DEAR IRVING ON BROADWAY</t>
  </si>
  <si>
    <t>EZCATER</t>
  </si>
  <si>
    <t>ACADIA</t>
  </si>
  <si>
    <t>HILTON CLUB WEST 57TH STR</t>
  </si>
  <si>
    <t>SPRINGBONE KITCHEN - 488 MADISON</t>
  </si>
  <si>
    <t>SKYLINE CREDIT SERVICE LL</t>
  </si>
  <si>
    <t>TARTINERY - NEW</t>
  </si>
  <si>
    <t>D&amp;B E DEPOSITS # 997</t>
  </si>
  <si>
    <t>DEBT</t>
  </si>
  <si>
    <t>A0CD</t>
  </si>
  <si>
    <t>OMNI BERKSHIRE PLACE</t>
  </si>
  <si>
    <t>FAIRMONT OLYMPIC HOTEL</t>
  </si>
  <si>
    <t>MATTS IN THE MARKET</t>
  </si>
  <si>
    <t>MSP HUDSON ST2295</t>
  </si>
  <si>
    <t>RUDYS LIMO SVC INC</t>
  </si>
  <si>
    <t>CARIBOU COFFEE #1404</t>
  </si>
  <si>
    <t>LGA TAIM C60</t>
  </si>
  <si>
    <t>A0D0</t>
  </si>
  <si>
    <t>CROSS-SOUND FERRY SERVICES, INC</t>
  </si>
  <si>
    <t>UBER PASS</t>
  </si>
  <si>
    <t>Uber B.V.</t>
  </si>
  <si>
    <t>A0D7</t>
  </si>
  <si>
    <t>WHISKEY TRADER</t>
  </si>
  <si>
    <t>CHICK FILA DTW</t>
  </si>
  <si>
    <t>ROYAL PARK HOTEL F&amp;B</t>
  </si>
  <si>
    <t>STARBUCKS 24 HOUR CONC A</t>
  </si>
  <si>
    <t>ROYAL PARK HOTEL</t>
  </si>
  <si>
    <t>A0F7</t>
  </si>
  <si>
    <t>A0F8</t>
  </si>
  <si>
    <t>A0FA</t>
  </si>
  <si>
    <t>Lyft</t>
  </si>
  <si>
    <t>BOJANGLES 1020</t>
  </si>
  <si>
    <t>FASANO RESTAURANT NEW YORK</t>
  </si>
  <si>
    <t>DT 52ND STREET</t>
  </si>
  <si>
    <t>THE LIBERTY HOTEL</t>
  </si>
  <si>
    <t>A0FN</t>
  </si>
  <si>
    <t>PPA-PHL AIRPORT</t>
  </si>
  <si>
    <t>STARBUCKS B GATE 11 BOS</t>
  </si>
  <si>
    <t>SHERATON NY TIME SQUARE</t>
  </si>
  <si>
    <t>A0G8</t>
  </si>
  <si>
    <t>LGA E CIBO EXPRESS E</t>
  </si>
  <si>
    <t>HALAL PARADISE INC</t>
  </si>
  <si>
    <t>2CAFES - JAVITS</t>
  </si>
  <si>
    <t>HEAVEN ON 7TH MARKETPLACE, INC</t>
  </si>
  <si>
    <t>W HOTELS</t>
  </si>
  <si>
    <t>CARLUCCI'S WATERFRONT</t>
  </si>
  <si>
    <t>A0GF</t>
  </si>
  <si>
    <t>AVRA MADISON</t>
  </si>
  <si>
    <t>MACABACUS INC.</t>
  </si>
  <si>
    <t>A0GI</t>
  </si>
  <si>
    <t>USPS PO PRESIDIO</t>
  </si>
  <si>
    <t>INTELSAT INFLIGHT ASA</t>
  </si>
  <si>
    <t>A0GK</t>
  </si>
  <si>
    <t>BLUEFIELD RESEARCH</t>
  </si>
  <si>
    <t>A0GL</t>
  </si>
  <si>
    <t>WATCHHOUSE 5TH AVE</t>
  </si>
  <si>
    <t>STARBUCKS 70426 F GATE 81</t>
  </si>
  <si>
    <t>PROTEIN BAR &amp; KITCHEN</t>
  </si>
  <si>
    <t>ATL 6004 QDOBA  6004</t>
  </si>
  <si>
    <t>A0GM</t>
  </si>
  <si>
    <t>HAMPTON INN</t>
  </si>
  <si>
    <t>HUDSON ST1615</t>
  </si>
  <si>
    <t>BUZZFEED/IPORTE LGA</t>
  </si>
  <si>
    <t>Hilton Hotels</t>
  </si>
  <si>
    <t>American Express</t>
  </si>
  <si>
    <t>Piccino Presidio</t>
  </si>
  <si>
    <t>Doordash</t>
  </si>
  <si>
    <t>Smilers</t>
  </si>
  <si>
    <t>Santi</t>
  </si>
  <si>
    <t>Grubhub</t>
  </si>
  <si>
    <t>The Modern</t>
  </si>
  <si>
    <t>Metro Marche</t>
  </si>
  <si>
    <t>Aurora</t>
  </si>
  <si>
    <t>Uber Eats</t>
  </si>
  <si>
    <t>Stamford</t>
  </si>
  <si>
    <t>Bud And Marilyns</t>
  </si>
  <si>
    <t>Uber</t>
  </si>
  <si>
    <t>Jetblue</t>
  </si>
  <si>
    <t>Steady State Roasting Co.</t>
  </si>
  <si>
    <t>Sweetgreen</t>
  </si>
  <si>
    <t>Alaska Airlines</t>
  </si>
  <si>
    <t>Edgewood Tahoe</t>
  </si>
  <si>
    <t>Susie Cakes</t>
  </si>
  <si>
    <t>Society6</t>
  </si>
  <si>
    <t>Blake &amp; Todd</t>
  </si>
  <si>
    <t>Monterey</t>
  </si>
  <si>
    <t>Essen</t>
  </si>
  <si>
    <t>Ezcater</t>
  </si>
  <si>
    <t>Acadia</t>
  </si>
  <si>
    <t>Uber Pass</t>
  </si>
  <si>
    <t>Whiskey Trader</t>
  </si>
  <si>
    <t>The Liberty Hotel</t>
  </si>
  <si>
    <t>W Hotels</t>
  </si>
  <si>
    <t>Avra Madison</t>
  </si>
  <si>
    <t>Bluefield Research</t>
  </si>
  <si>
    <t>Hampton Inn</t>
  </si>
  <si>
    <t>EMPLOYEE</t>
  </si>
  <si>
    <t>Paycom                                                                    EE ID#</t>
  </si>
  <si>
    <t>PROJECT CODE</t>
  </si>
  <si>
    <t>ENTITY</t>
  </si>
  <si>
    <t>Chow, Mark</t>
  </si>
  <si>
    <t>A04K</t>
  </si>
  <si>
    <t>AEA</t>
  </si>
  <si>
    <t>Ackerman, Deborah</t>
  </si>
  <si>
    <t>A0CP</t>
  </si>
  <si>
    <t>Hedrick, Andrea</t>
  </si>
  <si>
    <t>A0CQ</t>
  </si>
  <si>
    <t>Slough, Shannon</t>
  </si>
  <si>
    <t>A0DM</t>
  </si>
  <si>
    <t>Zhao, Christopher</t>
  </si>
  <si>
    <t>A0FO</t>
  </si>
  <si>
    <t>Adi, Lee</t>
  </si>
  <si>
    <t>A0FE</t>
  </si>
  <si>
    <t>Brady, Meaghan</t>
  </si>
  <si>
    <t>A0FU</t>
  </si>
  <si>
    <t>Brown, Christopher</t>
  </si>
  <si>
    <t>A0AN</t>
  </si>
  <si>
    <t>Busby, Jason</t>
  </si>
  <si>
    <t>A0FG</t>
  </si>
  <si>
    <t>Calhoun, Lauren</t>
  </si>
  <si>
    <t>A0C0</t>
  </si>
  <si>
    <t>Donley, Thomas</t>
  </si>
  <si>
    <t>A06Z</t>
  </si>
  <si>
    <t>Eltrich III, Martin</t>
  </si>
  <si>
    <t>A081</t>
  </si>
  <si>
    <t>Goetsch, Adam</t>
  </si>
  <si>
    <t>A0CU</t>
  </si>
  <si>
    <t>Harvey, George</t>
  </si>
  <si>
    <t>A0FI</t>
  </si>
  <si>
    <t>Hattler, Cole</t>
  </si>
  <si>
    <t>A0D2</t>
  </si>
  <si>
    <t>Ho, James</t>
  </si>
  <si>
    <t>A087</t>
  </si>
  <si>
    <t>Kim, Grace</t>
  </si>
  <si>
    <t>A0FL</t>
  </si>
  <si>
    <t>Liu, Michelle</t>
  </si>
  <si>
    <t>A0GC</t>
  </si>
  <si>
    <t>Mehfar, Ali</t>
  </si>
  <si>
    <t>A08W</t>
  </si>
  <si>
    <t>Mok, Tiffany (Yuan)</t>
  </si>
  <si>
    <t>A0FR</t>
  </si>
  <si>
    <t>Norowitz, Hannah</t>
  </si>
  <si>
    <t>A0GD</t>
  </si>
  <si>
    <t>Slabe, Matthew</t>
  </si>
  <si>
    <t>A0D6</t>
  </si>
  <si>
    <t>Spigelman, Jacob</t>
  </si>
  <si>
    <t>A0GE</t>
  </si>
  <si>
    <t>Yznaga, Juliet</t>
  </si>
  <si>
    <t>A0GV</t>
  </si>
  <si>
    <t>Alberti, Kathryn</t>
  </si>
  <si>
    <t>A05W</t>
  </si>
  <si>
    <t>Alexander, Keith</t>
  </si>
  <si>
    <t>A0AA</t>
  </si>
  <si>
    <t>Arbeznik, Patrick</t>
  </si>
  <si>
    <t>A0BW</t>
  </si>
  <si>
    <t>Gao, Winnie</t>
  </si>
  <si>
    <t>A0C2</t>
  </si>
  <si>
    <t>Groves, Thomas</t>
  </si>
  <si>
    <t>A07V</t>
  </si>
  <si>
    <t>Hamlin, Christina</t>
  </si>
  <si>
    <t>A0CA</t>
  </si>
  <si>
    <t>Hanley, Thomas</t>
  </si>
  <si>
    <t>A0DK</t>
  </si>
  <si>
    <t>Hu, Yuling</t>
  </si>
  <si>
    <t>A0CW</t>
  </si>
  <si>
    <t>Hyman, Samuel</t>
  </si>
  <si>
    <t>A0BX</t>
  </si>
  <si>
    <t>Johnson, Christian</t>
  </si>
  <si>
    <t>A08I</t>
  </si>
  <si>
    <t>A0DP</t>
  </si>
  <si>
    <t>Jung, Alexandra</t>
  </si>
  <si>
    <t>Kaolian, Christopher</t>
  </si>
  <si>
    <t>A05X</t>
  </si>
  <si>
    <t>Kyung, Andrew</t>
  </si>
  <si>
    <t>A04D</t>
  </si>
  <si>
    <t>Magee, Bridgette</t>
  </si>
  <si>
    <t>A04U</t>
  </si>
  <si>
    <t>Mcgarry, Nicholas</t>
  </si>
  <si>
    <t>A0DN</t>
  </si>
  <si>
    <t>Mcgovern, John</t>
  </si>
  <si>
    <t>A0CO</t>
  </si>
  <si>
    <t>Mcnally, Nannette</t>
  </si>
  <si>
    <t>A07X</t>
  </si>
  <si>
    <t xml:space="preserve">Miller, John </t>
  </si>
  <si>
    <t>A0GH</t>
  </si>
  <si>
    <t>Prescott, Brian</t>
  </si>
  <si>
    <t>A08U</t>
  </si>
  <si>
    <t>Schmidt, Jeffrey</t>
  </si>
  <si>
    <t>A08S</t>
  </si>
  <si>
    <t>Smith, John</t>
  </si>
  <si>
    <t>A08G</t>
  </si>
  <si>
    <t>Thompson, Samuel</t>
  </si>
  <si>
    <t>A0F4</t>
  </si>
  <si>
    <t>Wong, Timothy</t>
  </si>
  <si>
    <t>A09D</t>
  </si>
  <si>
    <t>Kwok, Mary</t>
  </si>
  <si>
    <t>A04M</t>
  </si>
  <si>
    <t>Leung, Kwok Cheong</t>
  </si>
  <si>
    <t>A04L</t>
  </si>
  <si>
    <t>Ng, Rachel</t>
  </si>
  <si>
    <t>A07C</t>
  </si>
  <si>
    <t>Sassano, Nicholas</t>
  </si>
  <si>
    <t>A0DQ</t>
  </si>
  <si>
    <t>Duma, Anna</t>
  </si>
  <si>
    <t>A0G7</t>
  </si>
  <si>
    <t>Futerman, Allys</t>
  </si>
  <si>
    <t>A07B</t>
  </si>
  <si>
    <t>Mazurkiewicz, Patryk</t>
  </si>
  <si>
    <t>A04G</t>
  </si>
  <si>
    <t>Stolerman, Marina</t>
  </si>
  <si>
    <t>A0CS</t>
  </si>
  <si>
    <t>Urchek, Quinton</t>
  </si>
  <si>
    <t>A0BY</t>
  </si>
  <si>
    <t>Bassman, Robert</t>
  </si>
  <si>
    <t>Brantley, Tara</t>
  </si>
  <si>
    <t>Eriks, Martin</t>
  </si>
  <si>
    <t>Friedrichs, Jason</t>
  </si>
  <si>
    <t>A0FY</t>
  </si>
  <si>
    <t>Mohindra, Shiven</t>
  </si>
  <si>
    <t>A0HF</t>
  </si>
  <si>
    <t>Pasquinelli Cato, Isabella (Bella)</t>
  </si>
  <si>
    <t>A0CB</t>
  </si>
  <si>
    <t>Piegza, Matthew</t>
  </si>
  <si>
    <t>Punukula, Samhith</t>
  </si>
  <si>
    <t>A0DG</t>
  </si>
  <si>
    <t>Sarin, Ravi</t>
  </si>
  <si>
    <t>Schlageter, Jenna</t>
  </si>
  <si>
    <t>A0H7</t>
  </si>
  <si>
    <t>Stith, James</t>
  </si>
  <si>
    <t>Xiao, Lisa</t>
  </si>
  <si>
    <t>A0GP</t>
  </si>
  <si>
    <t>Aristippo, Lisa</t>
  </si>
  <si>
    <t>A0CR</t>
  </si>
  <si>
    <t>Chapman, Jacob</t>
  </si>
  <si>
    <t>A0DT</t>
  </si>
  <si>
    <t>Gonzalez, Ramon</t>
  </si>
  <si>
    <t>A07J</t>
  </si>
  <si>
    <t>Killeen, Jennifer</t>
  </si>
  <si>
    <t>A0H4</t>
  </si>
  <si>
    <t>Mcdonough, Suzzette</t>
  </si>
  <si>
    <t>A04V</t>
  </si>
  <si>
    <t>Munoz, Mellisa</t>
  </si>
  <si>
    <t>A0HE</t>
  </si>
  <si>
    <t>Siegel, Casey</t>
  </si>
  <si>
    <t>A05A</t>
  </si>
  <si>
    <t>Urbanik, Eliza</t>
  </si>
  <si>
    <t>A0FP</t>
  </si>
  <si>
    <t>Bilby, Kaitlin</t>
  </si>
  <si>
    <t>A0G9</t>
  </si>
  <si>
    <t>Dempsey, Kaitlyn</t>
  </si>
  <si>
    <t>A0DX</t>
  </si>
  <si>
    <t>Elia III, Stephen</t>
  </si>
  <si>
    <t>A084</t>
  </si>
  <si>
    <t>Han, Vicky</t>
  </si>
  <si>
    <t>A0GU</t>
  </si>
  <si>
    <t>Klarberg, Collis</t>
  </si>
  <si>
    <t>A0FQ</t>
  </si>
  <si>
    <t>Li, Cindy</t>
  </si>
  <si>
    <t>A06B</t>
  </si>
  <si>
    <t>Maloney, Kevin</t>
  </si>
  <si>
    <t>A0C1</t>
  </si>
  <si>
    <t>Newhouse, Edward</t>
  </si>
  <si>
    <t>A0CN</t>
  </si>
  <si>
    <t>Perreten, Elizabeth</t>
  </si>
  <si>
    <t>A0AK</t>
  </si>
  <si>
    <t>Simpson, Sarah</t>
  </si>
  <si>
    <t>A06V</t>
  </si>
  <si>
    <t>Weinstein, Dani</t>
  </si>
  <si>
    <t>A0CT</t>
  </si>
  <si>
    <t>Aung, Randy</t>
  </si>
  <si>
    <t>A09Y</t>
  </si>
  <si>
    <t>Chin, Christopher</t>
  </si>
  <si>
    <t>A0DS</t>
  </si>
  <si>
    <t>Fain, Rebecca</t>
  </si>
  <si>
    <t>A0GT</t>
  </si>
  <si>
    <t>Fox, Nicholas</t>
  </si>
  <si>
    <t>A0BH</t>
  </si>
  <si>
    <t>Juarez, Angel</t>
  </si>
  <si>
    <t>A0H8</t>
  </si>
  <si>
    <t>Vogel, Adam</t>
  </si>
  <si>
    <t>A0FZ</t>
  </si>
  <si>
    <t>Burns, Barbara</t>
  </si>
  <si>
    <t>A089</t>
  </si>
  <si>
    <t>Jackson, David</t>
  </si>
  <si>
    <t>A053</t>
  </si>
  <si>
    <t>Levinstim, Lauren</t>
  </si>
  <si>
    <t>A07K</t>
  </si>
  <si>
    <t>Marcellus, Michelle</t>
  </si>
  <si>
    <t>A0BZ</t>
  </si>
  <si>
    <t>Wilkinson, John</t>
  </si>
  <si>
    <t>A078</t>
  </si>
  <si>
    <t>Botnick, Steven</t>
  </si>
  <si>
    <t>A0DI</t>
  </si>
  <si>
    <t>Decillis II, Steven</t>
  </si>
  <si>
    <t>A08E</t>
  </si>
  <si>
    <t>Hoesterey, Brian</t>
  </si>
  <si>
    <t>Keeley, Colleen</t>
  </si>
  <si>
    <t>A0DV</t>
  </si>
  <si>
    <t>Powers, James</t>
  </si>
  <si>
    <t>A08X</t>
  </si>
  <si>
    <t>2275-M</t>
  </si>
  <si>
    <t>A0BR</t>
  </si>
  <si>
    <t>Testani, Joseph</t>
  </si>
  <si>
    <t>A0H9</t>
  </si>
  <si>
    <t>Althaus, Benjamin</t>
  </si>
  <si>
    <t>A09A</t>
  </si>
  <si>
    <t>Carlson, Baron</t>
  </si>
  <si>
    <t>Chalhoub, John Paul</t>
  </si>
  <si>
    <t>Chase, Ethan</t>
  </si>
  <si>
    <t>Cozzi, John</t>
  </si>
  <si>
    <t>A0AE</t>
  </si>
  <si>
    <t>Fischer, Benjamin</t>
  </si>
  <si>
    <t>A092</t>
  </si>
  <si>
    <t>Franco, Maria</t>
  </si>
  <si>
    <t>A0FW</t>
  </si>
  <si>
    <t>Gallagher, Brendan</t>
  </si>
  <si>
    <t>Glenn, Nicholas</t>
  </si>
  <si>
    <t>A0H6</t>
  </si>
  <si>
    <t>Hattler, Marisa</t>
  </si>
  <si>
    <t>Horton, Christopher</t>
  </si>
  <si>
    <t>A0BT</t>
  </si>
  <si>
    <t>Juneja, Harshit</t>
  </si>
  <si>
    <t>Kirkland, Wesley</t>
  </si>
  <si>
    <t>Kohn, Sally</t>
  </si>
  <si>
    <t>A058</t>
  </si>
  <si>
    <t>Kumar, Rachel</t>
  </si>
  <si>
    <t>Kwon, James</t>
  </si>
  <si>
    <t>Liebling, Blake</t>
  </si>
  <si>
    <t>Nathaniel, Molly</t>
  </si>
  <si>
    <t>A05D</t>
  </si>
  <si>
    <t>Parekh, Shivay</t>
  </si>
  <si>
    <t>A0F9</t>
  </si>
  <si>
    <t>Roth, Jonathan</t>
  </si>
  <si>
    <t>Schorr, Daniel</t>
  </si>
  <si>
    <t>A08L</t>
  </si>
  <si>
    <t>Schwartz, Charles</t>
  </si>
  <si>
    <t>Sedlacek, John</t>
  </si>
  <si>
    <t>A097</t>
  </si>
  <si>
    <t>Senkfor, Henry (Re-hire)</t>
  </si>
  <si>
    <t>Sipp, Grace</t>
  </si>
  <si>
    <t>A0GN</t>
  </si>
  <si>
    <t>Vlahos, Sylvia</t>
  </si>
  <si>
    <t>A057</t>
  </si>
  <si>
    <t>West, Blake</t>
  </si>
  <si>
    <t>A0F6</t>
  </si>
  <si>
    <t>Whelan, Timothy</t>
  </si>
  <si>
    <t>Wilkinson, Alan</t>
  </si>
  <si>
    <t>Wood, Ian</t>
  </si>
  <si>
    <t>A0A8</t>
  </si>
  <si>
    <t>Zheng, Mei Lin</t>
  </si>
  <si>
    <t>A0FB</t>
  </si>
  <si>
    <t>Agarwal, Rohan</t>
  </si>
  <si>
    <t>A0FF</t>
  </si>
  <si>
    <t>Alers, Nicholas</t>
  </si>
  <si>
    <t>Ardizzone, Catherine</t>
  </si>
  <si>
    <t>A0GQ</t>
  </si>
  <si>
    <t>Bales, Alexander</t>
  </si>
  <si>
    <t>A06Y</t>
  </si>
  <si>
    <t>Callahan, Grace</t>
  </si>
  <si>
    <t>A0BE</t>
  </si>
  <si>
    <t>Chand, Mohammad</t>
  </si>
  <si>
    <t>A09K</t>
  </si>
  <si>
    <t>Clark, Karen</t>
  </si>
  <si>
    <t>A04W</t>
  </si>
  <si>
    <t>Coleman, James</t>
  </si>
  <si>
    <t>A0DJ</t>
  </si>
  <si>
    <t>Darves-Bornoz, Derek</t>
  </si>
  <si>
    <t>A0BI</t>
  </si>
  <si>
    <t>De La Chapelle, Justin</t>
  </si>
  <si>
    <t>A08K</t>
  </si>
  <si>
    <t>Dietsch, Haley</t>
  </si>
  <si>
    <t>Dougherty, Charles</t>
  </si>
  <si>
    <t>Dubois, Heidi</t>
  </si>
  <si>
    <t>Fernholz, Daniel</t>
  </si>
  <si>
    <t>A0C5</t>
  </si>
  <si>
    <t>Glazer, Ryan</t>
  </si>
  <si>
    <t>A0GB</t>
  </si>
  <si>
    <t>Goyal, Rahul</t>
  </si>
  <si>
    <t>A086</t>
  </si>
  <si>
    <t>Herr, Frank</t>
  </si>
  <si>
    <t>A0AJ</t>
  </si>
  <si>
    <t>Ighodaro, Osasogie</t>
  </si>
  <si>
    <t>A0FK</t>
  </si>
  <si>
    <t>Ismail, Haroon</t>
  </si>
  <si>
    <t>A096</t>
  </si>
  <si>
    <t>Jett, Jordan</t>
  </si>
  <si>
    <t>Kamel, Anneka</t>
  </si>
  <si>
    <t>A090</t>
  </si>
  <si>
    <t>Kasabian, David</t>
  </si>
  <si>
    <t>Kumar, Vinay</t>
  </si>
  <si>
    <t>A082</t>
  </si>
  <si>
    <t>Lee, Alexander</t>
  </si>
  <si>
    <t>A0FV</t>
  </si>
  <si>
    <t>Lee, Jae Won</t>
  </si>
  <si>
    <t>A0GS</t>
  </si>
  <si>
    <t>Lieberman, Hale</t>
  </si>
  <si>
    <t>A0GG</t>
  </si>
  <si>
    <t>Lynch, Frederick</t>
  </si>
  <si>
    <t>Marsh, Rachel</t>
  </si>
  <si>
    <t>A0GJ</t>
  </si>
  <si>
    <t>Mercadante, Kevin</t>
  </si>
  <si>
    <t>Nagel, Jeffrey</t>
  </si>
  <si>
    <t>A08A</t>
  </si>
  <si>
    <t>Pryma, Thomas</t>
  </si>
  <si>
    <t>A080</t>
  </si>
  <si>
    <t>Reedy, Alexander</t>
  </si>
  <si>
    <t>A0FM</t>
  </si>
  <si>
    <t>Rodriguez, Samantha</t>
  </si>
  <si>
    <t>A0DH</t>
  </si>
  <si>
    <t>Sayers, Graham</t>
  </si>
  <si>
    <t>A0GA</t>
  </si>
  <si>
    <t>Sharpe, James</t>
  </si>
  <si>
    <t>A07Y</t>
  </si>
  <si>
    <t>Tien, Madeline</t>
  </si>
  <si>
    <t>A0GR</t>
  </si>
  <si>
    <t>Warren, Sarah</t>
  </si>
  <si>
    <t>A0FD</t>
  </si>
  <si>
    <t>Original</t>
  </si>
  <si>
    <t>Modified</t>
  </si>
  <si>
    <t>53 RESTAURANT</t>
  </si>
  <si>
    <t>53 Restaurant</t>
  </si>
  <si>
    <t>71 Above</t>
  </si>
  <si>
    <t>ABEJAS</t>
  </si>
  <si>
    <t>Abejas</t>
  </si>
  <si>
    <t>JFK T5 CC AERONOVA</t>
  </si>
  <si>
    <t>Aeronova</t>
  </si>
  <si>
    <t>AIRPORT MART</t>
  </si>
  <si>
    <t>Airport Mart</t>
  </si>
  <si>
    <t>Alaska Air</t>
  </si>
  <si>
    <t>ALIDORO MOYNIHAN</t>
  </si>
  <si>
    <t>Alidoro</t>
  </si>
  <si>
    <t>ALLIANZ TRAVEL INS</t>
  </si>
  <si>
    <t>Allianz</t>
  </si>
  <si>
    <t>ALOFT AUSTIN ROUND ROCK</t>
  </si>
  <si>
    <t>Aloft</t>
  </si>
  <si>
    <t>Amazon</t>
  </si>
  <si>
    <t>AMAZON WEB SERVICES</t>
  </si>
  <si>
    <t>AMAZON.COM LLC</t>
  </si>
  <si>
    <t>American</t>
  </si>
  <si>
    <t>JUSTGIVING.COM PURCHASE WITH MR POINTS</t>
  </si>
  <si>
    <t>AMS</t>
  </si>
  <si>
    <t>Amtrak</t>
  </si>
  <si>
    <t>AMTRAK MOBILE I</t>
  </si>
  <si>
    <t>AMTRAK NRTHEAST CAFE</t>
  </si>
  <si>
    <t>AMTRAK TICKET COUNTER</t>
  </si>
  <si>
    <t>ANTIQUE GARAGE</t>
  </si>
  <si>
    <t>Antique Garage</t>
  </si>
  <si>
    <t>APPLE.COM - USA</t>
  </si>
  <si>
    <t>Apple</t>
  </si>
  <si>
    <t>APPLE.COM/BILL</t>
  </si>
  <si>
    <t>Aquarela</t>
  </si>
  <si>
    <t>ART FOOD LLC</t>
  </si>
  <si>
    <t>Art Food</t>
  </si>
  <si>
    <t>AT&amp;T DEVICE/EQUIP SHIPMEN</t>
  </si>
  <si>
    <t>AT&amp;T</t>
  </si>
  <si>
    <t>ATL Airport</t>
  </si>
  <si>
    <t>ATLANTA AIRPORT - SELF PA</t>
  </si>
  <si>
    <t>ATLANTA ARPRT FOOD/BEV</t>
  </si>
  <si>
    <t>ATLANTA UNIVERSITY CENTE</t>
  </si>
  <si>
    <t>AUC Consortium</t>
  </si>
  <si>
    <t>BAR LA GRASSA</t>
  </si>
  <si>
    <t>Bar La Grassa</t>
  </si>
  <si>
    <t>Bardo Savannah</t>
  </si>
  <si>
    <t>Beechers</t>
  </si>
  <si>
    <t>THE BELLEVUE</t>
  </si>
  <si>
    <t>Bellevue</t>
  </si>
  <si>
    <t>BENOIT BISTRO</t>
  </si>
  <si>
    <t>Benoit Bistro</t>
  </si>
  <si>
    <t>BERK'S BAR</t>
  </si>
  <si>
    <t>Berk's Bar</t>
  </si>
  <si>
    <t>Berkshire Farms</t>
  </si>
  <si>
    <t>BEST BUY CO    474</t>
  </si>
  <si>
    <t>Best Buy</t>
  </si>
  <si>
    <t>WWW.BESTBUY.COM 888</t>
  </si>
  <si>
    <t>BITTY  BEAUS COFFEE WACO</t>
  </si>
  <si>
    <t>Bitty &amp; Beau's</t>
  </si>
  <si>
    <t>BITWARDEN INC.</t>
  </si>
  <si>
    <t>Bitwarden</t>
  </si>
  <si>
    <t>Black Fox</t>
  </si>
  <si>
    <t>BLOOMBERG FINANCE LP</t>
  </si>
  <si>
    <t>Bloomberg</t>
  </si>
  <si>
    <t>BLOOMBERG LP</t>
  </si>
  <si>
    <t>Blue Bottle</t>
  </si>
  <si>
    <t>BLUESTONE LANE - 182</t>
  </si>
  <si>
    <t>Bluestone Lane</t>
  </si>
  <si>
    <t>BOINGO WIRELESS, INC.</t>
  </si>
  <si>
    <t>Boingo Wireless</t>
  </si>
  <si>
    <t>Bojangles</t>
  </si>
  <si>
    <t>Boston Harbor</t>
  </si>
  <si>
    <t>JFK BOULTON &amp; WATT  63511</t>
  </si>
  <si>
    <t>Boulton &amp; Watt</t>
  </si>
  <si>
    <t>BHT NEPTUNE</t>
  </si>
  <si>
    <t>Brick House</t>
  </si>
  <si>
    <t>British Air</t>
  </si>
  <si>
    <t>Bryant Park Market</t>
  </si>
  <si>
    <t>LGA E BUBBYS DINER</t>
  </si>
  <si>
    <t>Bubby's Diner</t>
  </si>
  <si>
    <t>BUR Airport</t>
  </si>
  <si>
    <t>Burger 21</t>
  </si>
  <si>
    <t>BUTCHER AND BANKER NYC</t>
  </si>
  <si>
    <t>Butcher and Banker</t>
  </si>
  <si>
    <t>Cafe RX</t>
  </si>
  <si>
    <t>CANONICAL GROUP LIMITED</t>
  </si>
  <si>
    <t>Canonical</t>
  </si>
  <si>
    <t>CANVA PTY LTD</t>
  </si>
  <si>
    <t>Canva</t>
  </si>
  <si>
    <t>Caribou</t>
  </si>
  <si>
    <t>CARIBOU COFFEE 1505</t>
  </si>
  <si>
    <t>Carlucci's</t>
  </si>
  <si>
    <t>CAROLINA CONCESSIONS LL</t>
  </si>
  <si>
    <t>Carolina Concessions</t>
  </si>
  <si>
    <t>CASA LEVER</t>
  </si>
  <si>
    <t>Casa Lever</t>
  </si>
  <si>
    <t>CATER LADY NYC</t>
  </si>
  <si>
    <t>Cater Lady</t>
  </si>
  <si>
    <t>Cava</t>
  </si>
  <si>
    <t>CERTE</t>
  </si>
  <si>
    <t>Certe</t>
  </si>
  <si>
    <t>CHA CHA MATCHA - MIDTOWN</t>
  </si>
  <si>
    <t>Cha Cha Matcha</t>
  </si>
  <si>
    <t>Chick Fil A</t>
  </si>
  <si>
    <t>CHILI'S PINNACLE PARK</t>
  </si>
  <si>
    <t>Chili's</t>
  </si>
  <si>
    <t>Chipotle</t>
  </si>
  <si>
    <t>CHOPT CREATIVE SALAD CO.</t>
  </si>
  <si>
    <t>Chopt</t>
  </si>
  <si>
    <t>C1 CIBO EXPRESS C74</t>
  </si>
  <si>
    <t>Cibo Express</t>
  </si>
  <si>
    <t>CITY HIVE INC</t>
  </si>
  <si>
    <t>City Hive</t>
  </si>
  <si>
    <t>CITY WINERY - ROCKEFELLER POP UP</t>
  </si>
  <si>
    <t>City Winery</t>
  </si>
  <si>
    <t>CLEAR</t>
  </si>
  <si>
    <t>Clear</t>
  </si>
  <si>
    <t>1042 FLL CNBC</t>
  </si>
  <si>
    <t>CNBC</t>
  </si>
  <si>
    <t>COCA COLA BRAMPTON ON</t>
  </si>
  <si>
    <t>Coca Cola</t>
  </si>
  <si>
    <t>CONCORDE HOTEL NEW YORK</t>
  </si>
  <si>
    <t>Concorde</t>
  </si>
  <si>
    <t>MSP AIRP THE COOK &amp; THE O</t>
  </si>
  <si>
    <t>Cook &amp; the Ox</t>
  </si>
  <si>
    <t>Core Club</t>
  </si>
  <si>
    <t>Courtyard</t>
  </si>
  <si>
    <t>COURTYARDWALL AT MONMOUTH</t>
  </si>
  <si>
    <t>Cross Sound Ferry</t>
  </si>
  <si>
    <t>Curb</t>
  </si>
  <si>
    <t>CURB NYC TAXI</t>
  </si>
  <si>
    <t>VTS CHICAGO INDEPENDANTS</t>
  </si>
  <si>
    <t>VTS FLASH CAB/CURB</t>
  </si>
  <si>
    <t>Dave &amp; Busters</t>
  </si>
  <si>
    <t>D&amp;B TIME SQUARE #50 TABLE</t>
  </si>
  <si>
    <t>Dave &amp; Buster's</t>
  </si>
  <si>
    <t>DAVE &amp; BUSTER'S 50</t>
  </si>
  <si>
    <t>Dear Irving on Broadway</t>
  </si>
  <si>
    <t>DELIVEROO</t>
  </si>
  <si>
    <t>Deliveroo</t>
  </si>
  <si>
    <t>DEN PUBLIC PARKING</t>
  </si>
  <si>
    <t>DEN Airport</t>
  </si>
  <si>
    <t>DTW6202DETROITSTREETCAFE</t>
  </si>
  <si>
    <t>Detriot Street Cafe</t>
  </si>
  <si>
    <t>DEVOCION  LEXINGTON</t>
  </si>
  <si>
    <t>Devocion</t>
  </si>
  <si>
    <t>DIN TAI FUNG CENTURY CITY</t>
  </si>
  <si>
    <t>Din Tai Fung</t>
  </si>
  <si>
    <t>665 DISTRICT MARKET SFO</t>
  </si>
  <si>
    <t>District Market</t>
  </si>
  <si>
    <t>DNS MADE EASY</t>
  </si>
  <si>
    <t>DNS Made Easy</t>
  </si>
  <si>
    <t>THE DOCK HOUSE</t>
  </si>
  <si>
    <t>Dock House</t>
  </si>
  <si>
    <t>DOCUSIGN</t>
  </si>
  <si>
    <t>Docusign</t>
  </si>
  <si>
    <t>Dos Toros</t>
  </si>
  <si>
    <t>Dow Jones</t>
  </si>
  <si>
    <t>DTS NY LUXURY INC</t>
  </si>
  <si>
    <t>DTS NY</t>
  </si>
  <si>
    <t>Duane Reade</t>
  </si>
  <si>
    <t>DUNKIN DONUTS ST1515</t>
  </si>
  <si>
    <t>Dunkin Donuts</t>
  </si>
  <si>
    <t>DYNASTY LIMOUSINE SERVICE</t>
  </si>
  <si>
    <t>Dynasty Limo</t>
  </si>
  <si>
    <t>Bubbys Market</t>
  </si>
  <si>
    <t>EASTSIDE KOSHER DELI</t>
  </si>
  <si>
    <t>East Side Kosher Deli</t>
  </si>
  <si>
    <t>EFAX CORPORATE</t>
  </si>
  <si>
    <t>Efax</t>
  </si>
  <si>
    <t>Embassy Suites</t>
  </si>
  <si>
    <t>EMPELLON</t>
  </si>
  <si>
    <t>Empellon</t>
  </si>
  <si>
    <t>EMPELLON - MIDTOWN</t>
  </si>
  <si>
    <t>LGA E ESSEX BURGER MKT</t>
  </si>
  <si>
    <t>Essex Burger Market</t>
  </si>
  <si>
    <t>EURONA.COM</t>
  </si>
  <si>
    <t>Eurona</t>
  </si>
  <si>
    <t>EVENTBRITE</t>
  </si>
  <si>
    <t>Eventbrite</t>
  </si>
  <si>
    <t>THE BILTMORE F&amp;B</t>
  </si>
  <si>
    <t>F&amp;B</t>
  </si>
  <si>
    <t>F1 ARCADE - BOSTON</t>
  </si>
  <si>
    <t>F1 Arcade</t>
  </si>
  <si>
    <t>Fairmont</t>
  </si>
  <si>
    <t>Farm Cup</t>
  </si>
  <si>
    <t>Fasano</t>
  </si>
  <si>
    <t>FAXAGE</t>
  </si>
  <si>
    <t>Faxage</t>
  </si>
  <si>
    <t>FEDEX OFFICE #0876</t>
  </si>
  <si>
    <t>FedEx</t>
  </si>
  <si>
    <t>LGA FLATIRON TAVERN</t>
  </si>
  <si>
    <t>Flatiron Tavern</t>
  </si>
  <si>
    <t>FLEMINGS 1553</t>
  </si>
  <si>
    <t>Flemings</t>
  </si>
  <si>
    <t>FloLo Holistic</t>
  </si>
  <si>
    <t>Fly BLADE</t>
  </si>
  <si>
    <t>FOGO DE CHAO - NEW YORK</t>
  </si>
  <si>
    <t>FOGO DE CHAO</t>
  </si>
  <si>
    <t>FOOD FACTORY PROJECT LIMITED</t>
  </si>
  <si>
    <t>Food Factory</t>
  </si>
  <si>
    <t>Foothill Eastern</t>
  </si>
  <si>
    <t>FOUR HUNDRED</t>
  </si>
  <si>
    <t>Four Hundred</t>
  </si>
  <si>
    <t>Four Seasons</t>
  </si>
  <si>
    <t>FOUR SEASONS RESORT AND R</t>
  </si>
  <si>
    <t>FRANK PEPE'S PIZZERIA - MOHEGAN</t>
  </si>
  <si>
    <t>Frank Pepe Pizzeria</t>
  </si>
  <si>
    <t>FRESQUEZ - TIA'S EP</t>
  </si>
  <si>
    <t>Fresquez</t>
  </si>
  <si>
    <t>Frosch</t>
  </si>
  <si>
    <t>GITHUB</t>
  </si>
  <si>
    <t>Github</t>
  </si>
  <si>
    <t>GOOGLE SERVICES</t>
  </si>
  <si>
    <t>Google</t>
  </si>
  <si>
    <t>GORDON BIERSCH TA-118 #26</t>
  </si>
  <si>
    <t>Gordon Biersch</t>
  </si>
  <si>
    <t>GOTHAM NEWS MOYN 446</t>
  </si>
  <si>
    <t>Gotham News</t>
  </si>
  <si>
    <t>UKVI</t>
  </si>
  <si>
    <t>GOV.UK</t>
  </si>
  <si>
    <t>GREAT AMERICAN BAGEL  SAV</t>
  </si>
  <si>
    <t>Great American Bagel</t>
  </si>
  <si>
    <t>Gregorys</t>
  </si>
  <si>
    <t>GROB LIMOUSINE</t>
  </si>
  <si>
    <t>Grob Limo</t>
  </si>
  <si>
    <t>Halal Paradise</t>
  </si>
  <si>
    <t>HAMPTON INN ROUND ROCK</t>
  </si>
  <si>
    <t>Heaven on 7th</t>
  </si>
  <si>
    <t>NYC Taxi</t>
  </si>
  <si>
    <t>HEN HOUSE EATERY</t>
  </si>
  <si>
    <t>Hen House</t>
  </si>
  <si>
    <t>ELP 0932 HERITAGE BOOKS</t>
  </si>
  <si>
    <t>Heritage Books</t>
  </si>
  <si>
    <t>HERTZ FINANCIAL CENTER</t>
  </si>
  <si>
    <t>Hertz</t>
  </si>
  <si>
    <t>DFW HICKORY BBQ #6121121</t>
  </si>
  <si>
    <t>Hickory BBQ</t>
  </si>
  <si>
    <t>DOUBLETREE BY HILTON NYM</t>
  </si>
  <si>
    <t>Hilton</t>
  </si>
  <si>
    <t>HILTON NEW YORK</t>
  </si>
  <si>
    <t>H-LOTTE NEW YORK PALACE</t>
  </si>
  <si>
    <t>H-Lotte</t>
  </si>
  <si>
    <t>HOTEL ELYSEE</t>
  </si>
  <si>
    <t>Hotel Elysee</t>
  </si>
  <si>
    <t>TRAVEL RESERVATION US</t>
  </si>
  <si>
    <t>Hotels.com</t>
  </si>
  <si>
    <t>HUDSON NEWS JFK</t>
  </si>
  <si>
    <t>Hudson News</t>
  </si>
  <si>
    <t>HUDSON ST1613</t>
  </si>
  <si>
    <t>HUTONG</t>
  </si>
  <si>
    <t>Hutong</t>
  </si>
  <si>
    <t>IDEN BEIJING DUCK HOUSE 5TH AVE</t>
  </si>
  <si>
    <t>iDen &amp; Quanjude</t>
  </si>
  <si>
    <t>INTELSAT INFLIGHT</t>
  </si>
  <si>
    <t>Intelsat</t>
  </si>
  <si>
    <t>INTERCONTINENTAL BERLIN</t>
  </si>
  <si>
    <t>Intercontinental</t>
  </si>
  <si>
    <t>INTERNATIONAL TRANSPORTATION</t>
  </si>
  <si>
    <t>International Transportation</t>
  </si>
  <si>
    <t>PCKGR PTY LTD</t>
  </si>
  <si>
    <t>Intunepckg</t>
  </si>
  <si>
    <t>IRVING FARM COFFEE - 51ST ST</t>
  </si>
  <si>
    <t>Irving Farm</t>
  </si>
  <si>
    <t>JACQUARD</t>
  </si>
  <si>
    <t>Jacquard</t>
  </si>
  <si>
    <t>JAMBA JUICE ORD</t>
  </si>
  <si>
    <t>Jamba Juice</t>
  </si>
  <si>
    <t>Javits Center</t>
  </si>
  <si>
    <t>Jaydes Market</t>
  </si>
  <si>
    <t>JERSEY MIKES 34114</t>
  </si>
  <si>
    <t>Jersey Mikes</t>
  </si>
  <si>
    <t>JETBLUE AIRWAYS</t>
  </si>
  <si>
    <t>JETBRAINS AMERICAS INC.</t>
  </si>
  <si>
    <t>Jetbrains</t>
  </si>
  <si>
    <t>JFK Airport</t>
  </si>
  <si>
    <t>JOE &amp; THE JUICE</t>
  </si>
  <si>
    <t>Joe &amp; the Juice</t>
  </si>
  <si>
    <t>JP</t>
  </si>
  <si>
    <t>JUICE GENERATION 12</t>
  </si>
  <si>
    <t>Juice Generation</t>
  </si>
  <si>
    <t>JULIANA'S PIZZA</t>
  </si>
  <si>
    <t>Juliana's</t>
  </si>
  <si>
    <t>JUST WALK OUT</t>
  </si>
  <si>
    <t>Just Walk Out</t>
  </si>
  <si>
    <t>KAR VIBES LLC</t>
  </si>
  <si>
    <t>Kar Vibes</t>
  </si>
  <si>
    <t>KATZ ORANGE RESTAURANT BAR</t>
  </si>
  <si>
    <t>Katz Orange</t>
  </si>
  <si>
    <t>670 - LARIMER STREET MARK</t>
  </si>
  <si>
    <t>Larimer Street Mark</t>
  </si>
  <si>
    <t>LAVENUE</t>
  </si>
  <si>
    <t>L'Avenue</t>
  </si>
  <si>
    <t>Le Meridien</t>
  </si>
  <si>
    <t>LE MERIDIEN TAMPA</t>
  </si>
  <si>
    <t>LE PAIN QUOTIDIEN</t>
  </si>
  <si>
    <t>Le Pain Quotidien</t>
  </si>
  <si>
    <t>AMZ*LENOVO_USA AXOJCBB9K</t>
  </si>
  <si>
    <t>Lenovo</t>
  </si>
  <si>
    <t>LETTERMAN DIGITAL ARTS CENTER DINING COM</t>
  </si>
  <si>
    <t>Letterman Digital Arts</t>
  </si>
  <si>
    <t>LHL PARKING CO., LLC</t>
  </si>
  <si>
    <t>LHL Park</t>
  </si>
  <si>
    <t>LIDO HOUSE, AUTOGRAPH</t>
  </si>
  <si>
    <t>Lido House</t>
  </si>
  <si>
    <t>Limelight</t>
  </si>
  <si>
    <t>LinkedIn</t>
  </si>
  <si>
    <t>LITTLE PUB THREE</t>
  </si>
  <si>
    <t>Little Pub Three</t>
  </si>
  <si>
    <t>LOCAL JONNY'S</t>
  </si>
  <si>
    <t>Local Jonny's</t>
  </si>
  <si>
    <t>LOLITA - BACK BAY</t>
  </si>
  <si>
    <t>Lolita Back Bay</t>
  </si>
  <si>
    <t>LONE MOUNTAIN LIMO LLC</t>
  </si>
  <si>
    <t>Lone Mountain Limo</t>
  </si>
  <si>
    <t>R- LOTTE HOTEL NEW YORK</t>
  </si>
  <si>
    <t>Lotte</t>
  </si>
  <si>
    <t>707 BOWLERO TIMES SQUARE</t>
  </si>
  <si>
    <t>Lucky Strike</t>
  </si>
  <si>
    <t>MSOCIAL TIMES SQUARE</t>
  </si>
  <si>
    <t>M Social</t>
  </si>
  <si>
    <t>Macabacus</t>
  </si>
  <si>
    <t>Mackay Meters</t>
  </si>
  <si>
    <t>Macs Speed Shop</t>
  </si>
  <si>
    <t>55 STONE REST., INC.</t>
  </si>
  <si>
    <t>Mad Dog &amp; Beans</t>
  </si>
  <si>
    <t>MAMA CARMELA'S DELI</t>
  </si>
  <si>
    <t>Mama Carmela's Deli</t>
  </si>
  <si>
    <t>Maman</t>
  </si>
  <si>
    <t>MAMAN MOYNIHAN</t>
  </si>
  <si>
    <t>M48 CATERING CORP</t>
  </si>
  <si>
    <t>Mangia</t>
  </si>
  <si>
    <t>MANSUETO VENTURES LLC</t>
  </si>
  <si>
    <t>Mansueto Ventures</t>
  </si>
  <si>
    <t>MARIAN'S</t>
  </si>
  <si>
    <t>Marians</t>
  </si>
  <si>
    <t>MARKET STREET GRILL CONC</t>
  </si>
  <si>
    <t>Market Street Grill</t>
  </si>
  <si>
    <t>Marriott</t>
  </si>
  <si>
    <t>EL PASO MARRIOTT</t>
  </si>
  <si>
    <t>MARRIOTT 337U7 DETROIT DT</t>
  </si>
  <si>
    <t>MARRIOTT EL PASO</t>
  </si>
  <si>
    <t>MARRIOTT SAN JOSE</t>
  </si>
  <si>
    <t>Massis Kabob</t>
  </si>
  <si>
    <t>Matts in the Market</t>
  </si>
  <si>
    <t>MCDONALDS #18884</t>
  </si>
  <si>
    <t>McDonald's</t>
  </si>
  <si>
    <t>WWW PAY QQ COM NO 2</t>
  </si>
  <si>
    <t>MCGUIRE WOODS LLP ACCOUNT</t>
  </si>
  <si>
    <t>Mcguire Woods</t>
  </si>
  <si>
    <t>MI MUNDO COFFEEHOUSE AND ROASTERY</t>
  </si>
  <si>
    <t>Mi Mundo</t>
  </si>
  <si>
    <t>Michaels</t>
  </si>
  <si>
    <t>MICROSOFT</t>
  </si>
  <si>
    <t>Microsoft</t>
  </si>
  <si>
    <t>MICROSOFT STORE</t>
  </si>
  <si>
    <t>MIDTOWN TABLE</t>
  </si>
  <si>
    <t>Midtown Table</t>
  </si>
  <si>
    <t>MILOS, INC.</t>
  </si>
  <si>
    <t>Milos</t>
  </si>
  <si>
    <t>MINUTE SUITES</t>
  </si>
  <si>
    <t>Minute Suites</t>
  </si>
  <si>
    <t>Mission and Market</t>
  </si>
  <si>
    <t>15 - MIZNON - THE HUGH</t>
  </si>
  <si>
    <t>Miznon</t>
  </si>
  <si>
    <t>LOCAL CULTURE - 12 - MOKBAR - THE HUGH</t>
  </si>
  <si>
    <t>Mokbar</t>
  </si>
  <si>
    <t>PALMETTO BLUFF RESTAURANT</t>
  </si>
  <si>
    <t>Montage</t>
  </si>
  <si>
    <t>Mortons</t>
  </si>
  <si>
    <t>MINNEAPOLIS AIRPORT</t>
  </si>
  <si>
    <t>MSP Airport</t>
  </si>
  <si>
    <t>MTA LIRR</t>
  </si>
  <si>
    <t>MTA PayGo</t>
  </si>
  <si>
    <t>MY MOST FAVORITE FOOD</t>
  </si>
  <si>
    <t>My Most Favorite Food</t>
  </si>
  <si>
    <t>NAF NAF GRILL 014</t>
  </si>
  <si>
    <t>Naf Naf Grill</t>
  </si>
  <si>
    <t>NARRATIVE</t>
  </si>
  <si>
    <t>Narrative</t>
  </si>
  <si>
    <t>NATIONAL CAR RENTAL</t>
  </si>
  <si>
    <t>National</t>
  </si>
  <si>
    <t>NATIONAL TOLLS</t>
  </si>
  <si>
    <t>National Tolls</t>
  </si>
  <si>
    <t>NERAI</t>
  </si>
  <si>
    <t>Nerai</t>
  </si>
  <si>
    <t>NEWSLINK</t>
  </si>
  <si>
    <t>Newslink</t>
  </si>
  <si>
    <t>NEWSLINK 81 MAIR</t>
  </si>
  <si>
    <t>NOBU 57</t>
  </si>
  <si>
    <t>Nobu</t>
  </si>
  <si>
    <t>VTS  LIGHTSOURCE INC</t>
  </si>
  <si>
    <t>VTS NYC INTERBORO MANAGEM</t>
  </si>
  <si>
    <t>VTS S &amp; R MEDALLION</t>
  </si>
  <si>
    <t>OLE &amp; STEEN 14 111 EAST</t>
  </si>
  <si>
    <t>Ole &amp; Steen</t>
  </si>
  <si>
    <t>OMAR'S MEDITERRANEAN</t>
  </si>
  <si>
    <t>Omar's</t>
  </si>
  <si>
    <t>OMNI AUSTIN DOWNTOWN CONF</t>
  </si>
  <si>
    <t>Omni</t>
  </si>
  <si>
    <t>OMNI BOSTON AT THE SEAPOR</t>
  </si>
  <si>
    <t>OMNY VENDING</t>
  </si>
  <si>
    <t>OMNY</t>
  </si>
  <si>
    <t>ONE FLEW SOUTH</t>
  </si>
  <si>
    <t>One Flew South</t>
  </si>
  <si>
    <t>ON-SITE SHREDDING</t>
  </si>
  <si>
    <t>On-Site Shredding</t>
  </si>
  <si>
    <t>OPH - ADDISON</t>
  </si>
  <si>
    <t>Original Pancake House</t>
  </si>
  <si>
    <t>LITTLE ROCK MNCPL ARPT</t>
  </si>
  <si>
    <t>OYSTER HOUSE</t>
  </si>
  <si>
    <t>Oyster House</t>
  </si>
  <si>
    <t>Panda Express</t>
  </si>
  <si>
    <t>ELP 0935 EL PASO TRAVELMA</t>
  </si>
  <si>
    <t>Paradies Lagardere</t>
  </si>
  <si>
    <t>Parking 3</t>
  </si>
  <si>
    <t>Parking Management Company</t>
  </si>
  <si>
    <t>Peets</t>
  </si>
  <si>
    <t>PHILLIPS 66-CONOCO-76 ELE</t>
  </si>
  <si>
    <t>Phillips 66</t>
  </si>
  <si>
    <t>PHL Airport</t>
  </si>
  <si>
    <t>Pink Taco</t>
  </si>
  <si>
    <t>WWWPLATEPASSCOM</t>
  </si>
  <si>
    <t>PlatePass</t>
  </si>
  <si>
    <t>POTBELLY #5273</t>
  </si>
  <si>
    <t>Potbelly</t>
  </si>
  <si>
    <t>PRET A MANGER</t>
  </si>
  <si>
    <t>Pret A Manger</t>
  </si>
  <si>
    <t>PRET A MANGER #0016</t>
  </si>
  <si>
    <t>PRET A MANGER-WEST ONE</t>
  </si>
  <si>
    <t>Printleaf</t>
  </si>
  <si>
    <t>PROPER FOOD - MADISON AVENUE</t>
  </si>
  <si>
    <t>Proper Food</t>
  </si>
  <si>
    <t>AUSTIN PROPER HOTEL &amp; RES</t>
  </si>
  <si>
    <t>Proper Hotel</t>
  </si>
  <si>
    <t>Protein Bar</t>
  </si>
  <si>
    <t>Public Market</t>
  </si>
  <si>
    <t>PURE GREEN CHERRY CREEK</t>
  </si>
  <si>
    <t>Pure Green</t>
  </si>
  <si>
    <t>Qdoba</t>
  </si>
  <si>
    <t>QDOBA</t>
  </si>
  <si>
    <t>QUALITY BISTRO</t>
  </si>
  <si>
    <t>Quality Bistro</t>
  </si>
  <si>
    <t>QUALITY ITALIAN</t>
  </si>
  <si>
    <t>Quality Italian</t>
  </si>
  <si>
    <t>QUALITY MEATS</t>
  </si>
  <si>
    <t>Quality Meats</t>
  </si>
  <si>
    <t>LDS TAXIBETRIEB</t>
  </si>
  <si>
    <t>Quality Taxi</t>
  </si>
  <si>
    <t>RAPHLAUREN.COM</t>
  </si>
  <si>
    <t>Ralph Lauren</t>
  </si>
  <si>
    <t>RAY'S AT KILLER CREEK</t>
  </si>
  <si>
    <t>Ray's</t>
  </si>
  <si>
    <t>Regus Mgmt</t>
  </si>
  <si>
    <t>RINALDI'S DELI</t>
  </si>
  <si>
    <t>Rinaldi's Deli</t>
  </si>
  <si>
    <t>Ritz Carlton</t>
  </si>
  <si>
    <t>Roberts Florist</t>
  </si>
  <si>
    <t>ROOST</t>
  </si>
  <si>
    <t>Roost</t>
  </si>
  <si>
    <t>Royal Park</t>
  </si>
  <si>
    <t>Rudys Limo</t>
  </si>
  <si>
    <t>SABRINAS CAFE</t>
  </si>
  <si>
    <t>Sabrinas</t>
  </si>
  <si>
    <t>SAN VICENTE WEST VILLAGE</t>
  </si>
  <si>
    <t>San Vicente</t>
  </si>
  <si>
    <t>SAVORY HOSPITALITY</t>
  </si>
  <si>
    <t>Savory Hospitality</t>
  </si>
  <si>
    <t>SBB CFF FFS</t>
  </si>
  <si>
    <t>SERPAPI, LLC</t>
  </si>
  <si>
    <t>Serpapi</t>
  </si>
  <si>
    <t>SFO Airport</t>
  </si>
  <si>
    <t>SHAKE SHACK D/E FC CLT</t>
  </si>
  <si>
    <t>Shake Shack</t>
  </si>
  <si>
    <t>FUTIAN SHANGRI-LA, SHENZHEN</t>
  </si>
  <si>
    <t>Shangri-La</t>
  </si>
  <si>
    <t>SHELL OIL</t>
  </si>
  <si>
    <t>Shell Oil</t>
  </si>
  <si>
    <t>Sheraton</t>
  </si>
  <si>
    <t>SHERATON OVERLAND PARK</t>
  </si>
  <si>
    <t>SHOREPOINTS MKT AT EWR 74</t>
  </si>
  <si>
    <t>Shore Points Market</t>
  </si>
  <si>
    <t>SIERRA RESTAURANT, LLC</t>
  </si>
  <si>
    <t>Sierra</t>
  </si>
  <si>
    <t>SILVER SPOON SPECIALTIES LLC</t>
  </si>
  <si>
    <t>Silver Spoon</t>
  </si>
  <si>
    <t>Skyline</t>
  </si>
  <si>
    <t>SLIM CHICKENS BOND STREET</t>
  </si>
  <si>
    <t>Slim Chickens</t>
  </si>
  <si>
    <t>SOHO 54 HOTEL</t>
  </si>
  <si>
    <t>Soho 54</t>
  </si>
  <si>
    <t>SOUTHWEST AIRLINES</t>
  </si>
  <si>
    <t>Southwest</t>
  </si>
  <si>
    <t>Speedway</t>
  </si>
  <si>
    <t>Springbone Kitchen</t>
  </si>
  <si>
    <t>STARBIRD</t>
  </si>
  <si>
    <t>Starbird</t>
  </si>
  <si>
    <t>1954 JFK STAR BUCKS #844</t>
  </si>
  <si>
    <t>Starbucks</t>
  </si>
  <si>
    <t>SBUX06363</t>
  </si>
  <si>
    <t>SBUX07805</t>
  </si>
  <si>
    <t>SBUX09241</t>
  </si>
  <si>
    <t>SBUX11736</t>
  </si>
  <si>
    <t>SBUX19024</t>
  </si>
  <si>
    <t>SBUX29709</t>
  </si>
  <si>
    <t>STARBUCKS 68070 G POD 5</t>
  </si>
  <si>
    <t>STARBUCKS 81494 D FOOD CO</t>
  </si>
  <si>
    <t>STARBUCKS POST SECURITY E</t>
  </si>
  <si>
    <t>STATE LIMOUSINE SERVICE INC</t>
  </si>
  <si>
    <t>State Limo</t>
  </si>
  <si>
    <t>Stein Eriksen</t>
  </si>
  <si>
    <t>STEINECKE'S HEIDEBROT FIL. 3317</t>
  </si>
  <si>
    <t>Steinecke's Heidebrot</t>
  </si>
  <si>
    <t>Stellar</t>
  </si>
  <si>
    <t>SUMMER RENTAL</t>
  </si>
  <si>
    <t>Summer Rental</t>
  </si>
  <si>
    <t>Summit Elite</t>
  </si>
  <si>
    <t>SUMMIT EXPRESS NJ., INC</t>
  </si>
  <si>
    <t>Summit Express</t>
  </si>
  <si>
    <t>Sunlife Organics</t>
  </si>
  <si>
    <t>Surfside</t>
  </si>
  <si>
    <t>SUSHI ANN</t>
  </si>
  <si>
    <t>Sushi Ann</t>
  </si>
  <si>
    <t>SUSHI Q RESTAURANT</t>
  </si>
  <si>
    <t xml:space="preserve">Sushi Q </t>
  </si>
  <si>
    <t>SWA</t>
  </si>
  <si>
    <t>SWEETGREEN MARINA 177</t>
  </si>
  <si>
    <t>SWEETGREEN MIDTOWN</t>
  </si>
  <si>
    <t>SWISS INTL. AIR LINES BSP</t>
  </si>
  <si>
    <t>Swiss</t>
  </si>
  <si>
    <t>Taim</t>
  </si>
  <si>
    <t>RETAIL BER</t>
  </si>
  <si>
    <t>take away</t>
  </si>
  <si>
    <t>TANNER SMITHS</t>
  </si>
  <si>
    <t>Tanner Smiths</t>
  </si>
  <si>
    <t>Target</t>
  </si>
  <si>
    <t>Tartinery</t>
  </si>
  <si>
    <t>TATIANA RESTAURANT</t>
  </si>
  <si>
    <t>Tatiana</t>
  </si>
  <si>
    <t>THALES IFEC</t>
  </si>
  <si>
    <t>Thales</t>
  </si>
  <si>
    <t>THE ARCH CAFE</t>
  </si>
  <si>
    <t>The Arch Cafe</t>
  </si>
  <si>
    <t>THE BAKERY ROOM</t>
  </si>
  <si>
    <t>The Bakery Room</t>
  </si>
  <si>
    <t>2021 ATL PIEDMONT MART</t>
  </si>
  <si>
    <t>The Green Market</t>
  </si>
  <si>
    <t>THE GRILL RESTAURANT</t>
  </si>
  <si>
    <t>The Grill</t>
  </si>
  <si>
    <t>LGAF THE LINE MARKET</t>
  </si>
  <si>
    <t>The Line Market</t>
  </si>
  <si>
    <t>LGAF THE LINE SPRTS GRILL</t>
  </si>
  <si>
    <t>The Line Sports Grill</t>
  </si>
  <si>
    <t>THE PARK LANE HOTEL F &amp; B</t>
  </si>
  <si>
    <t>The Park Lane Hotel</t>
  </si>
  <si>
    <t>The Pierre</t>
  </si>
  <si>
    <t>The Westin Atlanta Airport</t>
  </si>
  <si>
    <t>Westin</t>
  </si>
  <si>
    <t>THE WHITBY HOTEL</t>
  </si>
  <si>
    <t>The Whitby</t>
  </si>
  <si>
    <t>THINK-CELL OPERATIONS GMBH</t>
  </si>
  <si>
    <t>Think-Cell</t>
  </si>
  <si>
    <t>TIDE CLEANERS</t>
  </si>
  <si>
    <t>Tide Cleaners</t>
  </si>
  <si>
    <t>4289 TONY &amp; BENNYS</t>
  </si>
  <si>
    <t>Tony &amp; Bennys</t>
  </si>
  <si>
    <t>TPA Airport</t>
  </si>
  <si>
    <t>TRANSAVIA.COM</t>
  </si>
  <si>
    <t>Transavia</t>
  </si>
  <si>
    <t>UBER RIDES</t>
  </si>
  <si>
    <t>UNITED ELEC TICKETNG</t>
  </si>
  <si>
    <t>UPTACO LLC</t>
  </si>
  <si>
    <t>Uptaco</t>
  </si>
  <si>
    <t>URBAN EAT DRINK</t>
  </si>
  <si>
    <t>Urban Eat Drink</t>
  </si>
  <si>
    <t>URBAN MARKET T3 US TOR</t>
  </si>
  <si>
    <t>Urban Market</t>
  </si>
  <si>
    <t>USPS</t>
  </si>
  <si>
    <t>7076 JAX VERDI MARKET</t>
  </si>
  <si>
    <t>Verdi Market</t>
  </si>
  <si>
    <t>VIC'S ON THE RIVER</t>
  </si>
  <si>
    <t>Vic's on the River</t>
  </si>
  <si>
    <t>7082 DTW VINO VOLO</t>
  </si>
  <si>
    <t>Vino Volo</t>
  </si>
  <si>
    <t>WAL-MART SUPERCENTER 1172</t>
  </si>
  <si>
    <t>Walmart</t>
  </si>
  <si>
    <t>WAL-MART SUPERCENTER 1173</t>
  </si>
  <si>
    <t>WASABI TECHNOLOGIES</t>
  </si>
  <si>
    <t>Wasabi Technologies</t>
  </si>
  <si>
    <t>Watchhouse</t>
  </si>
  <si>
    <t>THE WESTIN BOSTON WATERFRONT</t>
  </si>
  <si>
    <t>WESTIN CHICAGO O'HARE</t>
  </si>
  <si>
    <t>WESTIN DETROIT METROPOLITAN AIRPORT</t>
  </si>
  <si>
    <t>WESTIN MICHIGAN AVE</t>
  </si>
  <si>
    <t>WESTIN MINNEAPOLIS</t>
  </si>
  <si>
    <t>Willy's Mexicana Grill</t>
  </si>
  <si>
    <t>Willy's</t>
  </si>
  <si>
    <t>XOX TRUFFLES</t>
  </si>
  <si>
    <t>XOX Truffles</t>
  </si>
  <si>
    <t>YETI COOLERS LLC</t>
  </si>
  <si>
    <t>Yeti</t>
  </si>
  <si>
    <t>ZOHO CORPORARTION PRIVATE LIMITED</t>
  </si>
  <si>
    <t>Zoho Corp</t>
  </si>
  <si>
    <t>Chan, Sean</t>
  </si>
  <si>
    <t>A0A9</t>
  </si>
  <si>
    <t>Garcia, John</t>
  </si>
  <si>
    <t>MINIBAR DELIVERY</t>
  </si>
  <si>
    <t>MONKEY BAR</t>
  </si>
  <si>
    <t>AMSTER WINE</t>
  </si>
  <si>
    <t>GRACIE BAKED</t>
  </si>
  <si>
    <t>LADY WONG</t>
  </si>
  <si>
    <t>THE PARK LANE HOTEL</t>
  </si>
  <si>
    <t>HAMPTON INN &amp; SUITES COLU</t>
  </si>
  <si>
    <t>FIRST WATCH #227</t>
  </si>
  <si>
    <t>GUOMAO HOTEL MANAGEMENT C</t>
  </si>
  <si>
    <t>hyatt regency taoyuan international ai</t>
  </si>
  <si>
    <t>MARRIOTT CLARK</t>
  </si>
  <si>
    <t>106 JEFFERSON</t>
  </si>
  <si>
    <t>BAKER &amp; ABLE</t>
  </si>
  <si>
    <t>RIBM FULTON</t>
  </si>
  <si>
    <t>CANOPY BY HIILTON CHICAGO</t>
  </si>
  <si>
    <t>LOEWS CHICAGO O'HARE HOTE</t>
  </si>
  <si>
    <t>CHIC-FIL-A O'HARE</t>
  </si>
  <si>
    <t>CROWN GLOBAL INVESTMENTS,</t>
  </si>
  <si>
    <t>BUZZFEED/FOSTER NYC LGA</t>
  </si>
  <si>
    <t>VTS DIAMOND TAXI</t>
  </si>
  <si>
    <t>GRAVITY HAUS - ASPEN</t>
  </si>
  <si>
    <t>AMPERSAND AIR, LLC</t>
  </si>
  <si>
    <t>DFW BANH SHOP TERM C #611</t>
  </si>
  <si>
    <t>CREPE SHACK ASPEN - NEW</t>
  </si>
  <si>
    <t>WAYAN ASPEN</t>
  </si>
  <si>
    <t>RENAISSANCE MILWAUKEE WES</t>
  </si>
  <si>
    <t>AC HOTEL JACKSONVILLE</t>
  </si>
  <si>
    <t>LGA C COTTO MARKET</t>
  </si>
  <si>
    <t>CITYPICKLE</t>
  </si>
  <si>
    <t>WOLLMAN PARK PARTNERS LLC</t>
  </si>
  <si>
    <t>CNP SHEWAL'S BURGER BAR J</t>
  </si>
  <si>
    <t>TRUE FOOD KITCHEN 1028</t>
  </si>
  <si>
    <t>JUST SALAD 1290 AVENUE OF</t>
  </si>
  <si>
    <t>CAFE 53</t>
  </si>
  <si>
    <t>MTA LIRR MOBILE</t>
  </si>
  <si>
    <t>STATION PLAZA PARKING FA</t>
  </si>
  <si>
    <t>LONDON HEATHROW MARRIOTT HOTEL</t>
  </si>
  <si>
    <t>WE KNOW GROUP LTD</t>
  </si>
  <si>
    <t>CAFE CARMELA 2</t>
  </si>
  <si>
    <t>American Express Initiated Activity</t>
  </si>
  <si>
    <t>A0HO</t>
  </si>
  <si>
    <t>A0HR</t>
  </si>
  <si>
    <t>A0HT</t>
  </si>
  <si>
    <t>A0HU</t>
  </si>
  <si>
    <t>A0HV</t>
  </si>
  <si>
    <t>Jefferson</t>
  </si>
  <si>
    <t>AC Hotel</t>
  </si>
  <si>
    <t>Ampersand Air</t>
  </si>
  <si>
    <t>Amster Wine</t>
  </si>
  <si>
    <t>Baker &amp; Able</t>
  </si>
  <si>
    <t>Buzzfeed</t>
  </si>
  <si>
    <t>Cafe 53</t>
  </si>
  <si>
    <t>Cafe Carmela</t>
  </si>
  <si>
    <t>Citypickle</t>
  </si>
  <si>
    <t>Shewal's Burger</t>
  </si>
  <si>
    <t xml:space="preserve">Crepe Shack </t>
  </si>
  <si>
    <t>Crown Global Inv</t>
  </si>
  <si>
    <t>DFW Banh Shop</t>
  </si>
  <si>
    <t xml:space="preserve">First Watch </t>
  </si>
  <si>
    <t>Gracie Baked</t>
  </si>
  <si>
    <t>Gravity Haus</t>
  </si>
  <si>
    <t xml:space="preserve">Guomao Hotel </t>
  </si>
  <si>
    <t xml:space="preserve">Hampton Inn </t>
  </si>
  <si>
    <t>Hyatt</t>
  </si>
  <si>
    <t>Just Salad</t>
  </si>
  <si>
    <t>Lady Wong</t>
  </si>
  <si>
    <t>LGA Market</t>
  </si>
  <si>
    <t>Loews</t>
  </si>
  <si>
    <t>LHR Mariott</t>
  </si>
  <si>
    <t>Minibar</t>
  </si>
  <si>
    <t>Monkey Bar</t>
  </si>
  <si>
    <t>Renaissance</t>
  </si>
  <si>
    <t>Ribm Fulton</t>
  </si>
  <si>
    <t>Station Plaza</t>
  </si>
  <si>
    <t>Park Lane</t>
  </si>
  <si>
    <t xml:space="preserve">True Food </t>
  </si>
  <si>
    <t>VTS Diamond Taxi</t>
  </si>
  <si>
    <t>Wayan Aspen</t>
  </si>
  <si>
    <t>We Know Grp Ltd</t>
  </si>
  <si>
    <t xml:space="preserve">Wollman Park </t>
  </si>
  <si>
    <t>Baker, Christine</t>
  </si>
  <si>
    <t>A0HN</t>
  </si>
  <si>
    <t>Benyaminy, Alyssa</t>
  </si>
  <si>
    <t>A0HJ</t>
  </si>
  <si>
    <t>Gummadi, Bhavika</t>
  </si>
  <si>
    <t>Mamane, Noah</t>
  </si>
  <si>
    <t>A0HL</t>
  </si>
  <si>
    <t>McGilloway, Maeve</t>
  </si>
  <si>
    <t>A0HH</t>
  </si>
  <si>
    <t>Ryan, Graham</t>
  </si>
  <si>
    <t>A0HQ</t>
  </si>
  <si>
    <t>Schott, Kyle</t>
  </si>
  <si>
    <t>A0HM</t>
  </si>
  <si>
    <t>Slamowitz, Eli</t>
  </si>
  <si>
    <t xml:space="preserve">Stone, Elizabeth </t>
  </si>
  <si>
    <t>Walemba, Nathan</t>
  </si>
  <si>
    <t>A0HP</t>
  </si>
  <si>
    <t>Garrow, Matthew</t>
  </si>
  <si>
    <t>A0HW</t>
  </si>
  <si>
    <t xml:space="preserve">Joumas, Kathryn </t>
  </si>
  <si>
    <t>Park, Charles</t>
  </si>
  <si>
    <t>A0HK</t>
  </si>
  <si>
    <t>Ansour, Edward</t>
  </si>
  <si>
    <t>Kouba, Nolan</t>
  </si>
  <si>
    <t>A0HS</t>
  </si>
  <si>
    <t>Murphy, Jack</t>
  </si>
  <si>
    <t>Sang, Jessica</t>
  </si>
  <si>
    <t>Suman, Tanav</t>
  </si>
  <si>
    <t>Pay QQ</t>
  </si>
  <si>
    <t>ATRIUM CIBO EXPRESS WEST</t>
  </si>
  <si>
    <t>AVIS RENT A CAR CORP</t>
  </si>
  <si>
    <t>Avis</t>
  </si>
  <si>
    <t>Bishopsgate hotel derry</t>
  </si>
  <si>
    <t>Bishopsgate Hotel</t>
  </si>
  <si>
    <t>BROWNS IN TOWN</t>
  </si>
  <si>
    <t>Browns In Town</t>
  </si>
  <si>
    <t>C2 VANGUARD KTCH</t>
  </si>
  <si>
    <t>Vanguard Ktch</t>
  </si>
  <si>
    <t>CAFE ZUPAS</t>
  </si>
  <si>
    <t>Cafe Zupas</t>
  </si>
  <si>
    <t>CAMBRIA HOTEL SHELBY TOWN</t>
  </si>
  <si>
    <t xml:space="preserve">Cambria Hotel </t>
  </si>
  <si>
    <t>CELLINI RESTAURANT</t>
  </si>
  <si>
    <t xml:space="preserve">Cellini </t>
  </si>
  <si>
    <t>CENTRAL POINTE MKT ST2163</t>
  </si>
  <si>
    <t>Central Pointe Mkt</t>
  </si>
  <si>
    <t>CHOPT MOYNIHAN</t>
  </si>
  <si>
    <t>CNP BLACKHAWKS T2 ORD</t>
  </si>
  <si>
    <t>CNPBlackhawks</t>
  </si>
  <si>
    <t>EMMETTS ON GROVE</t>
  </si>
  <si>
    <t>Emmetts On Grove</t>
  </si>
  <si>
    <t>ERNST KLEIN 1464</t>
  </si>
  <si>
    <t>Ernst Klein</t>
  </si>
  <si>
    <t>FOUR SEASONS HOTEL CHCAGO</t>
  </si>
  <si>
    <t xml:space="preserve">Four Seasons </t>
  </si>
  <si>
    <t>FRANKLIN TAP</t>
  </si>
  <si>
    <t>Franklin Tap</t>
  </si>
  <si>
    <t>FRESCO</t>
  </si>
  <si>
    <t>Fresco</t>
  </si>
  <si>
    <t>GRAND AMERICA</t>
  </si>
  <si>
    <t>Grand America</t>
  </si>
  <si>
    <t>GREEN MARKET H6</t>
  </si>
  <si>
    <t>Green Market</t>
  </si>
  <si>
    <t>GUSTO</t>
  </si>
  <si>
    <t>Gusto</t>
  </si>
  <si>
    <t>HAMPTON JITNEY</t>
  </si>
  <si>
    <t>Hampton Jitney</t>
  </si>
  <si>
    <t>HUMBLE THALI</t>
  </si>
  <si>
    <t>Humble Thali</t>
  </si>
  <si>
    <t>HUNT &amp; FISH CLUB</t>
  </si>
  <si>
    <t xml:space="preserve">Hunt &amp; Fish </t>
  </si>
  <si>
    <t>INSTITUTE OF FOOD TECHNOLOGISTS</t>
  </si>
  <si>
    <t>Institute Of Food Tech</t>
  </si>
  <si>
    <t>JACKSONVLLE AVIATION AUTH</t>
  </si>
  <si>
    <t>Jacksonvlle Aviation</t>
  </si>
  <si>
    <t>JAX 0048 CNBC</t>
  </si>
  <si>
    <t>Jax 0048 Cnbc</t>
  </si>
  <si>
    <t>JFK2 SHAKE SHACK B23 1052</t>
  </si>
  <si>
    <t xml:space="preserve">Shake Shack </t>
  </si>
  <si>
    <t>LOCAL CULTURE - 3 - ALIDORO</t>
  </si>
  <si>
    <t>Local Culture</t>
  </si>
  <si>
    <t>LOONEY'S PUB-MAPLE LAWN</t>
  </si>
  <si>
    <t>Looney's</t>
  </si>
  <si>
    <t>MADISON &amp; VINE</t>
  </si>
  <si>
    <t>Madison &amp; Vine</t>
  </si>
  <si>
    <t>MANGIA 48TH MADISON ITALIAN FOOD  CORPOR</t>
  </si>
  <si>
    <t xml:space="preserve">Mangia </t>
  </si>
  <si>
    <t>MEMBERSHIP REWARDS  ADJUSTMENT</t>
  </si>
  <si>
    <t>MILOS 55TH</t>
  </si>
  <si>
    <t xml:space="preserve">Milos </t>
  </si>
  <si>
    <t>OCEANA</t>
  </si>
  <si>
    <t>Oceana</t>
  </si>
  <si>
    <t>OSTERIA DELBIANCO</t>
  </si>
  <si>
    <t>Osteria Delbianco</t>
  </si>
  <si>
    <t>PINE INN</t>
  </si>
  <si>
    <t>Pine Inn</t>
  </si>
  <si>
    <t>PUBLIX 713</t>
  </si>
  <si>
    <t xml:space="preserve">Publix </t>
  </si>
  <si>
    <t>QUENCH USA INC</t>
  </si>
  <si>
    <t xml:space="preserve">Quench </t>
  </si>
  <si>
    <t>RALEIGH DURHAM EMBASSY SU</t>
  </si>
  <si>
    <t>Embassy Suits</t>
  </si>
  <si>
    <t>RELIANCE VITAMIN LLC</t>
  </si>
  <si>
    <t>Reliance Vitamin</t>
  </si>
  <si>
    <t>RH JACKSONVILLE RESTAURA</t>
  </si>
  <si>
    <t>RH Jacksonville</t>
  </si>
  <si>
    <t>SHOPRITE 397 COMMERCE ST</t>
  </si>
  <si>
    <t xml:space="preserve">Shoprite </t>
  </si>
  <si>
    <t>SWEET PEA'S BAKING COMPANY</t>
  </si>
  <si>
    <t>Sweet Pea Baking</t>
  </si>
  <si>
    <t>TFL TRAVEL CHARGE</t>
  </si>
  <si>
    <t>TFLTravel Charge</t>
  </si>
  <si>
    <t>THE INDEPENDENT TAXI ASSOCIATI</t>
  </si>
  <si>
    <t xml:space="preserve">The Independent Taxi </t>
  </si>
  <si>
    <t>THE LODGE AT WOODCLIFF</t>
  </si>
  <si>
    <t>The Lodge</t>
  </si>
  <si>
    <t>THE POLO BAR</t>
  </si>
  <si>
    <t>Polo Bar</t>
  </si>
  <si>
    <t>TOMMY BAHAMA RSTR 864</t>
  </si>
  <si>
    <t>Tommy Bahama</t>
  </si>
  <si>
    <t>TREATS</t>
  </si>
  <si>
    <t>Treats</t>
  </si>
  <si>
    <t>TROPICAL SMOOTHIE CAFE</t>
  </si>
  <si>
    <t xml:space="preserve">Tropical Smoothie </t>
  </si>
  <si>
    <t>VTS WHITE &amp; BLUE GROUP</t>
  </si>
  <si>
    <t>VTS Group</t>
  </si>
  <si>
    <t>WOODCLIFF HOTEL</t>
  </si>
  <si>
    <t>Woodcliff Hotel</t>
  </si>
  <si>
    <t>10 - JOSEPH BROTHERS - THE HUGH</t>
  </si>
  <si>
    <t>Joseph Brothers</t>
  </si>
  <si>
    <t>4220 DOS TOROS</t>
  </si>
  <si>
    <t>4224 TALDE NOODLE AND BAR</t>
  </si>
  <si>
    <t>Talde Noodle</t>
  </si>
  <si>
    <t>57TH &amp; LEX</t>
  </si>
  <si>
    <t>57Th &amp; Lex</t>
  </si>
  <si>
    <t>652 - FLIGHT STOP</t>
  </si>
  <si>
    <t>Flight Stop</t>
  </si>
  <si>
    <t>BED BATH &amp; BEYOND</t>
  </si>
  <si>
    <t>Bed Bath &amp; Beyond</t>
  </si>
  <si>
    <t>BOKA 564 LLC</t>
  </si>
  <si>
    <t>Boka</t>
  </si>
  <si>
    <t>BOOTS THE CHEMIST</t>
  </si>
  <si>
    <t xml:space="preserve">Boots </t>
  </si>
  <si>
    <t>BOURBON PUB</t>
  </si>
  <si>
    <t>Bourbon Pub</t>
  </si>
  <si>
    <t>CAPITAL GRILLE 8036</t>
  </si>
  <si>
    <t>Capital Grille</t>
  </si>
  <si>
    <t>CASE ME WESTPORT</t>
  </si>
  <si>
    <t>Case Me</t>
  </si>
  <si>
    <t>CENTRAL MARKET NEW YORK</t>
  </si>
  <si>
    <t>Central Market</t>
  </si>
  <si>
    <t>CFA INSTITUTE- NETSUITE-A</t>
  </si>
  <si>
    <t>CFA</t>
  </si>
  <si>
    <t>CHICAGO CUT STEAKHOUSE</t>
  </si>
  <si>
    <t xml:space="preserve">Chicago Cut </t>
  </si>
  <si>
    <t>CHICK-FIL-A # 04141</t>
  </si>
  <si>
    <t>CHOPT CREATIVE SALAD CO</t>
  </si>
  <si>
    <t>CLO</t>
  </si>
  <si>
    <t>CNP CHILI'S BAR E2 ORD</t>
  </si>
  <si>
    <t>Cnp Chili's</t>
  </si>
  <si>
    <t>CODA DI VOLPE</t>
  </si>
  <si>
    <t>Coda Di Volpe</t>
  </si>
  <si>
    <t>COFFEE BODEGA FARMTOTABLE</t>
  </si>
  <si>
    <t>Coffee Farm To Table</t>
  </si>
  <si>
    <t>CRAIN'S CHICAGO SUBSCRIPT</t>
  </si>
  <si>
    <t>Crain's</t>
  </si>
  <si>
    <t>DECADENT</t>
  </si>
  <si>
    <t>Decadent</t>
  </si>
  <si>
    <t>DEVOCION  FLATIRON</t>
  </si>
  <si>
    <t xml:space="preserve">Devocion  </t>
  </si>
  <si>
    <t>DISHES</t>
  </si>
  <si>
    <t>Dishes</t>
  </si>
  <si>
    <t>DREAM MID TOWN</t>
  </si>
  <si>
    <t>Dream Mid Town</t>
  </si>
  <si>
    <t>DT 636 LEXINGTON</t>
  </si>
  <si>
    <t>DT Lexington</t>
  </si>
  <si>
    <t>DUNKIN DONUTS</t>
  </si>
  <si>
    <t>EARLS PRUDENTIAL</t>
  </si>
  <si>
    <t>Earls Prudential</t>
  </si>
  <si>
    <t>EATALY</t>
  </si>
  <si>
    <t>Eataly</t>
  </si>
  <si>
    <t>EMBASSY SUITES BOSTON LOG</t>
  </si>
  <si>
    <t xml:space="preserve">Embassy Suites </t>
  </si>
  <si>
    <t>EVVIA</t>
  </si>
  <si>
    <t>Evvia</t>
  </si>
  <si>
    <t>EWR CASCIANOS C1</t>
  </si>
  <si>
    <t>EWR Cascianos</t>
  </si>
  <si>
    <t>EXXONMOBIL CAT OUTSIDE</t>
  </si>
  <si>
    <t>Exxonmobil</t>
  </si>
  <si>
    <t>FABROCINIS BEVERLY GLEN</t>
  </si>
  <si>
    <t xml:space="preserve">Fabrocinis </t>
  </si>
  <si>
    <t>FIA RESTAURANT</t>
  </si>
  <si>
    <t>FIA Restaurant</t>
  </si>
  <si>
    <t>FIORELLO MARKET LGA  #LGA</t>
  </si>
  <si>
    <t xml:space="preserve">Fiorello Market </t>
  </si>
  <si>
    <t>FIRKIN FLYER BWI</t>
  </si>
  <si>
    <t>Firkin Flyer</t>
  </si>
  <si>
    <t>FIVE IRON GOLF UPPER EA</t>
  </si>
  <si>
    <t xml:space="preserve">Five Iron Golf </t>
  </si>
  <si>
    <t>FLORES</t>
  </si>
  <si>
    <t>Flores</t>
  </si>
  <si>
    <t>GAMBINO'S NEW YORK SUBS</t>
  </si>
  <si>
    <t>Gambino's</t>
  </si>
  <si>
    <t>GEG GREEDY COW BURGER 698</t>
  </si>
  <si>
    <t>Geg Greedy Burger</t>
  </si>
  <si>
    <t>GIBSONS ITALIA</t>
  </si>
  <si>
    <t>Gibsons</t>
  </si>
  <si>
    <t>GREAT AMERICAN BAGEL MKE</t>
  </si>
  <si>
    <t xml:space="preserve">Great American Bagel </t>
  </si>
  <si>
    <t>GREEN BEANS COFFEE</t>
  </si>
  <si>
    <t>Green Beans Coffee</t>
  </si>
  <si>
    <t>HERTZ CAR RENTAL</t>
  </si>
  <si>
    <t>HOSPITALITY HQ - MONARCH MARKET</t>
  </si>
  <si>
    <t>Monarch Market</t>
  </si>
  <si>
    <t>HOTEL ZACHARY FRONT DESK</t>
  </si>
  <si>
    <t>Hotel Zachary</t>
  </si>
  <si>
    <t>HUB 51-ORD AIRPORT</t>
  </si>
  <si>
    <t>Hub 51 ORD</t>
  </si>
  <si>
    <t>HUDSON NEWS O'HARE JV</t>
  </si>
  <si>
    <t>INKIND CARDS INC</t>
  </si>
  <si>
    <t xml:space="preserve">Inkind Cards </t>
  </si>
  <si>
    <t>JFK T5 AV FC DUNKIN</t>
  </si>
  <si>
    <t>KAZUNORI LEX</t>
  </si>
  <si>
    <t>Kazunori</t>
  </si>
  <si>
    <t>LA BAIA</t>
  </si>
  <si>
    <t>La Baia</t>
  </si>
  <si>
    <t>LA BELLE HELENE CHARLOTTE</t>
  </si>
  <si>
    <t>La Belle</t>
  </si>
  <si>
    <t>LGA IRVING FARMS #6331418</t>
  </si>
  <si>
    <t xml:space="preserve">Irving Farms </t>
  </si>
  <si>
    <t>LGA JUICE PRESS</t>
  </si>
  <si>
    <t>Juice Press</t>
  </si>
  <si>
    <t>LGA MELT SHOP 6331214</t>
  </si>
  <si>
    <t>Melt Shop</t>
  </si>
  <si>
    <t>LOBSTER CLUB RESTAURANT</t>
  </si>
  <si>
    <t>Lobster Club</t>
  </si>
  <si>
    <t>LOGAN AIRPORT F&amp;B</t>
  </si>
  <si>
    <t>Logan F&amp;B</t>
  </si>
  <si>
    <t>LOGANAIR AGENT SALES US</t>
  </si>
  <si>
    <t>Logan Air Agent</t>
  </si>
  <si>
    <t>LOGANAIR WEB SALES GBP</t>
  </si>
  <si>
    <t>LUKE'S ITALIAN BEEF</t>
  </si>
  <si>
    <t>Luke's Italian</t>
  </si>
  <si>
    <t>LURE FISHBAR</t>
  </si>
  <si>
    <t>Lure Fishbar</t>
  </si>
  <si>
    <t>MAGGIE'S PLACE</t>
  </si>
  <si>
    <t>Maggie's Place</t>
  </si>
  <si>
    <t>MAIN-JERSEY MIKES SUBS CL</t>
  </si>
  <si>
    <t>Jersey Mikes Subs</t>
  </si>
  <si>
    <t>MALA PROJECT</t>
  </si>
  <si>
    <t>Mala Project</t>
  </si>
  <si>
    <t>MARRIOTT 337A5 CITY CNTR</t>
  </si>
  <si>
    <t>MARRIOTTPONTEVEDRABEAC MA</t>
  </si>
  <si>
    <t>MI504 - MARKET - CAMBRIA HOTEL DETROIT-S</t>
  </si>
  <si>
    <t>Cambria Hotel</t>
  </si>
  <si>
    <t>MOHEGAN SUN HOTEL</t>
  </si>
  <si>
    <t xml:space="preserve">Mohegan Sun </t>
  </si>
  <si>
    <t>MOJO 200 STH WACKER</t>
  </si>
  <si>
    <t xml:space="preserve">Mojo </t>
  </si>
  <si>
    <t>MSN2 ANCORA #6702342</t>
  </si>
  <si>
    <t>MSN2 Ancora</t>
  </si>
  <si>
    <t>MTA METERS - MTA PBP</t>
  </si>
  <si>
    <t>MTA*MNR ETIX TICKET</t>
  </si>
  <si>
    <t>MTA E-Tix</t>
  </si>
  <si>
    <t>NATIONAL ASSC OF INV COMP</t>
  </si>
  <si>
    <t>National Assc Of Inv Comp</t>
  </si>
  <si>
    <t>NAYA MEZZE &amp; GRILL LLC-MOTO</t>
  </si>
  <si>
    <t>Naya</t>
  </si>
  <si>
    <t>NYCDOT PARKING METERS</t>
  </si>
  <si>
    <t xml:space="preserve">NYC Parking </t>
  </si>
  <si>
    <t>OLD TOWN BAR &amp; RESTAURANT</t>
  </si>
  <si>
    <t>Old Town Bar &amp; Restaurant</t>
  </si>
  <si>
    <t>OYSTER POINT HOTEL INC</t>
  </si>
  <si>
    <t>Oyster Point Hotel Inc</t>
  </si>
  <si>
    <t>OZUMO - SAN FRANCISCO</t>
  </si>
  <si>
    <t>Ozumo</t>
  </si>
  <si>
    <t>PARQEX INC.</t>
  </si>
  <si>
    <t xml:space="preserve">Parqex </t>
  </si>
  <si>
    <t>PERDIDA KITCHEN</t>
  </si>
  <si>
    <t>Perdida Kitchen</t>
  </si>
  <si>
    <t>PUYA ROCKEFELLER CENTER LLC</t>
  </si>
  <si>
    <t>Puya Rockefeller</t>
  </si>
  <si>
    <t>RFR HOLDING</t>
  </si>
  <si>
    <t>RFR Holding</t>
  </si>
  <si>
    <t>RHINO MARKET AND DELI</t>
  </si>
  <si>
    <t>Rhino Market</t>
  </si>
  <si>
    <t>RITZ CARLTON WATER TOWER</t>
  </si>
  <si>
    <t xml:space="preserve">Ritz Carlton </t>
  </si>
  <si>
    <t>ROCHESTER CHP HSE/OYST BR</t>
  </si>
  <si>
    <t>Rochester Chp Hse</t>
  </si>
  <si>
    <t>ROSES CAFE</t>
  </si>
  <si>
    <t>Roses Cafe</t>
  </si>
  <si>
    <t>ROSIE O'GRADYS</t>
  </si>
  <si>
    <t>Rosie O'Gradys</t>
  </si>
  <si>
    <t>SANKAKU</t>
  </si>
  <si>
    <t>Sankaku</t>
  </si>
  <si>
    <t>SANTAMBROEUS MADISON</t>
  </si>
  <si>
    <t xml:space="preserve">Sant Ambroeus </t>
  </si>
  <si>
    <t>SAVOY CLUB NYC</t>
  </si>
  <si>
    <t>Savoy Club</t>
  </si>
  <si>
    <t>SCHLOTZSKY'S #103625</t>
  </si>
  <si>
    <t>Schlotzsky's</t>
  </si>
  <si>
    <t>SEEKING ALPHA LTD</t>
  </si>
  <si>
    <t>Seeking Alpha</t>
  </si>
  <si>
    <t>SKY MARKET CENTER CORE B</t>
  </si>
  <si>
    <t>Sky Market Center</t>
  </si>
  <si>
    <t>SMOOTHIE KING ORD</t>
  </si>
  <si>
    <t>Smoothie King</t>
  </si>
  <si>
    <t>SOUTHERN GROUNDS JAX</t>
  </si>
  <si>
    <t>Southern Grounds</t>
  </si>
  <si>
    <t>SOUTHWEST ONBOARD INTERNT</t>
  </si>
  <si>
    <t>Southwest Onboard</t>
  </si>
  <si>
    <t>SPOKANE AIRPORT PARKING</t>
  </si>
  <si>
    <t>Spokane Airport Parking</t>
  </si>
  <si>
    <t>SPOTHERO, INC.</t>
  </si>
  <si>
    <t>Spothero</t>
  </si>
  <si>
    <t>SPRINGBONE MADISON LLC</t>
  </si>
  <si>
    <t>Springbone</t>
  </si>
  <si>
    <t>SUMMIT COFFEE SOUTH PARK</t>
  </si>
  <si>
    <t>Summit Coffee</t>
  </si>
  <si>
    <t>TAILWIND HSV, LLC</t>
  </si>
  <si>
    <t>Tailwind Hsv</t>
  </si>
  <si>
    <t>TATTE BAKERY STORE 630029</t>
  </si>
  <si>
    <t xml:space="preserve">Tatte Bakery </t>
  </si>
  <si>
    <t>THE ALLEGRO ROYAL SONESTA</t>
  </si>
  <si>
    <t>Royal Sonesta</t>
  </si>
  <si>
    <t>THE BAR ROOM</t>
  </si>
  <si>
    <t>The Bar Room</t>
  </si>
  <si>
    <t>THE DISTRICT</t>
  </si>
  <si>
    <t>The District</t>
  </si>
  <si>
    <t>THE FEEDERY AT GROW GATHER</t>
  </si>
  <si>
    <t xml:space="preserve">The Feedery </t>
  </si>
  <si>
    <t>THE NEWBURY BOSTON</t>
  </si>
  <si>
    <t>The Newbury</t>
  </si>
  <si>
    <t>THE VINERY 18982067</t>
  </si>
  <si>
    <t>The Vinery</t>
  </si>
  <si>
    <t>THINK COFFEE 4TH</t>
  </si>
  <si>
    <t xml:space="preserve">Think Coffee </t>
  </si>
  <si>
    <t>TOP GOLF USA INC 1/2 BAY</t>
  </si>
  <si>
    <t>Top Golf</t>
  </si>
  <si>
    <t>TOPGOLF JACKSONVILLE 032-</t>
  </si>
  <si>
    <t>Topgolf Jacksonville</t>
  </si>
  <si>
    <t>TRAN-STAR EXECUTIVE</t>
  </si>
  <si>
    <t>Tran-Star Exec</t>
  </si>
  <si>
    <t>TROLLEY BARN</t>
  </si>
  <si>
    <t>Trolley Barn</t>
  </si>
  <si>
    <t>TRUE FOOD KITCHEN LLC 105</t>
  </si>
  <si>
    <t>VALBELLA AT THE PARK</t>
  </si>
  <si>
    <t>Valbella</t>
  </si>
  <si>
    <t>VIZZ GROUP</t>
  </si>
  <si>
    <t>Vizz Group</t>
  </si>
  <si>
    <t>WATERBEAN COFFEE SOUTH TRYON</t>
  </si>
  <si>
    <t>Waterbean Coffee</t>
  </si>
  <si>
    <t>WENDYS BRIDGEMAN FOO</t>
  </si>
  <si>
    <t xml:space="preserve">Wendys </t>
  </si>
  <si>
    <t>SHAKE SHACK C25 BOS</t>
  </si>
  <si>
    <t>COMMITTEE - BOSTON</t>
  </si>
  <si>
    <t>MARINA DEL REY MARRIOTT</t>
  </si>
  <si>
    <t>CITIZENM BOSTON BACK BAY</t>
  </si>
  <si>
    <t>MARRIOTT BOSTON</t>
  </si>
  <si>
    <t>CHART HOUSE STATELINE</t>
  </si>
  <si>
    <t>JERSEY MIKES 19018</t>
  </si>
  <si>
    <t>DOMINO'S PIZZA 4062</t>
  </si>
  <si>
    <t>STAPLES 595</t>
  </si>
  <si>
    <t>SUBWAY 994</t>
  </si>
  <si>
    <t>HERTZ</t>
  </si>
  <si>
    <t>SUNOCO PUMP</t>
  </si>
  <si>
    <t>BUFFALO AIRPORT</t>
  </si>
  <si>
    <t>ALPEN PANTRY</t>
  </si>
  <si>
    <t>AMERICAS DOG OHARE - KIOSK</t>
  </si>
  <si>
    <t>HUDSON NEWS LAX</t>
  </si>
  <si>
    <t>FOUR SEASONS HTL WSTLKE</t>
  </si>
  <si>
    <t>NONNA</t>
  </si>
  <si>
    <t>TEN THOUSAND</t>
  </si>
  <si>
    <t>FONTAINEBLEAU LAS VEGAS</t>
  </si>
  <si>
    <t>EUROPE LIMOUSINE SERVICE, INC</t>
  </si>
  <si>
    <t>AUSTIN AIRPORT</t>
  </si>
  <si>
    <t>3179 AUST BERRY AUSTIN</t>
  </si>
  <si>
    <t>EWR C3 SAISON</t>
  </si>
  <si>
    <t>EWR CUSTOM BURGERS C1</t>
  </si>
  <si>
    <t>EWR C1 GLOBAL BAZAAR</t>
  </si>
  <si>
    <t>FRESHENS TERMINAL C</t>
  </si>
  <si>
    <t>STARBASE HIKARU SUSHI</t>
  </si>
  <si>
    <t>VERMILLION RESTAURANT</t>
  </si>
  <si>
    <t>BULLRITOS- 22</t>
  </si>
  <si>
    <t>4223 ZAROS BAKERY</t>
  </si>
  <si>
    <t>TOWNEPLACE SUITES BROWNSV</t>
  </si>
  <si>
    <t>MARRIOTT 337E5 NEWARK</t>
  </si>
  <si>
    <t>TAMPA AIRPORT</t>
  </si>
  <si>
    <t>BERNARDIN'S CUISINE</t>
  </si>
  <si>
    <t>CHICK-FIL-A # 03790</t>
  </si>
  <si>
    <t>IL RITORNO</t>
  </si>
  <si>
    <t>COSMOPOL-FRONT DESK</t>
  </si>
  <si>
    <t>RIDEYELLOW</t>
  </si>
  <si>
    <t>STAR MARKET  2576</t>
  </si>
  <si>
    <t>PRESSED CAFE PRUDENTIAL</t>
  </si>
  <si>
    <t>JETSUITEX INC.</t>
  </si>
  <si>
    <t>FOUR SEASONS F AND B</t>
  </si>
  <si>
    <t>SPILLER PARK COFFEE- TOCO HILLS</t>
  </si>
  <si>
    <t>FARLEY'S CAFE - SFO AIRPORT</t>
  </si>
  <si>
    <t>BLUE BARN - STEINER</t>
  </si>
  <si>
    <t>KARA'S CUPCAKES - MARINA BAKERY</t>
  </si>
  <si>
    <t>MENDOCINO FARMS MENDO - 2</t>
  </si>
  <si>
    <t>TARGET PLUS</t>
  </si>
  <si>
    <t>THREAD LOGIC</t>
  </si>
  <si>
    <t>CUSTOMINK LLC</t>
  </si>
  <si>
    <t>ELEVATION SURF CHARTERS</t>
  </si>
  <si>
    <t>MARRIOTT 337P6 ATLN STS</t>
  </si>
  <si>
    <t>PICKLES DELI DOWNTOWN</t>
  </si>
  <si>
    <t>SHAKE SHACK T2 STL</t>
  </si>
  <si>
    <t>HUDSON NEWS HGSL</t>
  </si>
  <si>
    <t>NIVA ST LOUIS GIFT SHOP INC.</t>
  </si>
  <si>
    <t>SIDNEY STREET CAFE</t>
  </si>
  <si>
    <t>LITTLE FOX - NEW</t>
  </si>
  <si>
    <t>KAZUNORI - 157 E 53RD ST</t>
  </si>
  <si>
    <t>TEN TWENTY POST OYSTER BAR &amp; BISTRO</t>
  </si>
  <si>
    <t>DEL FRISCO'S GRILLE 8701</t>
  </si>
  <si>
    <t>AAAIM</t>
  </si>
  <si>
    <t>KRAMERBOOKS &amp; AFTERWARDS CAFE</t>
  </si>
  <si>
    <t>LUCKY BUNS</t>
  </si>
  <si>
    <t>100 WOMEN IN FINANCE ASSOCIATION</t>
  </si>
  <si>
    <t>JACKS 001</t>
  </si>
  <si>
    <t>FMCGLOBALSAT INC</t>
  </si>
  <si>
    <t>SLI.DO S.R.O.</t>
  </si>
  <si>
    <t>LGA ELI ZABAR AND DUNKIN</t>
  </si>
  <si>
    <t>WALDORF ASTORIA</t>
  </si>
  <si>
    <t>ARC NETWORK</t>
  </si>
  <si>
    <t>FIRST WATCH 1041</t>
  </si>
  <si>
    <t>SEMMA</t>
  </si>
  <si>
    <t>CREVETTE</t>
  </si>
  <si>
    <t>UPTACO</t>
  </si>
  <si>
    <t>CITY BEETS KITCHEN</t>
  </si>
  <si>
    <t>RINSE INC</t>
  </si>
  <si>
    <t>PASTA CORNER - 9 E 53RD ST</t>
  </si>
  <si>
    <t>ADELS FAMOUS HALAL FOOD</t>
  </si>
  <si>
    <t>OOTOYA CHELSEA</t>
  </si>
  <si>
    <t>SLATE CAFE -  UPPER WEST SIDE</t>
  </si>
  <si>
    <t>AR CAIRO INC</t>
  </si>
  <si>
    <t>BARBUTO</t>
  </si>
  <si>
    <t>OLIO  E PIU</t>
  </si>
  <si>
    <t>VAN LEEUWEN ICE CREAM  TIMES SQUARE</t>
  </si>
  <si>
    <t>ROYAL GRILL HALAL FOOD</t>
  </si>
  <si>
    <t>SLICEUNCLEPAULSPIZZA</t>
  </si>
  <si>
    <t>ONCHEON</t>
  </si>
  <si>
    <t>MAGNOLIA ROCK CENTER</t>
  </si>
  <si>
    <t>VAN LEEUWEN ICE CREAM  ROCK CENTER</t>
  </si>
  <si>
    <t>KATZS DELICATESSEN</t>
  </si>
  <si>
    <t>ESSA BAGEL INC</t>
  </si>
  <si>
    <t>1770 HOUSE</t>
  </si>
  <si>
    <t>1770 House</t>
  </si>
  <si>
    <t>7-ELEVEN STOREONLY</t>
  </si>
  <si>
    <t>7-Eleven</t>
  </si>
  <si>
    <t>EWR C1 ABRUZZO</t>
  </si>
  <si>
    <t>Abruzzo</t>
  </si>
  <si>
    <t>ACE'S PIZZA - ROCKEFELLER CENTER</t>
  </si>
  <si>
    <t>Ace's Pizza</t>
  </si>
  <si>
    <t>ADMINWARE SOFTWARE PRIVATE LIMITED</t>
  </si>
  <si>
    <t xml:space="preserve">Adminware Software </t>
  </si>
  <si>
    <t>AGC PARTNERS</t>
  </si>
  <si>
    <t>AGC Partners</t>
  </si>
  <si>
    <t>Air Canada</t>
  </si>
  <si>
    <t>ALOFT BIRMINGHAM SOHO SQU</t>
  </si>
  <si>
    <t>AMERICANAIRLINES PAC USD</t>
  </si>
  <si>
    <t>AMEX ASSURANCE CRLDC</t>
  </si>
  <si>
    <t>ARTISAN WEST HARTFORD</t>
  </si>
  <si>
    <t xml:space="preserve">Artisan </t>
  </si>
  <si>
    <t>ASSOCIATION FOR CORPORATE GROWTH, INC.</t>
  </si>
  <si>
    <t>Ass.For Corporate Growth</t>
  </si>
  <si>
    <t>AUNTIE ANNE'S - IL120 WAT</t>
  </si>
  <si>
    <t>Auntie Anne's</t>
  </si>
  <si>
    <t>AVIS TOLL</t>
  </si>
  <si>
    <t>BAR AND GRILL MAYFAIR</t>
  </si>
  <si>
    <t>Bar &amp; Grill Mayfair</t>
  </si>
  <si>
    <t>BAR BONOBO NEW</t>
  </si>
  <si>
    <t>Bar Bonobo</t>
  </si>
  <si>
    <t>BEST BUY 1326</t>
  </si>
  <si>
    <t>BESTBUY GSP MTHLY 1578</t>
  </si>
  <si>
    <t>THE BISTRO AZ</t>
  </si>
  <si>
    <t>Bistro AZ</t>
  </si>
  <si>
    <t>BRASS NY</t>
  </si>
  <si>
    <t>Brass</t>
  </si>
  <si>
    <t>CAF LYRIA</t>
  </si>
  <si>
    <t>Caf Lyria</t>
  </si>
  <si>
    <t>CAFE BOULUD</t>
  </si>
  <si>
    <t>Cafe Boulud</t>
  </si>
  <si>
    <t>CAFE HOLLANDER - BROOKFIELD NEW</t>
  </si>
  <si>
    <t>Cafe Hollander</t>
  </si>
  <si>
    <t>CAFFE LODI</t>
  </si>
  <si>
    <t>Caffe Lodi</t>
  </si>
  <si>
    <t>1043 CAFFE NERO WEST HARTFORD</t>
  </si>
  <si>
    <t>Caffe Nero</t>
  </si>
  <si>
    <t>CAROLINA CRAFT</t>
  </si>
  <si>
    <t>Carolina Craft</t>
  </si>
  <si>
    <t>CASA CRUZ</t>
  </si>
  <si>
    <t>Casa Cruz</t>
  </si>
  <si>
    <t>CHARLOTTE CAFE</t>
  </si>
  <si>
    <t>Charlotte Cafe</t>
  </si>
  <si>
    <t>CHICAGO BEARS SUITES</t>
  </si>
  <si>
    <t>Chicago Bears Suites</t>
  </si>
  <si>
    <t>CHICK FIL A</t>
  </si>
  <si>
    <t>CHILI'S BAR &amp; BITES MAIN</t>
  </si>
  <si>
    <t>EWR C3 CIBO EXPRESS 131</t>
  </si>
  <si>
    <t>CITTANUOVA</t>
  </si>
  <si>
    <t>Cittanuova</t>
  </si>
  <si>
    <t>CLUB GEORGE</t>
  </si>
  <si>
    <t>Club George</t>
  </si>
  <si>
    <t>COCKTAILS &amp; DREAMS MOBILE BAR LLC</t>
  </si>
  <si>
    <t>Cocktails &amp; Dreams</t>
  </si>
  <si>
    <t>COPA/ARP</t>
  </si>
  <si>
    <t>COPA</t>
  </si>
  <si>
    <t>COPELAND'S OF NEW ORLEANS</t>
  </si>
  <si>
    <t>Copeland's of New Orleans</t>
  </si>
  <si>
    <t>IL CORSO RISTORANTE</t>
  </si>
  <si>
    <t>Corso Ristorante</t>
  </si>
  <si>
    <t>WWW.CREATIVESAFETSUPPLY.C</t>
  </si>
  <si>
    <t>Creative Safe Supply</t>
  </si>
  <si>
    <t>CROSBY STREET HOTEL</t>
  </si>
  <si>
    <t>Crosby Street Hotel</t>
  </si>
  <si>
    <t>PHX DELUX BURGER N1</t>
  </si>
  <si>
    <t>Deluxe Burger</t>
  </si>
  <si>
    <t>DEPARTURES AT SFO 684</t>
  </si>
  <si>
    <t>Departures SFO</t>
  </si>
  <si>
    <t>DOMAINE FRANEY WINES &amp; SP</t>
  </si>
  <si>
    <t xml:space="preserve">Domaine Franey Wines </t>
  </si>
  <si>
    <t>E.A.K. RAMEN - MOYNIHAN</t>
  </si>
  <si>
    <t xml:space="preserve">EAK Ramen </t>
  </si>
  <si>
    <t>SP EATMEZCLA</t>
  </si>
  <si>
    <t>Eatmezcla</t>
  </si>
  <si>
    <t>ERIE CAFE</t>
  </si>
  <si>
    <t>Erie Cafe</t>
  </si>
  <si>
    <t>Etihad Airways</t>
  </si>
  <si>
    <t>Etihad Air</t>
  </si>
  <si>
    <t>FARMERS MARKET 002025070</t>
  </si>
  <si>
    <t xml:space="preserve">Farmers Market </t>
  </si>
  <si>
    <t>FRESHII</t>
  </si>
  <si>
    <t>Freshii</t>
  </si>
  <si>
    <t>FRONTIER AIRLINES</t>
  </si>
  <si>
    <t>Frontier Air</t>
  </si>
  <si>
    <t>FROSCH UK LTD</t>
  </si>
  <si>
    <t>GODADDY.COM</t>
  </si>
  <si>
    <t>GOLDBELLY</t>
  </si>
  <si>
    <t>Goldbelly</t>
  </si>
  <si>
    <t>THE GOLDEN PEAR CAFE EAST</t>
  </si>
  <si>
    <t>Golden Pear Cafe</t>
  </si>
  <si>
    <t>GOOGLE *SERVICES</t>
  </si>
  <si>
    <t>HALF MOON EMPANADAS  DENVER INTERNATIONA</t>
  </si>
  <si>
    <t>Half Moon Empanadas</t>
  </si>
  <si>
    <t>HEATH EXP AMEX GBP WEB</t>
  </si>
  <si>
    <t>Heath Exp Amex</t>
  </si>
  <si>
    <t>HELEN</t>
  </si>
  <si>
    <t>Helen</t>
  </si>
  <si>
    <t>HOGAN ASSESSMENT SYSTEM</t>
  </si>
  <si>
    <t>Hogan Assessment System</t>
  </si>
  <si>
    <t>HOTEL LE BEAU-RIVAGE</t>
  </si>
  <si>
    <t>Hotel Le Beau-Rivage</t>
  </si>
  <si>
    <t>HUDSONST1740</t>
  </si>
  <si>
    <t>HUDSON NEWS CONCOURSE B</t>
  </si>
  <si>
    <t>ILLY CAFFE SFG - AIRPORT 780 S</t>
  </si>
  <si>
    <t xml:space="preserve">Illy Caffe </t>
  </si>
  <si>
    <t>IZAKAYA</t>
  </si>
  <si>
    <t>Izakaya</t>
  </si>
  <si>
    <t>JACKRABBIT LIMO</t>
  </si>
  <si>
    <t>Jackrabbit Limo</t>
  </si>
  <si>
    <t>JERSEY MIKES 1154</t>
  </si>
  <si>
    <t xml:space="preserve">Jersey Mikes </t>
  </si>
  <si>
    <t>JULIAS CORNER</t>
  </si>
  <si>
    <t>Julias Corner</t>
  </si>
  <si>
    <t>KLEINS DELI F</t>
  </si>
  <si>
    <t xml:space="preserve">Kleins Deli </t>
  </si>
  <si>
    <t>LADY M  ROCKEFELLER</t>
  </si>
  <si>
    <t xml:space="preserve">Lady M </t>
  </si>
  <si>
    <t>LAWYERS ATHLETIC LEAGUE INC</t>
  </si>
  <si>
    <t>Lawyers Athletic League</t>
  </si>
  <si>
    <t>LAZ PARKING M26171-FLASH</t>
  </si>
  <si>
    <t>LAZ Parking</t>
  </si>
  <si>
    <t>LIMANI NYC</t>
  </si>
  <si>
    <t>Limani NYC</t>
  </si>
  <si>
    <t>DEUTSCHE LUFTHANSA BSP</t>
  </si>
  <si>
    <t>Lufthansa</t>
  </si>
  <si>
    <t>M&amp;G FOODSTUFF</t>
  </si>
  <si>
    <t>M&amp;G Foodstuff</t>
  </si>
  <si>
    <t>MARK PAYPAL</t>
  </si>
  <si>
    <t>AC HOTELS BY MARRIOTT POR</t>
  </si>
  <si>
    <t>LONDON MARRIOTT -GROSVENOR SQUARE</t>
  </si>
  <si>
    <t>MARRIOTT 337J4 S A RC</t>
  </si>
  <si>
    <t>LUNENGWANHAOJIUDIANG</t>
  </si>
  <si>
    <t>MARRIOTT INDIANAPOLIS</t>
  </si>
  <si>
    <t>MAYFLOWER CAB CO LLC</t>
  </si>
  <si>
    <t>Mayflower Cab</t>
  </si>
  <si>
    <t>METRO GRILL</t>
  </si>
  <si>
    <t>Metro Grill</t>
  </si>
  <si>
    <t>METRO-NORTH TOMTVM2</t>
  </si>
  <si>
    <t>Metro North</t>
  </si>
  <si>
    <t>METROPOLIS TECHNOLOGIES</t>
  </si>
  <si>
    <t>Metropolis Technologies</t>
  </si>
  <si>
    <t>METROPOLITAN AT THE 9</t>
  </si>
  <si>
    <t>Metropolitan at The 9</t>
  </si>
  <si>
    <t>MIGHTY PROPELLER LLC</t>
  </si>
  <si>
    <t>Mighty Propeller</t>
  </si>
  <si>
    <t>MODMARKET</t>
  </si>
  <si>
    <t>Modmarket</t>
  </si>
  <si>
    <t>MOE'S SOUTHWEST GRILL 385</t>
  </si>
  <si>
    <t>Moe's Southwest</t>
  </si>
  <si>
    <t>MTA/NYC TRANSIT</t>
  </si>
  <si>
    <t>MTA/NYC Transit</t>
  </si>
  <si>
    <t>MULLIGAN'S PUB - FLORIDA</t>
  </si>
  <si>
    <t>Mulligan's Pub</t>
  </si>
  <si>
    <t>NAPA FARMS MARKET</t>
  </si>
  <si>
    <t>Napa Farms Market</t>
  </si>
  <si>
    <t>NUOC CHAM LTD</t>
  </si>
  <si>
    <t>Nuoc Cham Ltd</t>
  </si>
  <si>
    <t>ODE A LA ROSE</t>
  </si>
  <si>
    <t>Ode A La Rose</t>
  </si>
  <si>
    <t>OHARE BAR &amp; GRILL ORD</t>
  </si>
  <si>
    <t>O'Hare Bar &amp; Grill</t>
  </si>
  <si>
    <t>OTHER HALF RC</t>
  </si>
  <si>
    <t>Other Half</t>
  </si>
  <si>
    <t>PAPILLON BISTRO &amp; BAR</t>
  </si>
  <si>
    <t xml:space="preserve">Papillon </t>
  </si>
  <si>
    <t>PARSONSKELLOGG</t>
  </si>
  <si>
    <t>Parsons Kellogg</t>
  </si>
  <si>
    <t>RNO PEETS COFFEE 2601310</t>
  </si>
  <si>
    <t>Peets Coffee</t>
  </si>
  <si>
    <t>14 - PESCE LULU - THE HUGH</t>
  </si>
  <si>
    <t>Pesce Lulu</t>
  </si>
  <si>
    <t>PETE'S TAVERN</t>
  </si>
  <si>
    <t>Pete's Tavern</t>
  </si>
  <si>
    <t>CNP PGA TOUR GRILLE JAX</t>
  </si>
  <si>
    <t>PGA Tour Grille JAX</t>
  </si>
  <si>
    <t>POTBELLY #561</t>
  </si>
  <si>
    <t xml:space="preserve">Potbelly </t>
  </si>
  <si>
    <t>PROPER FOOD - SAN FRANCISCO INTERNATIONA</t>
  </si>
  <si>
    <t>RALPHS COFFEE</t>
  </si>
  <si>
    <t>Ralphs Coffee</t>
  </si>
  <si>
    <t>RHR RENAISSANCE MILWAUKEE</t>
  </si>
  <si>
    <t>Rideyellow</t>
  </si>
  <si>
    <t>RPM SEAFOOD</t>
  </si>
  <si>
    <t>RPM Seafood</t>
  </si>
  <si>
    <t>3302 SFO KITAVA</t>
  </si>
  <si>
    <t>SFO Kitava</t>
  </si>
  <si>
    <t>WANFUXILAIDENJIUDIANG</t>
  </si>
  <si>
    <t>SHUN LE JARDINIER</t>
  </si>
  <si>
    <t>Shun Le Jardinier</t>
  </si>
  <si>
    <t>SIR LOINS INN RESTAURANT</t>
  </si>
  <si>
    <t xml:space="preserve">Sir Loins Inn </t>
  </si>
  <si>
    <t>SKY MARKET</t>
  </si>
  <si>
    <t>Sky Market</t>
  </si>
  <si>
    <t>SOFITEL LONDON HEATHROW</t>
  </si>
  <si>
    <t>Sofitel</t>
  </si>
  <si>
    <t>SO HO GRAND HOTEL</t>
  </si>
  <si>
    <t>Soho Grand Hotel</t>
  </si>
  <si>
    <t>SOHO STANDARD</t>
  </si>
  <si>
    <t>Soho Standard</t>
  </si>
  <si>
    <t>SPORTIMETENNIS CLUB</t>
  </si>
  <si>
    <t>Sport &amp; Tennis Club</t>
  </si>
  <si>
    <t>STAPLES 746</t>
  </si>
  <si>
    <t>Staples</t>
  </si>
  <si>
    <t>SUBWAY 20057</t>
  </si>
  <si>
    <t>Subway</t>
  </si>
  <si>
    <t>SUMMER MOON - DALLAS MIDWAY HOLLOW</t>
  </si>
  <si>
    <t>Summer Moon</t>
  </si>
  <si>
    <t>Sunsetnewsst2620</t>
  </si>
  <si>
    <t>SUPERHUMAN</t>
  </si>
  <si>
    <t>Superhuman</t>
  </si>
  <si>
    <t>TAHOE ADVENTURE COMPANY</t>
  </si>
  <si>
    <t>Tahoe Adventure</t>
  </si>
  <si>
    <t>TEFERA</t>
  </si>
  <si>
    <t>Tefera</t>
  </si>
  <si>
    <t>THE HUNTTING INN</t>
  </si>
  <si>
    <t>The Huntting Inn</t>
  </si>
  <si>
    <t>THE KIMPTON HOTEL ENSO</t>
  </si>
  <si>
    <t>The Kimpton Hotel</t>
  </si>
  <si>
    <t>THE PALM 1051200</t>
  </si>
  <si>
    <t>The Palm</t>
  </si>
  <si>
    <t>TOSCANA 52</t>
  </si>
  <si>
    <t xml:space="preserve">Toscana </t>
  </si>
  <si>
    <t>TRAVELNEWSST2624</t>
  </si>
  <si>
    <t>Travel News</t>
  </si>
  <si>
    <t>URBAN VIETNAMESE</t>
  </si>
  <si>
    <t>Urban Vietnamese</t>
  </si>
  <si>
    <t>USPS PO ROCKEFELLER CENTE</t>
  </si>
  <si>
    <t>USPS PO PLANETARIUM</t>
  </si>
  <si>
    <t>USPS.COM POSTAL STORE</t>
  </si>
  <si>
    <t>5US TENNIS ASC</t>
  </si>
  <si>
    <t>USTA National Tennis Center</t>
  </si>
  <si>
    <t>C2 VANGUARD MKT</t>
  </si>
  <si>
    <t>Vanguard Mkt</t>
  </si>
  <si>
    <t>TMHS VIRGIN ATLANTIC ISAT GBP</t>
  </si>
  <si>
    <t xml:space="preserve">Virgin Atlantic </t>
  </si>
  <si>
    <t>WEST ONE</t>
  </si>
  <si>
    <t>West One</t>
  </si>
  <si>
    <t>WILDFLOWER BREAD CO 016</t>
  </si>
  <si>
    <t>Wildflower Bread</t>
  </si>
  <si>
    <t>WINE.COM</t>
  </si>
  <si>
    <t>Wine.Com</t>
  </si>
  <si>
    <t>WINES TO GO</t>
  </si>
  <si>
    <t>Wines To Go</t>
  </si>
  <si>
    <t>Zaros Bakery</t>
  </si>
  <si>
    <t>Waldorf Astoria</t>
  </si>
  <si>
    <t>Vermillion</t>
  </si>
  <si>
    <t>Van Leeuwen</t>
  </si>
  <si>
    <t>Uncle Paul's Pizza</t>
  </si>
  <si>
    <t>Towneplace Suites</t>
  </si>
  <si>
    <t>Thread Logic</t>
  </si>
  <si>
    <t>Ten Twenty Post</t>
  </si>
  <si>
    <t>Ten Thousand</t>
  </si>
  <si>
    <t>Tampa Airport</t>
  </si>
  <si>
    <t>Sunoco</t>
  </si>
  <si>
    <t>Starbase Hikaru Sushi</t>
  </si>
  <si>
    <t>Star Market</t>
  </si>
  <si>
    <t>Spiller Park Coffee</t>
  </si>
  <si>
    <t>Sli.Do</t>
  </si>
  <si>
    <t>Slate Café</t>
  </si>
  <si>
    <t>Sidney Street Cafe</t>
  </si>
  <si>
    <t>Semma</t>
  </si>
  <si>
    <t>Saison</t>
  </si>
  <si>
    <t>Royal Grill</t>
  </si>
  <si>
    <t>Rinse</t>
  </si>
  <si>
    <t>Pressed Café</t>
  </si>
  <si>
    <t>Pickles Deli</t>
  </si>
  <si>
    <t>Pasta Corner</t>
  </si>
  <si>
    <t>Ootoya Chelsea</t>
  </si>
  <si>
    <t>Oncheon</t>
  </si>
  <si>
    <t>Olio  E Piu</t>
  </si>
  <si>
    <t>Nonna</t>
  </si>
  <si>
    <t>Niva</t>
  </si>
  <si>
    <t>Mendocino Farms</t>
  </si>
  <si>
    <t>Magnolia Rock Center</t>
  </si>
  <si>
    <t>Lucky Buns</t>
  </si>
  <si>
    <t>Little Fox</t>
  </si>
  <si>
    <t>Kramerbooks &amp; Afterwards Cafe</t>
  </si>
  <si>
    <t>Katzs Delicatessen</t>
  </si>
  <si>
    <t>Kara's Cupcakes</t>
  </si>
  <si>
    <t>Jetsuitex</t>
  </si>
  <si>
    <t>Jacks 001</t>
  </si>
  <si>
    <t>IL Ritorno</t>
  </si>
  <si>
    <t>Global Bazaar</t>
  </si>
  <si>
    <t>Freshens</t>
  </si>
  <si>
    <t>Fontainebleau</t>
  </si>
  <si>
    <t>FMC Global Sat</t>
  </si>
  <si>
    <t>First Watch</t>
  </si>
  <si>
    <t>Farley's Cafe</t>
  </si>
  <si>
    <t>Europe Limousine</t>
  </si>
  <si>
    <t>Essa Bagel</t>
  </si>
  <si>
    <t>Eli Zabar &amp; Dunkin</t>
  </si>
  <si>
    <t>Elevation Surf Charters</t>
  </si>
  <si>
    <t>Domino's Pizza</t>
  </si>
  <si>
    <t>Del Frisco's</t>
  </si>
  <si>
    <t>Customink</t>
  </si>
  <si>
    <t>Custom Burgers</t>
  </si>
  <si>
    <t>Crevette</t>
  </si>
  <si>
    <t>Cosmopol</t>
  </si>
  <si>
    <t>Committee</t>
  </si>
  <si>
    <t>City Beets</t>
  </si>
  <si>
    <t>Citizenm</t>
  </si>
  <si>
    <t>Chick-Fil-A</t>
  </si>
  <si>
    <t>Chart House</t>
  </si>
  <si>
    <t>Bullritos</t>
  </si>
  <si>
    <t>Buffalo Airport</t>
  </si>
  <si>
    <t>Blue Barn</t>
  </si>
  <si>
    <t>Berry Austin</t>
  </si>
  <si>
    <t>Bernardin's Cuisine</t>
  </si>
  <si>
    <t>Barbuto</t>
  </si>
  <si>
    <t>Austin Airport</t>
  </si>
  <si>
    <t>ARC Network</t>
  </si>
  <si>
    <t>Ar Cairo</t>
  </si>
  <si>
    <t>Americas Dog</t>
  </si>
  <si>
    <t>Alpen Pantry</t>
  </si>
  <si>
    <t>Adels Famous Halal Food</t>
  </si>
  <si>
    <t>Aaaim</t>
  </si>
  <si>
    <t>100 Women in Finance Association</t>
  </si>
  <si>
    <t>WINFIELD COFFEE CROTON</t>
  </si>
  <si>
    <t>Winfield Coffee</t>
  </si>
  <si>
    <t>EMIRATES ARC USA</t>
  </si>
  <si>
    <t>Emirates</t>
  </si>
  <si>
    <t>EDITION WEST HOLLYWOOD</t>
  </si>
  <si>
    <t>West Hollywood</t>
  </si>
  <si>
    <t>CPK A DFW</t>
  </si>
  <si>
    <t>CPK</t>
  </si>
  <si>
    <t>DFW 1263 UNIVISION</t>
  </si>
  <si>
    <t>Univision</t>
  </si>
  <si>
    <t>HMF AT THE BREAKERS</t>
  </si>
  <si>
    <t>HMF</t>
  </si>
  <si>
    <t>PROTRANS TRANSPORTATION</t>
  </si>
  <si>
    <t>ProTrans</t>
  </si>
  <si>
    <t>BEVERAGEWAREHOUSE</t>
  </si>
  <si>
    <t>Beverage Warehouse</t>
  </si>
  <si>
    <t>RITZ CARLTON ORL GR LAKES</t>
  </si>
  <si>
    <t>REGAL AIRPORT HOTEL</t>
  </si>
  <si>
    <t>Regal Hotel</t>
  </si>
  <si>
    <t>TOM N TOMS</t>
  </si>
  <si>
    <t>Tom N Toms</t>
  </si>
  <si>
    <t>HANN PHILIPPINES</t>
  </si>
  <si>
    <t>Hann</t>
  </si>
  <si>
    <t>MTR-AIRPORT STATION</t>
  </si>
  <si>
    <t>MTR</t>
  </si>
  <si>
    <t>MTR-HONG KONG STATION</t>
  </si>
  <si>
    <t>SEA CREST BEACH FRONT DES</t>
  </si>
  <si>
    <t>Sea Crest Resort</t>
  </si>
  <si>
    <t>EWR D TACO JOINT #6801118</t>
  </si>
  <si>
    <t>D Taco</t>
  </si>
  <si>
    <t>PHL-C LA COLOMBE</t>
  </si>
  <si>
    <t>La Colombe</t>
  </si>
  <si>
    <t>TRAVELLER SERVICE DESK</t>
  </si>
  <si>
    <t>Service Desk</t>
  </si>
  <si>
    <t>THE SINCLAIR, AUTOGRAPH C</t>
  </si>
  <si>
    <t>AMEX TRAVEL PURCHASE WITH MR POINTS CR</t>
  </si>
  <si>
    <t>Amex Travel</t>
  </si>
  <si>
    <t>LOS ANGELES AIRPORT</t>
  </si>
  <si>
    <t>LAX</t>
  </si>
  <si>
    <t>THE GROVE - DC</t>
  </si>
  <si>
    <t>The Grove</t>
  </si>
  <si>
    <t>NEW YORK KNICKS</t>
  </si>
  <si>
    <t>Knicks</t>
  </si>
  <si>
    <t>AIRBNB US SHORT TERM STAY</t>
  </si>
  <si>
    <t>Airbnb</t>
  </si>
  <si>
    <t>CREWS 1972 - LEMONADE</t>
  </si>
  <si>
    <t>Crews 1972</t>
  </si>
  <si>
    <t>CORNER BAKERY#127</t>
  </si>
  <si>
    <t>Corner Bakery</t>
  </si>
  <si>
    <t>DFW 1254 LACREME</t>
  </si>
  <si>
    <t>Lacreme</t>
  </si>
  <si>
    <t>BLUE RIBBON SUSHI &amp; STEAK</t>
  </si>
  <si>
    <t>Blue Ribbon</t>
  </si>
  <si>
    <t>AVRA ESTIATORIO ROCKEFELL</t>
  </si>
  <si>
    <t>Avra</t>
  </si>
  <si>
    <t>CAMERON MITCHELL RESTAURANTS LLC</t>
  </si>
  <si>
    <t>Cameron Mitchell</t>
  </si>
  <si>
    <t>VTS SUN TAXI</t>
  </si>
  <si>
    <t>Sun Taxi</t>
  </si>
  <si>
    <t>THE BOWERY BAY AT LGA 705</t>
  </si>
  <si>
    <t>The Bowery Bay</t>
  </si>
  <si>
    <t>STUMPTOWN COFFEE ROASTERS</t>
  </si>
  <si>
    <t>Stumptown</t>
  </si>
  <si>
    <t>WATER ENVIRONMENT FEDERAT</t>
  </si>
  <si>
    <t>Water Environment</t>
  </si>
  <si>
    <t>GODDESS AND THE BAKER - GRAND</t>
  </si>
  <si>
    <t>Goddess</t>
  </si>
  <si>
    <t>CHICAGO DOWNTOWN MAGNIFICENT MILE</t>
  </si>
  <si>
    <t>Magnificent Mile</t>
  </si>
  <si>
    <t>BURGER KING #61010306 SOT</t>
  </si>
  <si>
    <t>Burger King</t>
  </si>
  <si>
    <t>T-MOBILE HOTSPOT DT. LUFTHANSA</t>
  </si>
  <si>
    <t>T-Mobile</t>
  </si>
  <si>
    <t>EWR FLAVORTOWN BY GUY FIE</t>
  </si>
  <si>
    <t>Flavortown</t>
  </si>
  <si>
    <t>CAPITOL CAFE - 1836</t>
  </si>
  <si>
    <t>Capitol Café</t>
  </si>
  <si>
    <t>EMIRATES BSP</t>
  </si>
  <si>
    <t>DEE LINCOLN PRIME</t>
  </si>
  <si>
    <t>Dee Lincoln Prime</t>
  </si>
  <si>
    <t>DEL FRISCO</t>
  </si>
  <si>
    <t>Del Frisco</t>
  </si>
  <si>
    <t>TAXIUNTERNEHMEN SVIATOSLAV SHVYDKYI</t>
  </si>
  <si>
    <t>Taxi</t>
  </si>
  <si>
    <t>HOTEL VIER JAHRESZEITEN KEMPINSKI</t>
  </si>
  <si>
    <t>Hotel Vier</t>
  </si>
  <si>
    <t>CIPOLLINI</t>
  </si>
  <si>
    <t>Cipollini</t>
  </si>
  <si>
    <t>YOSHINO NY</t>
  </si>
  <si>
    <t>Yoshino</t>
  </si>
  <si>
    <t>ON LOCATION - PRIMESPORT</t>
  </si>
  <si>
    <t>On Location</t>
  </si>
  <si>
    <t>US RYDER CUP</t>
  </si>
  <si>
    <t>Us Ryder Cup</t>
  </si>
  <si>
    <t>AMK US OPEN MERCHANDISE</t>
  </si>
  <si>
    <t>Us Open</t>
  </si>
  <si>
    <t>RIVERS CASINO AND RESORT</t>
  </si>
  <si>
    <t>Rivers Resort</t>
  </si>
  <si>
    <t>TEZ* VALET           PLANO</t>
  </si>
  <si>
    <t>Tez Valet</t>
  </si>
  <si>
    <t>PCA FW MAIN TIBA</t>
  </si>
  <si>
    <t>FW Parking</t>
  </si>
  <si>
    <t>KEENS STEAKHOUSE</t>
  </si>
  <si>
    <t>Keens</t>
  </si>
  <si>
    <t>ATT BUSINESS SERVICES CFM</t>
  </si>
  <si>
    <t>AT&amp;T Business</t>
  </si>
  <si>
    <t>VTS AWESOME TAXI MANAGEME</t>
  </si>
  <si>
    <t>Awesome Taxi</t>
  </si>
  <si>
    <t>SPIN NYC TIMES SQUARE</t>
  </si>
  <si>
    <t>Spin</t>
  </si>
  <si>
    <t>PHEASANT</t>
  </si>
  <si>
    <t>Pheasant</t>
  </si>
  <si>
    <t>LEVY@USTA - PREMIUM</t>
  </si>
  <si>
    <t>Levy</t>
  </si>
  <si>
    <t>JFK PIZZA VINO 6351395</t>
  </si>
  <si>
    <t>Pizza Vino</t>
  </si>
  <si>
    <t>GEG SPOKANESNDWCH A 69821</t>
  </si>
  <si>
    <t>Spokane Sandwich</t>
  </si>
  <si>
    <t>LEVY@USTA - CONC</t>
  </si>
  <si>
    <t>EINSTEIN BROS. BAGELS DFW AIRPORT A11</t>
  </si>
  <si>
    <t>Einstein Bros</t>
  </si>
  <si>
    <t>BERGAMO'S</t>
  </si>
  <si>
    <t>THE CAMPBELL</t>
  </si>
  <si>
    <t>The Campbell</t>
  </si>
  <si>
    <t>CNP CHILI'S BAR B1 ORD</t>
  </si>
  <si>
    <t>Chili's Bar</t>
  </si>
  <si>
    <t>UCLA LCC FRONT DESK</t>
  </si>
  <si>
    <t>Ucla Lcc Front Desk</t>
  </si>
  <si>
    <t>UCLA LCC</t>
  </si>
  <si>
    <t>GREAT PERFORMANCES</t>
  </si>
  <si>
    <t>Great Performances</t>
  </si>
  <si>
    <t>NAYA MADISON52</t>
  </si>
  <si>
    <t>MINETTA TAVERN</t>
  </si>
  <si>
    <t>Minetta Tavern</t>
  </si>
  <si>
    <t>69147 - COMPASS - POINT 7 - 9409</t>
  </si>
  <si>
    <t>Compass</t>
  </si>
  <si>
    <t>THE MERCHANT KITCHEN &amp; DR</t>
  </si>
  <si>
    <t>The Merchant</t>
  </si>
  <si>
    <t>ENCORE BOSTON HARBOR</t>
  </si>
  <si>
    <t>Encore</t>
  </si>
  <si>
    <t>Bergamo's</t>
  </si>
  <si>
    <t>BILL'S SUPPER CLUB</t>
  </si>
  <si>
    <t>Bill's</t>
  </si>
  <si>
    <t>MTA LIRR OBTIM</t>
  </si>
  <si>
    <t>LIRR</t>
  </si>
  <si>
    <t>GRILL 23 &amp; BAR</t>
  </si>
  <si>
    <t>Grill 23</t>
  </si>
  <si>
    <t>MELTING SUN DINER</t>
  </si>
  <si>
    <t>Melting Sun</t>
  </si>
  <si>
    <t>HOTEL AKA BACK BAY</t>
  </si>
  <si>
    <t>Hotel AKA</t>
  </si>
  <si>
    <t>NEWBURY BOSTON ROOFTOP</t>
  </si>
  <si>
    <t>Newbury</t>
  </si>
  <si>
    <t>PARISH CAFE</t>
  </si>
  <si>
    <t>Parish Café</t>
  </si>
  <si>
    <t>SIMONE SI MON</t>
  </si>
  <si>
    <t>Simone</t>
  </si>
  <si>
    <t>KUMQUAT DTLA</t>
  </si>
  <si>
    <t>Kumquat</t>
  </si>
  <si>
    <t>NOVIKOV LA</t>
  </si>
  <si>
    <t>Novikov</t>
  </si>
  <si>
    <t>WWW.JANIEANDJACK.COM</t>
  </si>
  <si>
    <t>Janie and Jack</t>
  </si>
  <si>
    <t>MARKET CREATIONS</t>
  </si>
  <si>
    <t>Market Creations</t>
  </si>
  <si>
    <t>CHIRL - ROANOKE RESTAURANT AND CLUB - MA</t>
  </si>
  <si>
    <t>Roanoke Restaurant</t>
  </si>
  <si>
    <t>EVADEAN'S BAKERY &amp; CAFE</t>
  </si>
  <si>
    <t>Evadean</t>
  </si>
  <si>
    <t>THE DEARBORN</t>
  </si>
  <si>
    <t>The Dearborn</t>
  </si>
  <si>
    <t>PERSHING SQUARE</t>
  </si>
  <si>
    <t>Pershing Square</t>
  </si>
  <si>
    <t>CROFT ALLEY</t>
  </si>
  <si>
    <t>Croft Alley</t>
  </si>
  <si>
    <t>LEON'S</t>
  </si>
  <si>
    <t>Leon's</t>
  </si>
  <si>
    <t>SOMA SALADS</t>
  </si>
  <si>
    <t>Soma Salads</t>
  </si>
  <si>
    <t>COPPER MUG COFFEE</t>
  </si>
  <si>
    <t>Copper Mug Coffee</t>
  </si>
  <si>
    <t>AVIANO - CULINARY CREATIVE</t>
  </si>
  <si>
    <t>Aviano</t>
  </si>
  <si>
    <t>PARADISE PARKING LLC</t>
  </si>
  <si>
    <t>Paradise Parking</t>
  </si>
  <si>
    <t>PORT METERS - PBP</t>
  </si>
  <si>
    <t>Port Meters</t>
  </si>
  <si>
    <t>MATSUHISA DENVER</t>
  </si>
  <si>
    <t>Matsuhisa</t>
  </si>
  <si>
    <t>JAYS VALET LLC</t>
  </si>
  <si>
    <t>Jay's Valet</t>
  </si>
  <si>
    <t>HALCYON CHERRY CREEK</t>
  </si>
  <si>
    <t>Halcyon</t>
  </si>
  <si>
    <t>AVRA BEVERLY HILLS</t>
  </si>
  <si>
    <t>KIAWAH ISLAND GOLF</t>
  </si>
  <si>
    <t>Kiawah Island Golf</t>
  </si>
  <si>
    <t>POTBELLY SANDWICH WORKS 3</t>
  </si>
  <si>
    <t>Carey II, James</t>
  </si>
  <si>
    <t>A0HZ</t>
  </si>
  <si>
    <t>KROGER</t>
  </si>
  <si>
    <t>Kroger</t>
  </si>
  <si>
    <t>HUDSON ST2389</t>
  </si>
  <si>
    <t>Hudson</t>
  </si>
  <si>
    <t>LOCAL CULTURE - 2 - AVOCADERIA</t>
  </si>
  <si>
    <t>Avocaderia</t>
  </si>
  <si>
    <t>RICHMOND AIRPORT</t>
  </si>
  <si>
    <t>Richmond Airport</t>
  </si>
  <si>
    <t>TARGET T1544</t>
  </si>
  <si>
    <t>SCHERBER</t>
  </si>
  <si>
    <t>Scherber</t>
  </si>
  <si>
    <t>SPIRAL BINDING</t>
  </si>
  <si>
    <t>Spiral</t>
  </si>
  <si>
    <t>EMERGENCYKITS.COM</t>
  </si>
  <si>
    <t>EmergencyKits</t>
  </si>
  <si>
    <t>FACILITY CONCESSION SERVICES LLC</t>
  </si>
  <si>
    <t>Facility Concession</t>
  </si>
  <si>
    <t>FRIEDMANS - EDISON HOTEL</t>
  </si>
  <si>
    <t>Friedmans</t>
  </si>
  <si>
    <t>PLATINUM LUXURY FLEET LLLP</t>
  </si>
  <si>
    <t>Platinum Luxury Fleet</t>
  </si>
  <si>
    <t>THE ST. REGIS TORONTO</t>
  </si>
  <si>
    <t>THE ST. REGIS TORONTO DOWNTOWN</t>
  </si>
  <si>
    <t>VILLAGE OF OSSINING NY</t>
  </si>
  <si>
    <t>Village Of Ossining</t>
  </si>
  <si>
    <t>SV CLUB OWNER LLC</t>
  </si>
  <si>
    <t>Sv Club</t>
  </si>
  <si>
    <t>THE FINANCIAL CONDUCT AUTHORITY</t>
  </si>
  <si>
    <t>FCA</t>
  </si>
  <si>
    <t>PLUM MARKET DULLES-NEW</t>
  </si>
  <si>
    <t>Plum Market</t>
  </si>
  <si>
    <t>RPM ITALIAN CHICAGO</t>
  </si>
  <si>
    <t>Rpm Italian</t>
  </si>
  <si>
    <t>ZAZA AUSTIN</t>
  </si>
  <si>
    <t>Zaza</t>
  </si>
  <si>
    <t>PASTA CORNER</t>
  </si>
  <si>
    <t>ASCENSION COFFEE - STAR IN FRISCO</t>
  </si>
  <si>
    <t>Ascension Coffee</t>
  </si>
  <si>
    <t>C2 PROOF OASIS</t>
  </si>
  <si>
    <t>C2 Proof</t>
  </si>
  <si>
    <t>NTNL CAR RNTL BNAC01</t>
  </si>
  <si>
    <t>National Car Rental</t>
  </si>
  <si>
    <t>MSP AIRP PEOPLES ORGANIC</t>
  </si>
  <si>
    <t>MSP</t>
  </si>
  <si>
    <t>GRAND WINNIPEG AIRPORT FR</t>
  </si>
  <si>
    <t>Grand Winnipeg</t>
  </si>
  <si>
    <t>RESTAURANT MEDURE</t>
  </si>
  <si>
    <t>Medure</t>
  </si>
  <si>
    <t>THE CHICAGO FIREHOUSE RESTAURANT</t>
  </si>
  <si>
    <t>Chicago Firehouse</t>
  </si>
  <si>
    <t>TRULUCKS OCEANS FINEST SE</t>
  </si>
  <si>
    <t>Truluck's</t>
  </si>
  <si>
    <t>LAX - T5 - ROCK AND BREWS</t>
  </si>
  <si>
    <t>Lax</t>
  </si>
  <si>
    <t>IAH ITRP THE ANNIE 1114</t>
  </si>
  <si>
    <t>The Annie</t>
  </si>
  <si>
    <t>THE CLASSIC DINER MALVERN</t>
  </si>
  <si>
    <t>The Classic Diner</t>
  </si>
  <si>
    <t>CRUSH WINE CO</t>
  </si>
  <si>
    <t>Crush Wine</t>
  </si>
  <si>
    <t>TEN SECONDS YUNNAN RICE NOODLE - 245 WES</t>
  </si>
  <si>
    <t>Ten Seconds</t>
  </si>
  <si>
    <t>CLUBLENDER, INC.</t>
  </si>
  <si>
    <t>Clublender</t>
  </si>
  <si>
    <t>4IMPRINT</t>
  </si>
  <si>
    <t>4Imprint</t>
  </si>
  <si>
    <t>BEECH STREET VENTURES, LLC</t>
  </si>
  <si>
    <t>Beech Street</t>
  </si>
  <si>
    <t>EMPIRE HOTEL</t>
  </si>
  <si>
    <t>Empire Hotel</t>
  </si>
  <si>
    <t>EMMAT CORPORATION</t>
  </si>
  <si>
    <t>Emmat</t>
  </si>
  <si>
    <t>SILVERLAKE RAMEN - NORTH HOLLYWOOD</t>
  </si>
  <si>
    <t>Silverlake Ramen</t>
  </si>
  <si>
    <t>SARTIANO'S</t>
  </si>
  <si>
    <t>Sartiano's</t>
  </si>
  <si>
    <t>NTMB INC</t>
  </si>
  <si>
    <t>NTMB</t>
  </si>
  <si>
    <t>CREATIVE GIFTS @ LEXINGTO</t>
  </si>
  <si>
    <t>Creative Gifts</t>
  </si>
  <si>
    <t>WIDDER HOTEL</t>
  </si>
  <si>
    <t>Widder</t>
  </si>
  <si>
    <t>TCHIBO (SCHWEIZ) AG</t>
  </si>
  <si>
    <t>Tchibo</t>
  </si>
  <si>
    <t>RESTAURANT KRONENHALLE AG</t>
  </si>
  <si>
    <t>Restaurant Kronenhalle</t>
  </si>
  <si>
    <t>MYPOS</t>
  </si>
  <si>
    <t>Mypos</t>
  </si>
  <si>
    <t>ZSG SCHALTER</t>
  </si>
  <si>
    <t>Zsg Schalter</t>
  </si>
  <si>
    <t>ZUERICHSEE GASTRO</t>
  </si>
  <si>
    <t>Zuerichsee Gastro</t>
  </si>
  <si>
    <t>CATCH LOS ANGELES</t>
  </si>
  <si>
    <t>Catch</t>
  </si>
  <si>
    <t>CITY OF BEVERLY HILLS PAR</t>
  </si>
  <si>
    <t>Beverly Hills</t>
  </si>
  <si>
    <t>LINAS</t>
  </si>
  <si>
    <t>Linas</t>
  </si>
  <si>
    <t>ATHENAEUM HOTEL + APARTMENTS</t>
  </si>
  <si>
    <t>Athenaeum Hotel</t>
  </si>
  <si>
    <t>RESTAURANT TABAC DES TERNES</t>
  </si>
  <si>
    <t>Tabac Des Ternes</t>
  </si>
  <si>
    <t>JEMILI</t>
  </si>
  <si>
    <t>Jemili</t>
  </si>
  <si>
    <t>EUROSTAR INTERNATIONAL LTD ARCUS</t>
  </si>
  <si>
    <t>Eurostar International</t>
  </si>
  <si>
    <t>AREZKI DOUAR</t>
  </si>
  <si>
    <t>Arezki Douar</t>
  </si>
  <si>
    <t>LONDON TAXI 69938</t>
  </si>
  <si>
    <t>London Taxi</t>
  </si>
  <si>
    <t>CHURCHILL ARMS</t>
  </si>
  <si>
    <t>Churchill Arms</t>
  </si>
  <si>
    <t>BEAU-RIVAGE HOTEL</t>
  </si>
  <si>
    <t>Beau-Rivage</t>
  </si>
  <si>
    <t>BLACK CAB 4289</t>
  </si>
  <si>
    <t>Black Cab</t>
  </si>
  <si>
    <t>HEATHROW EXPRESS HHT HEX</t>
  </si>
  <si>
    <t>Heathrow Express</t>
  </si>
  <si>
    <t>MINHAL FRANCE</t>
  </si>
  <si>
    <t>Minhal France</t>
  </si>
  <si>
    <t>Vueling</t>
  </si>
  <si>
    <t>THE LEXINGTON HOTEL</t>
  </si>
  <si>
    <t>The Lexington Hotel</t>
  </si>
  <si>
    <t>NCEO.ORG</t>
  </si>
  <si>
    <t>NCEO</t>
  </si>
  <si>
    <t>CITARELLA EAST LLC</t>
  </si>
  <si>
    <t>Citarella</t>
  </si>
  <si>
    <t>WAWA STORE 8114</t>
  </si>
  <si>
    <t>Wawa</t>
  </si>
  <si>
    <t>GOLDEN GATE MARKET</t>
  </si>
  <si>
    <t>Golden Gate Market</t>
  </si>
  <si>
    <t>HAPPY MONKEY</t>
  </si>
  <si>
    <t>Happy Monkey</t>
  </si>
  <si>
    <t>PMUSA 730024 GREENWICH</t>
  </si>
  <si>
    <t>PM USA</t>
  </si>
  <si>
    <t>TST-THE CHASE</t>
  </si>
  <si>
    <t>The Chase</t>
  </si>
  <si>
    <t>YYZ DISTILLERY BAR T3 TB</t>
  </si>
  <si>
    <t>Distillery Bar</t>
  </si>
  <si>
    <t>YYZ EL CATAIN T3 TB 71023</t>
  </si>
  <si>
    <t>El Catain</t>
  </si>
  <si>
    <t>THE RITZ CARLTON-TORONTO</t>
  </si>
  <si>
    <t>HYS TORONTO</t>
  </si>
  <si>
    <t>Hy's</t>
  </si>
  <si>
    <t>KING TAPS</t>
  </si>
  <si>
    <t>King Taps</t>
  </si>
  <si>
    <t>SOUTHERN CROSS KITCHEN</t>
  </si>
  <si>
    <t>Southern Cross</t>
  </si>
  <si>
    <t>JAVA JOE'S</t>
  </si>
  <si>
    <t>Java Joe's</t>
  </si>
  <si>
    <t>PARKCHICAGO</t>
  </si>
  <si>
    <t>ParkChicago</t>
  </si>
  <si>
    <t>EMA GLENVIEW</t>
  </si>
  <si>
    <t>Ema Glenview</t>
  </si>
  <si>
    <t>AUSTRIAN USA BSP USD/USD</t>
  </si>
  <si>
    <t>Austrian USA BSP</t>
  </si>
  <si>
    <t>COG HILL CONCESSIONS, INC.</t>
  </si>
  <si>
    <t>Cog Hill</t>
  </si>
  <si>
    <t>EGGSPRESSO - THE GLENN 2</t>
  </si>
  <si>
    <t>Eggspresso</t>
  </si>
  <si>
    <t>ELEPHANTE</t>
  </si>
  <si>
    <t>Elephante</t>
  </si>
  <si>
    <t>FRONTERA 900</t>
  </si>
  <si>
    <t>Frontera 900</t>
  </si>
  <si>
    <t>VICEROY SANTA MONICA</t>
  </si>
  <si>
    <t>Viceroy</t>
  </si>
  <si>
    <t>SOL AGAVE - SANTA MONICA</t>
  </si>
  <si>
    <t>Sol Agave</t>
  </si>
  <si>
    <t>ST. REGIS NEW YORK</t>
  </si>
  <si>
    <t>St. Regis</t>
  </si>
  <si>
    <t>SAT 3894 WHATABURGER</t>
  </si>
  <si>
    <t>Whataburger</t>
  </si>
  <si>
    <t>THE NED HOTEL</t>
  </si>
  <si>
    <t>The Ned Hotel</t>
  </si>
  <si>
    <t>LOT A EPS</t>
  </si>
  <si>
    <t>Lot A EPS</t>
  </si>
  <si>
    <t>CHILLIS POST CENTRAL JAX</t>
  </si>
  <si>
    <t>CHINA EASTERN AIRLINES</t>
  </si>
  <si>
    <t>China Eastern Airlines</t>
  </si>
  <si>
    <t>NETWORK SOLUTIONS</t>
  </si>
  <si>
    <t>Network Solutions</t>
  </si>
  <si>
    <t>LOVE GRILLE MARKET</t>
  </si>
  <si>
    <t>Love Grille</t>
  </si>
  <si>
    <t>INDEPENDENCE PRIME</t>
  </si>
  <si>
    <t>Independence Prime</t>
  </si>
  <si>
    <t>FIREHOUSE SUBS CONC C JAX</t>
  </si>
  <si>
    <t>Firehouse Subs</t>
  </si>
  <si>
    <t>JAX 0045 RIVERCITYTRAVLMR</t>
  </si>
  <si>
    <t>River City Travel</t>
  </si>
  <si>
    <t>PBG PHILADELPHIA PA446</t>
  </si>
  <si>
    <t>PBG</t>
  </si>
  <si>
    <t>IPPUDO WEST HOLLYWOOD</t>
  </si>
  <si>
    <t>Ippudo</t>
  </si>
  <si>
    <t>WITH INTELLIGENCE LIMITED</t>
  </si>
  <si>
    <t>With Intelligence</t>
  </si>
  <si>
    <t>VERVE COFFEE ROASTERS 3RD ST</t>
  </si>
  <si>
    <t>Verve</t>
  </si>
  <si>
    <t>FORBES MEDIA LLC</t>
  </si>
  <si>
    <t>Forbes Media</t>
  </si>
  <si>
    <t>BURGR KING MAIN RTNDA#202</t>
  </si>
  <si>
    <t>Burgr King</t>
  </si>
  <si>
    <t>LAWRYS LAS VEGAS</t>
  </si>
  <si>
    <t>Lawrys</t>
  </si>
  <si>
    <t>ARIZONA BILTMORE PMS</t>
  </si>
  <si>
    <t>Arizona Biltmore</t>
  </si>
  <si>
    <t>STBKT4N4 003003161</t>
  </si>
  <si>
    <t>WENDY'S LATHAM</t>
  </si>
  <si>
    <t>I'M DONUT</t>
  </si>
  <si>
    <t>BRENNER</t>
  </si>
  <si>
    <t>ISAR TAXI</t>
  </si>
  <si>
    <t>INTERCON BARCLAY HOTEL</t>
  </si>
  <si>
    <t>AMMOS ESTIATORO (RETAIL)</t>
  </si>
  <si>
    <t>GSO 0642 CNBC  NEWS STORE</t>
  </si>
  <si>
    <t>RUBYS DINETTE D RTNDA#245</t>
  </si>
  <si>
    <t>MOTHER WOLF FONTAINEBLEAU</t>
  </si>
  <si>
    <t>JAMBA JUICE MCCARRAN AIRPORT D GATES</t>
  </si>
  <si>
    <t>CHEZ BON BON FONTAINEBLEA</t>
  </si>
  <si>
    <t>ESS-A-BAGEL</t>
  </si>
  <si>
    <t>THE GARLAND</t>
  </si>
  <si>
    <t>DILL &amp; PARSLEY</t>
  </si>
  <si>
    <t>GUMPTION COFFEE</t>
  </si>
  <si>
    <t>SPRINGBONE - 1155 AVENUE OF THE AMERICAS</t>
  </si>
  <si>
    <t>BLUEYS KITCHEN MAR VISTA</t>
  </si>
  <si>
    <t>10353 CAVA CENTURY CITY M</t>
  </si>
  <si>
    <t>PAYPAL *CHARLIESACR</t>
  </si>
  <si>
    <t>THE LIVING ROOM- LA JOLLA</t>
  </si>
  <si>
    <t>SAN 3057 CNBC</t>
  </si>
  <si>
    <t>MISSION BAR &amp; GRILL</t>
  </si>
  <si>
    <t>THE SPLENDID</t>
  </si>
  <si>
    <t>AIRFLIGHT SERVICES</t>
  </si>
  <si>
    <t>1859 YYZ 6 &amp; SUNDRY</t>
  </si>
  <si>
    <t>CUPITOL COFFEE &amp; EATERY - OLD ORCHARD</t>
  </si>
  <si>
    <t>FIREHOUSE SUB MSP MALL T1</t>
  </si>
  <si>
    <t>ROBEKS - 436 - NORTH HOLLYWOOD</t>
  </si>
  <si>
    <t>SFO-D DOG PATCH BAKEHOUSE</t>
  </si>
  <si>
    <t>SVA POSITIVE, LLC</t>
  </si>
  <si>
    <t>TAN</t>
  </si>
  <si>
    <t>SPOONFUL OF COMFORT LLC</t>
  </si>
  <si>
    <t>ZABAR'S &amp; CO., INC.</t>
  </si>
  <si>
    <t>HAMA</t>
  </si>
  <si>
    <t>JFK T5 AV CC JAMBA JU</t>
  </si>
  <si>
    <t>THE NAKED PIG</t>
  </si>
  <si>
    <t>SMOOTHIE KING SK2288</t>
  </si>
  <si>
    <t>WHOLEFOODS MARKET/WBG</t>
  </si>
  <si>
    <t>CAVA 40TH AND MADISON</t>
  </si>
  <si>
    <t>JERK HOUSE CARIBBEAN 3 L</t>
  </si>
  <si>
    <t>BLACK SEED BAGELS</t>
  </si>
  <si>
    <t>Wendy's</t>
  </si>
  <si>
    <t>I'm Donut</t>
  </si>
  <si>
    <t>Brenner</t>
  </si>
  <si>
    <t>Isar Taxi</t>
  </si>
  <si>
    <t>InterContinental</t>
  </si>
  <si>
    <t>Ammos Estiatoro</t>
  </si>
  <si>
    <t>CNBC News Store</t>
  </si>
  <si>
    <t>Ruby's</t>
  </si>
  <si>
    <t>Mother Wolf</t>
  </si>
  <si>
    <t>Chez Bon Bon</t>
  </si>
  <si>
    <t>Ess-A-Bagel</t>
  </si>
  <si>
    <t>The Garland</t>
  </si>
  <si>
    <t>Dill &amp; Parsley</t>
  </si>
  <si>
    <t>Gumption Coffee</t>
  </si>
  <si>
    <t>Blueys Mar Vista</t>
  </si>
  <si>
    <t>Charliesacr</t>
  </si>
  <si>
    <t>La Jolla</t>
  </si>
  <si>
    <t>Mission Bar</t>
  </si>
  <si>
    <t>The Splendid</t>
  </si>
  <si>
    <t>Airflight Services</t>
  </si>
  <si>
    <t>6 Sundry</t>
  </si>
  <si>
    <t>CUPITOL</t>
  </si>
  <si>
    <t>Firehouse Sub</t>
  </si>
  <si>
    <t>Robeks</t>
  </si>
  <si>
    <t>DogPatch</t>
  </si>
  <si>
    <t>Sva Positive</t>
  </si>
  <si>
    <t>Tan</t>
  </si>
  <si>
    <t>Spoonful Of Comfort</t>
  </si>
  <si>
    <t>Zabar's &amp; Co., Inc.</t>
  </si>
  <si>
    <t>Hama</t>
  </si>
  <si>
    <t>The Naked Pig</t>
  </si>
  <si>
    <t>Wholefoods</t>
  </si>
  <si>
    <t>Jerk House</t>
  </si>
  <si>
    <t>Black Seed Bagels</t>
  </si>
  <si>
    <t>LIT Airport</t>
  </si>
  <si>
    <t>Zilkha, Abraham E</t>
  </si>
  <si>
    <t>A0I0</t>
  </si>
  <si>
    <t>VENDINGCUSTOMERSERVICE.COM</t>
  </si>
  <si>
    <t>MO'S SEAFOOD &amp; CHOWDER - PDX</t>
  </si>
  <si>
    <t>GR CHOCOLATE</t>
  </si>
  <si>
    <t>ST LOUIS BREAD 601639 ONL</t>
  </si>
  <si>
    <t>ST LOUIS BREAD 601639</t>
  </si>
  <si>
    <t>LIHOLIHO YACHT CLUB</t>
  </si>
  <si>
    <t>JIMMY JOHNS 261</t>
  </si>
  <si>
    <t>NYC AGLOW ST2127</t>
  </si>
  <si>
    <t>TACOS LOCOS B TEMP UNIT P</t>
  </si>
  <si>
    <t>THE MAYTON</t>
  </si>
  <si>
    <t>PECK &amp; PLUME</t>
  </si>
  <si>
    <t>MARKET 317</t>
  </si>
  <si>
    <t>#55 OCEAN PRIME NYC</t>
  </si>
  <si>
    <t>AUSTIN ROTISSERIE FAREGROUND</t>
  </si>
  <si>
    <t>SOUTHERN SOUL BARBECUE</t>
  </si>
  <si>
    <t>NASHVEGAS TAXI CORPORATION</t>
  </si>
  <si>
    <t>CENTRAL CITY TAXI 14</t>
  </si>
  <si>
    <t>MURRAY'S RESTAURANT</t>
  </si>
  <si>
    <t>DETROIT AIRPORT</t>
  </si>
  <si>
    <t>SFO-C DOG PATCH BAKEHOUSE</t>
  </si>
  <si>
    <t>HOTEL DU SOLEIL</t>
  </si>
  <si>
    <t>PAOLAS OSTERIA</t>
  </si>
  <si>
    <t>MSPAP - WOOLLEY'S KITCHEN &amp; BAR - EMBASS</t>
  </si>
  <si>
    <t>PINEHURST RESORT</t>
  </si>
  <si>
    <t>RZ DENVER</t>
  </si>
  <si>
    <t>SI RETREAT CLUB F&amp;B</t>
  </si>
  <si>
    <t>TAXI TRANSPORT SERVICES</t>
  </si>
  <si>
    <t>BIRCH COFFEE MOYNIHAN TRAIN STATION</t>
  </si>
  <si>
    <t>DHL EXPRESS (USA) INC. BR</t>
  </si>
  <si>
    <t>TEZ TECHNOLOGY</t>
  </si>
  <si>
    <t>SEVYS GRILL</t>
  </si>
  <si>
    <t>4033 ZAROS BAKERY</t>
  </si>
  <si>
    <t>PANDA EXPRESS - IHA REPLACEMENT ACCOUNT</t>
  </si>
  <si>
    <t>SHANGRI-LA HOTEL, SINGAPORE</t>
  </si>
  <si>
    <t>GRAB SG - TRANSPORT GL</t>
  </si>
  <si>
    <t>DIN TAI FUNG JEWEL CHANGI</t>
  </si>
  <si>
    <t>SHANGRI-LA SINGAPORE</t>
  </si>
  <si>
    <t>TCOLV-FRONTDESK</t>
  </si>
  <si>
    <t>GETTY IMAGES INC</t>
  </si>
  <si>
    <t>DEAR MAMA- WEST HARLEM</t>
  </si>
  <si>
    <t>FOTIA MEDITERRANEAN</t>
  </si>
  <si>
    <t>MAMA PHO 2ND AVE</t>
  </si>
  <si>
    <t>RANCHO BERNARDO INN</t>
  </si>
  <si>
    <t>TAILWIND EUG</t>
  </si>
  <si>
    <t>GREAT AMER BAGEL TERM C</t>
  </si>
  <si>
    <t>PGA TOUR GRILLE JAX</t>
  </si>
  <si>
    <t>PHL-B LA COLOMBE</t>
  </si>
  <si>
    <t>CHIK-FIL-A - MINNEAPOLIS - SAINT PAUL</t>
  </si>
  <si>
    <t>MSP P5 CUSTOM BURGERS</t>
  </si>
  <si>
    <t>FFI&amp;S BLAINE</t>
  </si>
  <si>
    <t>WESTSIDE MARKETS</t>
  </si>
  <si>
    <t>WHOLEFOODS MARKET/MTE</t>
  </si>
  <si>
    <t>Ocean Prime</t>
  </si>
  <si>
    <t>Zaro's</t>
  </si>
  <si>
    <t>Austin Rotisserie</t>
  </si>
  <si>
    <t>Birch Coffee</t>
  </si>
  <si>
    <t>Central City Taxi</t>
  </si>
  <si>
    <t>Dear Mama</t>
  </si>
  <si>
    <t>Detroit Airport</t>
  </si>
  <si>
    <t>DHL</t>
  </si>
  <si>
    <t>Fairfield Inn</t>
  </si>
  <si>
    <t>Fotia</t>
  </si>
  <si>
    <t>Getty Images</t>
  </si>
  <si>
    <t>Gr Chocolate</t>
  </si>
  <si>
    <t>Grab Taxi</t>
  </si>
  <si>
    <t>Hotel Du Soleil</t>
  </si>
  <si>
    <t>Jimmy Johns</t>
  </si>
  <si>
    <t>Liholiho</t>
  </si>
  <si>
    <t>Mama Pho</t>
  </si>
  <si>
    <t>Market 317</t>
  </si>
  <si>
    <t>Mo's</t>
  </si>
  <si>
    <t>Custom Burger</t>
  </si>
  <si>
    <t>Woolley's</t>
  </si>
  <si>
    <t>Murray's</t>
  </si>
  <si>
    <t>NashVegas Cab</t>
  </si>
  <si>
    <t>Aglow</t>
  </si>
  <si>
    <t>Paola's</t>
  </si>
  <si>
    <t>Peck &amp; Plume</t>
  </si>
  <si>
    <t>PGA Tour Grill</t>
  </si>
  <si>
    <t>Pinehurst</t>
  </si>
  <si>
    <t>Rancho Bernardo</t>
  </si>
  <si>
    <t>Sevy's</t>
  </si>
  <si>
    <t>Shangri-La Hotel</t>
  </si>
  <si>
    <t>Sea Island</t>
  </si>
  <si>
    <t>Southern Soul Barbecue</t>
  </si>
  <si>
    <t>Panera</t>
  </si>
  <si>
    <t>Tacos Locos</t>
  </si>
  <si>
    <t>Tailwind Concessions</t>
  </si>
  <si>
    <t>Cosmopolitan</t>
  </si>
  <si>
    <t>TEZ Technology</t>
  </si>
  <si>
    <t>The Mayton</t>
  </si>
  <si>
    <t>Sinclair</t>
  </si>
  <si>
    <t>THE ST. REGIS</t>
  </si>
  <si>
    <t>Vending</t>
  </si>
  <si>
    <t>WestSide Market</t>
  </si>
  <si>
    <t>Whole Foods</t>
  </si>
  <si>
    <t>Qatar Airways</t>
  </si>
  <si>
    <t>AC HOTELS SCOTTSDALE NORT</t>
  </si>
  <si>
    <t>ARLO SOHO</t>
  </si>
  <si>
    <t>THREE CASKS  BNA-01</t>
  </si>
  <si>
    <t>ETAIS CAFE</t>
  </si>
  <si>
    <t>AC DENVER 3600</t>
  </si>
  <si>
    <t>LODGE AT SI LDG-SERT</t>
  </si>
  <si>
    <t>GINGERMAN GREENWICH</t>
  </si>
  <si>
    <t>MAREA</t>
  </si>
  <si>
    <t>ELWAYS</t>
  </si>
  <si>
    <t>7080 JAX VINO VOLO</t>
  </si>
  <si>
    <t>12 OAKS PARKING</t>
  </si>
  <si>
    <t>THE UMSTEAD HTL &amp; SPA</t>
  </si>
  <si>
    <t>DEBORAH MILLER CATERIN</t>
  </si>
  <si>
    <t>ICR, LLC</t>
  </si>
  <si>
    <t>CNP WHISKY RIVER T2 D RDU</t>
  </si>
  <si>
    <t>LGA FOOD HALL C60</t>
  </si>
  <si>
    <t>ARIA FB CARBONE</t>
  </si>
  <si>
    <t>COSMOPOL-EGGSLUT</t>
  </si>
  <si>
    <t>COSMOPOL-THE HENRY</t>
  </si>
  <si>
    <t>DUCK DUCK GOAT</t>
  </si>
  <si>
    <t>PENINSULA HOTEL CHIC</t>
  </si>
  <si>
    <t>C2 LITTLE PURSE</t>
  </si>
  <si>
    <t>HARDI</t>
  </si>
  <si>
    <t>KITCHEN STEP</t>
  </si>
  <si>
    <t>CRAWFORDS GENUINE</t>
  </si>
  <si>
    <t>LGA SOLEIL BRASSERIE C80 - ECO</t>
  </si>
  <si>
    <t>SEATTLE SEA-TAC AIRPORT</t>
  </si>
  <si>
    <t>EWR MEDITERRANEAN GRILL #</t>
  </si>
  <si>
    <t>DUNKIN #363849</t>
  </si>
  <si>
    <t>PGA B GATE LAS</t>
  </si>
  <si>
    <t>KONA CAFE</t>
  </si>
  <si>
    <t>MB MARKET</t>
  </si>
  <si>
    <t>PAN ASIAN EXPRESS- MANDAL</t>
  </si>
  <si>
    <t>ORCHID CAFE</t>
  </si>
  <si>
    <t>MANDLY BY RESORT CAS</t>
  </si>
  <si>
    <t>AMERICAN COUNCIL OF INDEP</t>
  </si>
  <si>
    <t>SOUTHERN GROUNDS PRE SEC</t>
  </si>
  <si>
    <t>RDU BURGERFI T2 6202295</t>
  </si>
  <si>
    <t>4030 VILLA OFFICE TAVERN</t>
  </si>
  <si>
    <t>CANAL STREET EATERY</t>
  </si>
  <si>
    <t>CONDADO VANDERBILT FD</t>
  </si>
  <si>
    <t>GEG MONROE MARKET</t>
  </si>
  <si>
    <t>TACOS &amp; TEQUILA</t>
  </si>
  <si>
    <t>CNP CHILIS POST CENTRAL J</t>
  </si>
  <si>
    <t>NOE CAFE</t>
  </si>
  <si>
    <t>WAYMO</t>
  </si>
  <si>
    <t>PHILZ COFFEE</t>
  </si>
  <si>
    <t>LAZ PARKING M18399-WC</t>
  </si>
  <si>
    <t>CHEVRON USA</t>
  </si>
  <si>
    <t>SONESTA WHITE PLAINS</t>
  </si>
  <si>
    <t>HUMANSCALE CORPORATION</t>
  </si>
  <si>
    <t>HOMEDEPOT.COM</t>
  </si>
  <si>
    <t>LGA BUBBYS MARKET</t>
  </si>
  <si>
    <t>CAPITAL PRODUCTION GROUP LLC</t>
  </si>
  <si>
    <t>LONERIDER</t>
  </si>
  <si>
    <t>LGA FLATIRON MARKET</t>
  </si>
  <si>
    <t>MADISON SQ GDN-SUITES</t>
  </si>
  <si>
    <t>RANGERS</t>
  </si>
  <si>
    <t>ADOBE WEBSALES</t>
  </si>
  <si>
    <t>YELLOW CAB</t>
  </si>
  <si>
    <t>1033 CAFFE NERO COPLEY MALL</t>
  </si>
  <si>
    <t>1045 CAFFE NERO BOYLSTON ST</t>
  </si>
  <si>
    <t>12 Oaks</t>
  </si>
  <si>
    <t>28392831 BAR DUBH T2 DUBLIN AIRP</t>
  </si>
  <si>
    <t>Dubh</t>
  </si>
  <si>
    <t>3303 SFO NAPAFARMS-COFFEE</t>
  </si>
  <si>
    <t>Napa Farms</t>
  </si>
  <si>
    <t>Office Tavern</t>
  </si>
  <si>
    <t>ACG</t>
  </si>
  <si>
    <t>Adobe</t>
  </si>
  <si>
    <t>ALLIANZ EVENT INS</t>
  </si>
  <si>
    <t>ACIL</t>
  </si>
  <si>
    <t>ANABA WINES</t>
  </si>
  <si>
    <t>Anaba Wines</t>
  </si>
  <si>
    <t>Carbone</t>
  </si>
  <si>
    <t>Arlo</t>
  </si>
  <si>
    <t>ASCENSION COFFEE - CRESCENT COURT PILOT</t>
  </si>
  <si>
    <t>BAMSEC</t>
  </si>
  <si>
    <t>BamSec</t>
  </si>
  <si>
    <t>Beatrix Market</t>
  </si>
  <si>
    <t>Beatrix</t>
  </si>
  <si>
    <t>BOSTON TAXI VTS</t>
  </si>
  <si>
    <t>Boston Taxi</t>
  </si>
  <si>
    <t>Little Purse</t>
  </si>
  <si>
    <t>Canal Street Eatery</t>
  </si>
  <si>
    <t>Capital Production Group</t>
  </si>
  <si>
    <t>CARROT EXPRESS - LEXINGTON</t>
  </si>
  <si>
    <t>Carrot Express</t>
  </si>
  <si>
    <t>Chevron</t>
  </si>
  <si>
    <t>CHICKEN  BEER</t>
  </si>
  <si>
    <t>Chicken Beer</t>
  </si>
  <si>
    <t>Whisky River</t>
  </si>
  <si>
    <t>Condado</t>
  </si>
  <si>
    <t>Eggslut</t>
  </si>
  <si>
    <t>The Henry</t>
  </si>
  <si>
    <t>Crawford's</t>
  </si>
  <si>
    <t>CRYING TIGER</t>
  </si>
  <si>
    <t>Crying Tiger</t>
  </si>
  <si>
    <t>CVS/PHARMACY #07019</t>
  </si>
  <si>
    <t>CVS</t>
  </si>
  <si>
    <t>CY NASHVILLE DOWNTOWN</t>
  </si>
  <si>
    <t>Deborah Miller</t>
  </si>
  <si>
    <t>DFW 0297 CNBC</t>
  </si>
  <si>
    <t>DFW WHATABURGER - E27</t>
  </si>
  <si>
    <t>DREAM NASHVILLE</t>
  </si>
  <si>
    <t>Dream</t>
  </si>
  <si>
    <t>Duck Duck Goat</t>
  </si>
  <si>
    <t>Dunkin</t>
  </si>
  <si>
    <t>Elway's</t>
  </si>
  <si>
    <t>Etai's Cafe</t>
  </si>
  <si>
    <t>EWR FELINA CUCINA #680112</t>
  </si>
  <si>
    <t>Felina Cucina</t>
  </si>
  <si>
    <t>Mediterranean Grill</t>
  </si>
  <si>
    <t>FAIRMONT HOTEL</t>
  </si>
  <si>
    <t>FARM TO PEOPLE</t>
  </si>
  <si>
    <t>Farm To People</t>
  </si>
  <si>
    <t>FEDEX OFFICE #1098</t>
  </si>
  <si>
    <t>FIRST WATCH #224</t>
  </si>
  <si>
    <t>FIVE BOROUGHS BREWING CO</t>
  </si>
  <si>
    <t>Five Boroughs</t>
  </si>
  <si>
    <t>FLOUR BAKERY &amp; CAFE</t>
  </si>
  <si>
    <t>Flour Bakery</t>
  </si>
  <si>
    <t>FOUR TWENTY FIVE</t>
  </si>
  <si>
    <t>Four Twenty Five</t>
  </si>
  <si>
    <t>FRESH MARKET ORD</t>
  </si>
  <si>
    <t>Fresh Market</t>
  </si>
  <si>
    <t>Monroe Market</t>
  </si>
  <si>
    <t>The Ginger Man</t>
  </si>
  <si>
    <t>GODDESS AND THE BAKER - WACKER</t>
  </si>
  <si>
    <t>Hardi</t>
  </si>
  <si>
    <t>HATSUHANA SUSHI RESTAURANT</t>
  </si>
  <si>
    <t>Hatsuhana</t>
  </si>
  <si>
    <t>Home Depot</t>
  </si>
  <si>
    <t>HOMETOWN COFFEE &amp; JUICE CO - GLENCOE</t>
  </si>
  <si>
    <t>Hometown Coffee</t>
  </si>
  <si>
    <t>HOTEL CRESCENT COURT</t>
  </si>
  <si>
    <t>Hotel Crescent</t>
  </si>
  <si>
    <t>Humanscale</t>
  </si>
  <si>
    <t>ICR</t>
  </si>
  <si>
    <t>IL VENETIAN</t>
  </si>
  <si>
    <t>Il Venetian</t>
  </si>
  <si>
    <t>IRON WORKS BBQ</t>
  </si>
  <si>
    <t>Iron Works</t>
  </si>
  <si>
    <t>JACOB'S PICKLES SONO</t>
  </si>
  <si>
    <t>Jacob's Pickles</t>
  </si>
  <si>
    <t>KISMET ROTISSERIE - CULVER CITY</t>
  </si>
  <si>
    <t>Kismet</t>
  </si>
  <si>
    <t>Kitchen STEP</t>
  </si>
  <si>
    <t>Kona Cafe</t>
  </si>
  <si>
    <t>LAWRENCE BARBECUE - CARY</t>
  </si>
  <si>
    <t>Lawrence Barbecue</t>
  </si>
  <si>
    <t xml:space="preserve">LAZ Parking </t>
  </si>
  <si>
    <t>LGA C COTTO - ECOM</t>
  </si>
  <si>
    <t>Cotto</t>
  </si>
  <si>
    <t>Flatiron Market</t>
  </si>
  <si>
    <t>LGA Food Hall</t>
  </si>
  <si>
    <t>Soleil</t>
  </si>
  <si>
    <t>Lonerider</t>
  </si>
  <si>
    <t>LSF LOGAN AIRPORT  TERMIN</t>
  </si>
  <si>
    <t>Legal Sea Foods</t>
  </si>
  <si>
    <t>M &amp; R - DD &amp; ALIDORO T8</t>
  </si>
  <si>
    <t>M &amp; R</t>
  </si>
  <si>
    <t>MSG</t>
  </si>
  <si>
    <t>MAMA GO'S FILIPINO CUISINE</t>
  </si>
  <si>
    <t>Mama Go's</t>
  </si>
  <si>
    <t>Mandalay Bay</t>
  </si>
  <si>
    <t>Marea</t>
  </si>
  <si>
    <t>MB Market</t>
  </si>
  <si>
    <t>MILLCREEK COFFEE ROASTERS- AIRPORT - NEW</t>
  </si>
  <si>
    <t>Millcreek</t>
  </si>
  <si>
    <t>Noe Cafe</t>
  </si>
  <si>
    <t>Orchid Cafe</t>
  </si>
  <si>
    <t>PALLADINOS NYC STEAK AND</t>
  </si>
  <si>
    <t>Palladino's</t>
  </si>
  <si>
    <t>Pan Asian Express</t>
  </si>
  <si>
    <t>PARIS BAGUETTE - 2129 - ROOKWOOD EXCHANG</t>
  </si>
  <si>
    <t>Paris Baguette</t>
  </si>
  <si>
    <t>PEI MEDIA INC</t>
  </si>
  <si>
    <t>PEI Media</t>
  </si>
  <si>
    <t>PENDRY CHICAGO F&amp;B</t>
  </si>
  <si>
    <t>Pendry</t>
  </si>
  <si>
    <t>Peninsula</t>
  </si>
  <si>
    <t>Philz Coffee</t>
  </si>
  <si>
    <t>POSTYS</t>
  </si>
  <si>
    <t>Posty's</t>
  </si>
  <si>
    <t>POTBELLY #5254</t>
  </si>
  <si>
    <t>POTBELLY SANDWICH WORKS L</t>
  </si>
  <si>
    <t>PREMIUM PARKING</t>
  </si>
  <si>
    <t>Premium Parking</t>
  </si>
  <si>
    <t>PROPER FOOD - 525 MARKET</t>
  </si>
  <si>
    <t>PROTEIN BAR</t>
  </si>
  <si>
    <t>PROTEIN BAR FRANKLIN</t>
  </si>
  <si>
    <t>PSB SERVICE CENTER</t>
  </si>
  <si>
    <t>PSB</t>
  </si>
  <si>
    <t>BurgerFi</t>
  </si>
  <si>
    <t>RENAISSANCECINCINNATI</t>
  </si>
  <si>
    <t>RESIDENCE INN BOSTON</t>
  </si>
  <si>
    <t>Residence Inn</t>
  </si>
  <si>
    <t>RITUAL COFFEE AT SFO</t>
  </si>
  <si>
    <t>Ritual Coffee</t>
  </si>
  <si>
    <t>RITZ CARLTON CLEVELAND</t>
  </si>
  <si>
    <t>RUBYS + ROSES</t>
  </si>
  <si>
    <t>Rubys &amp; Roses</t>
  </si>
  <si>
    <t>SCRIBE</t>
  </si>
  <si>
    <t>Scribe</t>
  </si>
  <si>
    <t>SEASONS 52 4535</t>
  </si>
  <si>
    <t>Seasons 52</t>
  </si>
  <si>
    <t>Seattle Airport</t>
  </si>
  <si>
    <t>SEDONA TAPHOUSE - NASHVILLE</t>
  </si>
  <si>
    <t>Sedona</t>
  </si>
  <si>
    <t>SLICE</t>
  </si>
  <si>
    <t>Slice</t>
  </si>
  <si>
    <t>Sonesta</t>
  </si>
  <si>
    <t>SUBSCRIPTION TO FT.COM</t>
  </si>
  <si>
    <t>Financial Times</t>
  </si>
  <si>
    <t>SUBWAY 473280</t>
  </si>
  <si>
    <t>Tacos &amp; Tequila</t>
  </si>
  <si>
    <t>TATTE BAKERY BACKBAY</t>
  </si>
  <si>
    <t>Tatte Bakery</t>
  </si>
  <si>
    <t>TATTE HOLDINGS, LLC</t>
  </si>
  <si>
    <t>Tatte</t>
  </si>
  <si>
    <t>TERRY BLACK'S BARBECUE DALLAS</t>
  </si>
  <si>
    <t>Terry Black's</t>
  </si>
  <si>
    <t>THE HAPP INN BAR &amp; GRILL</t>
  </si>
  <si>
    <t>The Happ Inn</t>
  </si>
  <si>
    <t>THE KIDD COFFEE CO - 4TH STREET</t>
  </si>
  <si>
    <t>The Kidd</t>
  </si>
  <si>
    <t>THE LOMBARDY</t>
  </si>
  <si>
    <t>Lombardy</t>
  </si>
  <si>
    <t>THE POSH BAGEL</t>
  </si>
  <si>
    <t>Posh Bagel</t>
  </si>
  <si>
    <t>THE ROSE HOTEL - CA</t>
  </si>
  <si>
    <t>The Rose Hotel</t>
  </si>
  <si>
    <t>THE TERRACE CAFE</t>
  </si>
  <si>
    <t>Terrace Cafe</t>
  </si>
  <si>
    <t>Umstead</t>
  </si>
  <si>
    <t>Three Casks</t>
  </si>
  <si>
    <t>TM PLUS RESALE</t>
  </si>
  <si>
    <t>Ticketmaster</t>
  </si>
  <si>
    <t>TRAVELOUTLET CASH</t>
  </si>
  <si>
    <t>Travel Outlet</t>
  </si>
  <si>
    <t>UDEMY, INC.</t>
  </si>
  <si>
    <t>Udemy</t>
  </si>
  <si>
    <t>UGLY BAGEL CO. NASHVILLE</t>
  </si>
  <si>
    <t>Ugly Bagel</t>
  </si>
  <si>
    <t>WAGAMAMA</t>
  </si>
  <si>
    <t>Wagamama</t>
  </si>
  <si>
    <t>Waymo</t>
  </si>
  <si>
    <t>WENDY'S LGA-C 13853</t>
  </si>
  <si>
    <t>WHATABURGER 460</t>
  </si>
  <si>
    <t>WRITTEN BY THE SEASONS THE QUAD</t>
  </si>
  <si>
    <t>Written By The Seasons</t>
  </si>
  <si>
    <t>WYNN LAS VEGAS HOTEL</t>
  </si>
  <si>
    <t>Wynn</t>
  </si>
  <si>
    <t>XO MARRIAGE CENTER</t>
  </si>
  <si>
    <t>XO Marriage</t>
  </si>
  <si>
    <t>Yellow Cab</t>
  </si>
  <si>
    <t>YOLK</t>
  </si>
  <si>
    <t>Yolk</t>
  </si>
  <si>
    <t>AEROPORT TAXI &amp; LIMOUSINE SERV</t>
  </si>
  <si>
    <t>THE YORKVILLE ROYAL SONES</t>
  </si>
  <si>
    <t>CMT PHOENIX</t>
  </si>
  <si>
    <t>DAVIOS</t>
  </si>
  <si>
    <t>PAVEMENT COFFEEHOUSE - FENWAY</t>
  </si>
  <si>
    <t>SFO-A BLACK POINT COFFEE</t>
  </si>
  <si>
    <t>HUDSON DUNKIN ST2354</t>
  </si>
  <si>
    <t>ARNO RISTORANTE</t>
  </si>
  <si>
    <t>JW AUSTIN DOWNTOWN F&amp;B</t>
  </si>
  <si>
    <t>BOND STREET</t>
  </si>
  <si>
    <t>HASALON</t>
  </si>
  <si>
    <t>ACME</t>
  </si>
  <si>
    <t>THE PENINSULA BEVERLY HIL</t>
  </si>
  <si>
    <t>CONCORD WEB</t>
  </si>
  <si>
    <t>BONGO JAVA</t>
  </si>
  <si>
    <t>PEPPERCORN DINER</t>
  </si>
  <si>
    <t>HERON'S RESTAURANT</t>
  </si>
  <si>
    <t>GRAND BRASSERIE</t>
  </si>
  <si>
    <t>STEFAN GRILL INC</t>
  </si>
  <si>
    <t>CITYOFOAKSST1739</t>
  </si>
  <si>
    <t>2ND KITCHENS RD AIRPORT</t>
  </si>
  <si>
    <t>CHICAGO SCHAUMBURG</t>
  </si>
  <si>
    <t>EWR PLAYA BOWLS #6841116</t>
  </si>
  <si>
    <t>IN-N-OUT BURGER #251</t>
  </si>
  <si>
    <t>PORTLAND, OR</t>
  </si>
  <si>
    <t>BAMBUZA PDX C</t>
  </si>
  <si>
    <t>EVOLVE BY HUDSON ST2324</t>
  </si>
  <si>
    <t>HUDSONST1738</t>
  </si>
  <si>
    <t>TERMINAL 1 B11 - TORTAS FRONTERA</t>
  </si>
  <si>
    <t>PB RESTAURANTS, LLC</t>
  </si>
  <si>
    <t>RENAISSANCE HTLS &amp; RESRTS</t>
  </si>
  <si>
    <t>V PIZZA &amp; SIDECAR - GATE PARKWAY</t>
  </si>
  <si>
    <t>HOTEL 5TH AVENUE</t>
  </si>
  <si>
    <t>CHICAGO ATHLETIC ASSOCATI</t>
  </si>
  <si>
    <t>HOT WOKS COOL SUSHI - MICHIGAN AVE</t>
  </si>
  <si>
    <t>CIRCLE K #6906</t>
  </si>
  <si>
    <t>SMITH &amp; WOLLENSKY 104</t>
  </si>
  <si>
    <t>JAX 0053 AMELIA ISLAND MA</t>
  </si>
  <si>
    <t>NAYAX VENDING 1</t>
  </si>
  <si>
    <t>NAOS</t>
  </si>
  <si>
    <t>PRESTONWOOD COUNTRY CLUB</t>
  </si>
  <si>
    <t>PRESTONWOOD COUNTRY CLUB INC 2</t>
  </si>
  <si>
    <t>555 CALIFORNIA GARAGE LL</t>
  </si>
  <si>
    <t>BELL CAB</t>
  </si>
  <si>
    <t>HONI BEAR BOBA CAFE</t>
  </si>
  <si>
    <t>CROWNE PLAZA BURLINGAME</t>
  </si>
  <si>
    <t>FAYZUL ISLAM</t>
  </si>
  <si>
    <t>BURGER FED T1 YYZ</t>
  </si>
  <si>
    <t>DALIDA</t>
  </si>
  <si>
    <t>PRESIDIO TRUST PARKING</t>
  </si>
  <si>
    <t>BREAD &amp; BUTTER 56</t>
  </si>
  <si>
    <t>FOXTAIL COFFEE - 1100 - PALMS AT GATE PA</t>
  </si>
  <si>
    <t>CARLITOS TACOS</t>
  </si>
  <si>
    <t>NJ MONTHLY AT EWR 741</t>
  </si>
  <si>
    <t>FELIX ROASTING CO CAFES</t>
  </si>
  <si>
    <t>CHOP HOUSE - CAPITAL CIT</t>
  </si>
  <si>
    <t>FAREFELLOW COFFEE SHOP  RDU</t>
  </si>
  <si>
    <t>BLUESTONE LANE  166</t>
  </si>
  <si>
    <t>CAFE CHINA</t>
  </si>
  <si>
    <t>TICK TOCK DINER NY</t>
  </si>
  <si>
    <t>TGI FRIDAYS 64306</t>
  </si>
  <si>
    <t>GAMEWAY DFW E16</t>
  </si>
  <si>
    <t>LSU THE CHARLES</t>
  </si>
  <si>
    <t>FEDEX OFFICE 0083</t>
  </si>
  <si>
    <t>CAFE SILVIUM</t>
  </si>
  <si>
    <t>HUDSON-NIA ROCHESTER, JV</t>
  </si>
  <si>
    <t>OYO TIMES SQUARE</t>
  </si>
  <si>
    <t>PANDA EXPRESS-CONC E CLT</t>
  </si>
  <si>
    <t>HOMEWOOD SUITES EDISON NJ</t>
  </si>
  <si>
    <t>SLIGHTLY TOASTED</t>
  </si>
  <si>
    <t>WOW BAO STATE LAKE</t>
  </si>
  <si>
    <t>PARKWELL - HOTEL BORN</t>
  </si>
  <si>
    <t>COLORADO VALETS</t>
  </si>
  <si>
    <t>GRADY CAMPBELL INC</t>
  </si>
  <si>
    <t>LAZ PARKING M26222-PHUB</t>
  </si>
  <si>
    <t>MADISON CAFE &amp; GRILL</t>
  </si>
  <si>
    <t>JUICE GENERATION 20</t>
  </si>
  <si>
    <t>2nd Kitchen</t>
  </si>
  <si>
    <t>555 California Garage</t>
  </si>
  <si>
    <t>Acme</t>
  </si>
  <si>
    <t>Aeroport Taxi</t>
  </si>
  <si>
    <t>Arno</t>
  </si>
  <si>
    <t>Bambuza</t>
  </si>
  <si>
    <t>Bell Car Service</t>
  </si>
  <si>
    <t>BLACK &amp; WHITE</t>
  </si>
  <si>
    <t>Black &amp; White</t>
  </si>
  <si>
    <t xml:space="preserve">Bluestone Lane </t>
  </si>
  <si>
    <t>Bond Street</t>
  </si>
  <si>
    <t>Bongo</t>
  </si>
  <si>
    <t>Bread &amp; Butter</t>
  </si>
  <si>
    <t>Burger Federation</t>
  </si>
  <si>
    <t>Cafe China</t>
  </si>
  <si>
    <t>Cafe Silvium</t>
  </si>
  <si>
    <t>Carlitos Tacos</t>
  </si>
  <si>
    <t>Athletic Assocation</t>
  </si>
  <si>
    <t>Schaumburg</t>
  </si>
  <si>
    <t>Circle K</t>
  </si>
  <si>
    <t>City Of Oaks</t>
  </si>
  <si>
    <t>CMT</t>
  </si>
  <si>
    <t>Colorado Valets</t>
  </si>
  <si>
    <t>Crowne Plaza</t>
  </si>
  <si>
    <t>Dalida</t>
  </si>
  <si>
    <t>Davio's</t>
  </si>
  <si>
    <t>Evolve</t>
  </si>
  <si>
    <t>Playa Bowls</t>
  </si>
  <si>
    <t>Fare&amp;Fellow</t>
  </si>
  <si>
    <t>Fayzul Islam</t>
  </si>
  <si>
    <t>Felix Roasting Co</t>
  </si>
  <si>
    <t>Foxtail Coffee</t>
  </si>
  <si>
    <t>Gameway</t>
  </si>
  <si>
    <t>GEG PEETES COFFEE A 69813</t>
  </si>
  <si>
    <t>Peet's Coffee</t>
  </si>
  <si>
    <t>GEG RIVERSIDE CAFE</t>
  </si>
  <si>
    <t>Riverside Cafe</t>
  </si>
  <si>
    <t>Grady Campbell</t>
  </si>
  <si>
    <t>Grand Brasserie</t>
  </si>
  <si>
    <t>HaSalon</t>
  </si>
  <si>
    <t>Heron</t>
  </si>
  <si>
    <t>Homewood Suites</t>
  </si>
  <si>
    <t>HONI-BEAR</t>
  </si>
  <si>
    <t>Hot Woks Cool Sushi</t>
  </si>
  <si>
    <t>Fifth Avenue Hotel</t>
  </si>
  <si>
    <t>In-N-Out</t>
  </si>
  <si>
    <t>Amelia Island</t>
  </si>
  <si>
    <t>The Charles</t>
  </si>
  <si>
    <t>Madison Cafe</t>
  </si>
  <si>
    <t>Nayax</t>
  </si>
  <si>
    <t>NJ Monthly</t>
  </si>
  <si>
    <t>OYO</t>
  </si>
  <si>
    <t>Parkwell</t>
  </si>
  <si>
    <t>Pavement Coffeehouse</t>
  </si>
  <si>
    <t>PB Restaurants</t>
  </si>
  <si>
    <t>Peppercorn</t>
  </si>
  <si>
    <t>Portland</t>
  </si>
  <si>
    <t>Presidio Parking</t>
  </si>
  <si>
    <t>Prestonwood</t>
  </si>
  <si>
    <t>SCOOP</t>
  </si>
  <si>
    <t>Scoop</t>
  </si>
  <si>
    <t>Black Point Coffee</t>
  </si>
  <si>
    <t>Slightly Toasted</t>
  </si>
  <si>
    <t>Smith &amp; Wollensky</t>
  </si>
  <si>
    <t>Stefan Grill</t>
  </si>
  <si>
    <t>Tortas Frontera</t>
  </si>
  <si>
    <t>TGI Fridays</t>
  </si>
  <si>
    <t>The Peninsula</t>
  </si>
  <si>
    <t>The Yorkville</t>
  </si>
  <si>
    <t>Tick Tock Diner</t>
  </si>
  <si>
    <t>V Pizza</t>
  </si>
  <si>
    <t>Wow Bao</t>
  </si>
  <si>
    <t>SUMMIT EXPRESS NJ</t>
  </si>
  <si>
    <t>IL GATTOPARDO</t>
  </si>
  <si>
    <t>THE RESORT AT PELICAN HIL</t>
  </si>
  <si>
    <t>THE BEN, AUTOGRAPH COLLEC</t>
  </si>
  <si>
    <t>WALE TAXI</t>
  </si>
  <si>
    <t>YARD HOUSE 8378</t>
  </si>
  <si>
    <t>10193C CAVA 40TH &amp; MADISO</t>
  </si>
  <si>
    <t>SUMMIT OFFICE EVOLUTION</t>
  </si>
  <si>
    <t>VIDA CONCESSIONS INC</t>
  </si>
  <si>
    <t>THE BEAUMONT HOTEL ROOM</t>
  </si>
  <si>
    <t>JH TAXI SERVICES LTD</t>
  </si>
  <si>
    <t>LS CORRIGANS MAYFAIR</t>
  </si>
  <si>
    <t>CAFFE NERO - 600 HEATHROW T2 ARRIVALS</t>
  </si>
  <si>
    <t>LICK AT EWR 690</t>
  </si>
  <si>
    <t>EWR ABRUZZO MERCATO</t>
  </si>
  <si>
    <t>VTS PHILADELPHIA</t>
  </si>
  <si>
    <t>AQIMERO</t>
  </si>
  <si>
    <t>INTOWN GOLF CLUB</t>
  </si>
  <si>
    <t>FRONTERA MEXICAN - BUFORD</t>
  </si>
  <si>
    <t>HOLIDAY INN EXPRESS &amp; SUI</t>
  </si>
  <si>
    <t>SIMPLYBOOKSST2706</t>
  </si>
  <si>
    <t>OSTERIA LK</t>
  </si>
  <si>
    <t>PARIS BAGUETTE</t>
  </si>
  <si>
    <t>MSP TERM D REPUBLIC BAR</t>
  </si>
  <si>
    <t>IMPERIAL HOTEL(GREAT YARMOUTH) LIMITED</t>
  </si>
  <si>
    <t>WE KNOW GROUP LIMITED</t>
  </si>
  <si>
    <t>PHL-F LA COLOMBE</t>
  </si>
  <si>
    <t>REFUGE COFFEE - MIDTOWN</t>
  </si>
  <si>
    <t>ATL TODAY D1</t>
  </si>
  <si>
    <t>4035 MARKET</t>
  </si>
  <si>
    <t>AmEx Assurance</t>
  </si>
  <si>
    <t>Chop House</t>
  </si>
  <si>
    <t>Il Gattopardo</t>
  </si>
  <si>
    <t>The Resort</t>
  </si>
  <si>
    <t>The Ben</t>
  </si>
  <si>
    <t>Wale Taxi</t>
  </si>
  <si>
    <t>Yard House</t>
  </si>
  <si>
    <t>Office Evolution</t>
  </si>
  <si>
    <t>Vida Concessions</t>
  </si>
  <si>
    <t>The Beaumont</t>
  </si>
  <si>
    <t>JH Taxi</t>
  </si>
  <si>
    <t>Corrigan's</t>
  </si>
  <si>
    <t>Lick</t>
  </si>
  <si>
    <t>Abruzzo Mercato</t>
  </si>
  <si>
    <t>VTS</t>
  </si>
  <si>
    <t>Aqimero</t>
  </si>
  <si>
    <t>Intown Golf Club</t>
  </si>
  <si>
    <t>Frontera</t>
  </si>
  <si>
    <t>Holiday Inn</t>
  </si>
  <si>
    <t>Simply Books</t>
  </si>
  <si>
    <t>Osteria Lk</t>
  </si>
  <si>
    <t>Republic Bar</t>
  </si>
  <si>
    <t>Imperial Hotel</t>
  </si>
  <si>
    <t>We Know Group</t>
  </si>
  <si>
    <t>Refuge Coffee</t>
  </si>
  <si>
    <t>ATL Today</t>
  </si>
  <si>
    <t>4035 Market</t>
  </si>
  <si>
    <t>365 MARKET F 8884323299</t>
  </si>
  <si>
    <t>365 Market</t>
  </si>
  <si>
    <t>ATLANTA BUSINESS CHRONIC</t>
  </si>
  <si>
    <t>Atlanta Business Chronic</t>
  </si>
  <si>
    <t>BELL FAMILY COMPANY</t>
  </si>
  <si>
    <t>Bell Family</t>
  </si>
  <si>
    <t>BURGER FED CONC L ORD</t>
  </si>
  <si>
    <t>CHILI'S TERM 1 MSP</t>
  </si>
  <si>
    <t>CLASSIC WINE COMPANY</t>
  </si>
  <si>
    <t>Classic Wine</t>
  </si>
  <si>
    <t>FRESQUEZ - NM PINON COFFEE</t>
  </si>
  <si>
    <t>H&amp;H BAGELS- MOYNIHAN TRAIN HALL</t>
  </si>
  <si>
    <t>H&amp;H Bagels</t>
  </si>
  <si>
    <t>HAYLEY CAKES &amp; COOKIES-WEB</t>
  </si>
  <si>
    <t>Hayley Cakes</t>
  </si>
  <si>
    <t>HOLIDAY INN EXPRESS</t>
  </si>
  <si>
    <t>HOTEL ALBUQUERQUE</t>
  </si>
  <si>
    <t>Hotel Albuquerque</t>
  </si>
  <si>
    <t>KAHOOT  ASA</t>
  </si>
  <si>
    <t>Kahoot!</t>
  </si>
  <si>
    <t>L, ARTUSI</t>
  </si>
  <si>
    <t>L'Artusi</t>
  </si>
  <si>
    <t>LGA ROSSI PIZZERIA MARKET</t>
  </si>
  <si>
    <t>Rossi Pizza</t>
  </si>
  <si>
    <t>LGA THE LINE MARKET</t>
  </si>
  <si>
    <t>The Line</t>
  </si>
  <si>
    <t>LILY AND LIAM BISTRO</t>
  </si>
  <si>
    <t>Lily &amp; Liam Bistro</t>
  </si>
  <si>
    <t>NEUHAUS CAFE</t>
  </si>
  <si>
    <t>Neuhaus</t>
  </si>
  <si>
    <t>PHL BAR SYNOM TERM D #682</t>
  </si>
  <si>
    <t>Bar Symon</t>
  </si>
  <si>
    <t>POKEWORKS NY2 LLC</t>
  </si>
  <si>
    <t>Pokeworks</t>
  </si>
  <si>
    <t>EXECUTIVE SERVICES</t>
  </si>
  <si>
    <t>JUGO JUICE EAST AUS</t>
  </si>
  <si>
    <t>3154 LAX CNBC</t>
  </si>
  <si>
    <t>ARIA - ADV SALES</t>
  </si>
  <si>
    <t>THE CHANCERY ROSEWOOD</t>
  </si>
  <si>
    <t>MOUNT STREET RESTAURANT</t>
  </si>
  <si>
    <t>TOCK</t>
  </si>
  <si>
    <t>THE LEAD LEFT LLC, C/O CHURCHILL ASSET M</t>
  </si>
  <si>
    <t>NAYA</t>
  </si>
  <si>
    <t>CONRAD HOTEL ABU DHABI ETIHAD TOWERS F</t>
  </si>
  <si>
    <t>EWR C3 GLOBAL BAZAAR</t>
  </si>
  <si>
    <t>PRIVATE EQUITY PROFESSIONAL</t>
  </si>
  <si>
    <t>THE BOCA RATON RESORT</t>
  </si>
  <si>
    <t>TOASTIES</t>
  </si>
  <si>
    <t>MOMOSAN RAMEN &amp; SAKE</t>
  </si>
  <si>
    <t>MIZNON - 30 ROCK</t>
  </si>
  <si>
    <t>SEASONS</t>
  </si>
  <si>
    <t>OREMS DINER</t>
  </si>
  <si>
    <t>COLUMBUS PARK TRATTORIA</t>
  </si>
  <si>
    <t>JW BUCKHEAD ATLANTA</t>
  </si>
  <si>
    <t>BRASH COFFEE</t>
  </si>
  <si>
    <t>FELICE 56</t>
  </si>
  <si>
    <t>SMITH AND WOLLENSKY NEW Y</t>
  </si>
  <si>
    <t>ALTESI UPTOWN</t>
  </si>
  <si>
    <t>LE PAVILLON</t>
  </si>
  <si>
    <t>PHX TACOS CHIWAS</t>
  </si>
  <si>
    <t>TEN MILE RIVER PRESERVE INC</t>
  </si>
  <si>
    <t>CNV US CONSUALTE SHANGHAI</t>
  </si>
  <si>
    <t>CRYSTAL JADE LA MIAN XIAO LONG BAO- AI</t>
  </si>
  <si>
    <t>MOON THAI EXPRESS</t>
  </si>
  <si>
    <t>BEIJINGSHANGRI-LAHOTELCDL</t>
  </si>
  <si>
    <t>AMK LETTERMAN COMMONS 222</t>
  </si>
  <si>
    <t>LUKE'S LOCAL UNION</t>
  </si>
  <si>
    <t>FUGAZY EVENT MANAGEMENT I</t>
  </si>
  <si>
    <t>PMUSA 730022 ROWAYTON</t>
  </si>
  <si>
    <t>REGISTER.COM - RETAIL</t>
  </si>
  <si>
    <t>WHARTON PE &amp; VC ALUMNI ASSOCIATION</t>
  </si>
  <si>
    <t>NEW AMERICA ALLIANCE INC</t>
  </si>
  <si>
    <t>BLU</t>
  </si>
  <si>
    <t>RZ BOSTON COMMON</t>
  </si>
  <si>
    <t>1001 CAFFE NERO MILLENNIUM PLACE</t>
  </si>
  <si>
    <t>TD GARDEN CONCESSIONS</t>
  </si>
  <si>
    <t>BANNER'S KITCHEN&amp;TAP</t>
  </si>
  <si>
    <t>PANERA BREAD ONLINE</t>
  </si>
  <si>
    <t>ENGINE CO NO 28</t>
  </si>
  <si>
    <t>GRAM AND DUN</t>
  </si>
  <si>
    <t>VILLAGE BAKERY AND CAFE</t>
  </si>
  <si>
    <t>NOVY RESTAURANT</t>
  </si>
  <si>
    <t>PARKSIDE</t>
  </si>
  <si>
    <t>LG ELECTRONICS USA INC</t>
  </si>
  <si>
    <t>WEGMANS</t>
  </si>
  <si>
    <t>IRONWOODBYHUDSONST1965</t>
  </si>
  <si>
    <t>JFK FLATIRON COFFEE ROAST</t>
  </si>
  <si>
    <t>TRAININNG LLC</t>
  </si>
  <si>
    <t>KABUKI HOTEL</t>
  </si>
  <si>
    <t>SKYLINE NEWS AND GIFTS</t>
  </si>
  <si>
    <t>WILDSEED SF</t>
  </si>
  <si>
    <t>LODGE AT THE PRESIDIO</t>
  </si>
  <si>
    <t>US BANK TOWER</t>
  </si>
  <si>
    <t>GELSONS MARKETS 04</t>
  </si>
  <si>
    <t>MESHUGA 4 SUSHI - PICO</t>
  </si>
  <si>
    <t>PICO GLATT KOSHER MARKET</t>
  </si>
  <si>
    <t>LAX SMART PARKING RES</t>
  </si>
  <si>
    <t>KOSHCO SUPERSTORE</t>
  </si>
  <si>
    <t>SCHWARTZ'S</t>
  </si>
  <si>
    <t>Altesi</t>
  </si>
  <si>
    <t>Letterman</t>
  </si>
  <si>
    <t>ARIA</t>
  </si>
  <si>
    <t>Banners</t>
  </si>
  <si>
    <t>Blu</t>
  </si>
  <si>
    <t>BRASH</t>
  </si>
  <si>
    <t>US Consulate</t>
  </si>
  <si>
    <t>Trattoria</t>
  </si>
  <si>
    <t>Conrad Hotel</t>
  </si>
  <si>
    <t>Crystal Jade</t>
  </si>
  <si>
    <t>Engine Co. No. 28</t>
  </si>
  <si>
    <t>Executive Services</t>
  </si>
  <si>
    <t>Felice 56</t>
  </si>
  <si>
    <t>Fugazy</t>
  </si>
  <si>
    <t>Gelson's Markets</t>
  </si>
  <si>
    <t>Gram &amp; Dun</t>
  </si>
  <si>
    <t>Ironwood</t>
  </si>
  <si>
    <t>Flatiron Coffee</t>
  </si>
  <si>
    <t>Jugo</t>
  </si>
  <si>
    <t>Kabuki</t>
  </si>
  <si>
    <t>Koshco</t>
  </si>
  <si>
    <t>LAX Parking</t>
  </si>
  <si>
    <t>Le Pavillon</t>
  </si>
  <si>
    <t>LG Electronics USA</t>
  </si>
  <si>
    <t>Presidio Lodging</t>
  </si>
  <si>
    <t>Luke's Local</t>
  </si>
  <si>
    <t>Meshuga</t>
  </si>
  <si>
    <t>Momosan</t>
  </si>
  <si>
    <t>Moon Thai</t>
  </si>
  <si>
    <t>Mount St.</t>
  </si>
  <si>
    <t>New America Alliance</t>
  </si>
  <si>
    <t>NOVY</t>
  </si>
  <si>
    <t>Orem's</t>
  </si>
  <si>
    <t>Panera Bread</t>
  </si>
  <si>
    <t>Park Side</t>
  </si>
  <si>
    <t>Tacos Chiwas</t>
  </si>
  <si>
    <t>Pico Glatt</t>
  </si>
  <si>
    <t>Private Equity Professional</t>
  </si>
  <si>
    <t>Register</t>
  </si>
  <si>
    <t>Boston Common</t>
  </si>
  <si>
    <t>Schwartz's</t>
  </si>
  <si>
    <t>Seasons</t>
  </si>
  <si>
    <t>Skyline News</t>
  </si>
  <si>
    <t xml:space="preserve">Smith &amp; Wollensky </t>
  </si>
  <si>
    <t>TD Garden Concessions</t>
  </si>
  <si>
    <t>Ten Mile River Preserve</t>
  </si>
  <si>
    <t>Boca Raton</t>
  </si>
  <si>
    <t>Chancery Rosewood</t>
  </si>
  <si>
    <t>The Lead Left</t>
  </si>
  <si>
    <t>Toasties</t>
  </si>
  <si>
    <t>Tock</t>
  </si>
  <si>
    <t>Training LLC</t>
  </si>
  <si>
    <t>U.S. Bank Tower</t>
  </si>
  <si>
    <t>Village Bakery</t>
  </si>
  <si>
    <t>Wegmans</t>
  </si>
  <si>
    <t>Wharton</t>
  </si>
  <si>
    <t>Wildseed</t>
  </si>
  <si>
    <t>PANDA EXPRESS T 8 LAX</t>
  </si>
  <si>
    <t>NICE COFFEE INC</t>
  </si>
  <si>
    <t>LGA SUNDAY SUPPER MT</t>
  </si>
  <si>
    <t>GUM GANG INC.</t>
  </si>
  <si>
    <t>ONEFINESTAY</t>
  </si>
  <si>
    <t>TONY B LLC</t>
  </si>
  <si>
    <t>THE POST OAK HOTEL</t>
  </si>
  <si>
    <t>CLAP RESTAURANT - DIFC DUBAI DUBAI</t>
  </si>
  <si>
    <t>SHANGHAI ME RESTAURANT - DIFC DUBAI DU</t>
  </si>
  <si>
    <t>JONES THE GROCER - KHALIDYAH ABU DHABI</t>
  </si>
  <si>
    <t>BUMBUGUR KHUTUV B-22</t>
  </si>
  <si>
    <t>CAFE NERO-KIOSK DUBAI ABU DHABI</t>
  </si>
  <si>
    <t>SHLS BRGR BR GRL001013814</t>
  </si>
  <si>
    <t>LGA THE GRILLE C60 - ECOM</t>
  </si>
  <si>
    <t>VUE NEW JERSEY AT EWR 738</t>
  </si>
  <si>
    <t>ATL 6044 TROP SMOOTHIE CA</t>
  </si>
  <si>
    <t>GALLIANO'S - MAPLE LAWN</t>
  </si>
  <si>
    <t>PLAYA BOWLS FREEHOLD</t>
  </si>
  <si>
    <t>LAUREL INN</t>
  </si>
  <si>
    <t>CHICAGO 10 S LASALLE</t>
  </si>
  <si>
    <t>THE LANGHAM CHICAGO</t>
  </si>
  <si>
    <t>PARK CENTRAL HOTEL NEWYOR</t>
  </si>
  <si>
    <t>MARUFUKU RAMEN - SF</t>
  </si>
  <si>
    <t>PALMER'S TAVERN - FILLMORE ST</t>
  </si>
  <si>
    <t>CHE FICO</t>
  </si>
  <si>
    <t>375 PARK FOOD, LLC</t>
  </si>
  <si>
    <t>THE HAMPTON SOCIAL</t>
  </si>
  <si>
    <t>MORTON'S - NEW YORK 1112</t>
  </si>
  <si>
    <t>LOUIE'S ITALIAN RESTAURANT AND BAR</t>
  </si>
  <si>
    <t>HINOKI NEW</t>
  </si>
  <si>
    <t>THE COTTAGE (GREENWICH)</t>
  </si>
  <si>
    <t>PRIME &amp; PROVISIONS</t>
  </si>
  <si>
    <t>MHR AUSTIN</t>
  </si>
  <si>
    <t>VIASATSWAIRLINES</t>
  </si>
  <si>
    <t>FRONTERA GRILL B11 #833</t>
  </si>
  <si>
    <t>HIGH FLYING FOODS - SFO - PEETS GATE 58</t>
  </si>
  <si>
    <t>SWETT'S</t>
  </si>
  <si>
    <t>SUMMER SALT 2</t>
  </si>
  <si>
    <t>PITA YEERO VANDERBILT INC</t>
  </si>
  <si>
    <t>RICO BAGEL</t>
  </si>
  <si>
    <t>FIELDS GOOD AND CHICKEN - 40TH</t>
  </si>
  <si>
    <t>ELECTRIC BURRITO EAST VILLAGE</t>
  </si>
  <si>
    <t>375 Park Food</t>
  </si>
  <si>
    <t>APPLE SPICE</t>
  </si>
  <si>
    <t>Apple Spice</t>
  </si>
  <si>
    <t>Tropical Smoothie</t>
  </si>
  <si>
    <t>Bumbugur</t>
  </si>
  <si>
    <t>Cafe Nero</t>
  </si>
  <si>
    <t>Che Fico</t>
  </si>
  <si>
    <t>10 LaSalle</t>
  </si>
  <si>
    <t>CLAP</t>
  </si>
  <si>
    <t>Electric Burrito</t>
  </si>
  <si>
    <t>Fields Good Chicken</t>
  </si>
  <si>
    <t>Frontera Grill</t>
  </si>
  <si>
    <t>Galliano</t>
  </si>
  <si>
    <t>Gum Gang</t>
  </si>
  <si>
    <t>High Flying Foods</t>
  </si>
  <si>
    <t>Hinoki</t>
  </si>
  <si>
    <t>Jones The Grocer</t>
  </si>
  <si>
    <t>Sunday Supper</t>
  </si>
  <si>
    <t>The Grille</t>
  </si>
  <si>
    <t>Louie's</t>
  </si>
  <si>
    <t>Marufuku</t>
  </si>
  <si>
    <t>Austin Marriott</t>
  </si>
  <si>
    <t>Morton's</t>
  </si>
  <si>
    <t>Nice Coffee</t>
  </si>
  <si>
    <t>Onefinestay</t>
  </si>
  <si>
    <t>Palmer's</t>
  </si>
  <si>
    <t>Park Central Hotel</t>
  </si>
  <si>
    <t>Pita Yeero</t>
  </si>
  <si>
    <t>Prime &amp; Provisions</t>
  </si>
  <si>
    <t>Rico Bagel</t>
  </si>
  <si>
    <t>Shanghai Me</t>
  </si>
  <si>
    <t>Schallers</t>
  </si>
  <si>
    <t>The Cottage</t>
  </si>
  <si>
    <t>The Hampton Social</t>
  </si>
  <si>
    <t>The Langham</t>
  </si>
  <si>
    <t>Post Oak Hotel</t>
  </si>
  <si>
    <t>Tony B</t>
  </si>
  <si>
    <t>Viasat SW Airlines</t>
  </si>
  <si>
    <t>Vue New Jersey</t>
  </si>
  <si>
    <t>Laurel Inn</t>
  </si>
  <si>
    <t>Summer Salt</t>
  </si>
  <si>
    <t>Swett's</t>
  </si>
  <si>
    <t>STAPLES 48</t>
  </si>
  <si>
    <t>FASANO RESTAURANT</t>
  </si>
  <si>
    <t>PITTSBURGH - MARTINI</t>
  </si>
  <si>
    <t>CUBAN AMERICAN CAFE</t>
  </si>
  <si>
    <t>7-ELEVEN PAYATPUMP</t>
  </si>
  <si>
    <t>AMALI</t>
  </si>
  <si>
    <t>7-ELEVEN STORES W GAS</t>
  </si>
  <si>
    <t>ASCENSION COFFEE - ADDISON USED TO BE SH</t>
  </si>
  <si>
    <t>WHITE ROCK COFFEE - ROSEWOOD</t>
  </si>
  <si>
    <t>VEND PARK</t>
  </si>
  <si>
    <t>CLAY RESTAURANT</t>
  </si>
  <si>
    <t>ZUMA NYC LLC</t>
  </si>
  <si>
    <t>HOTELPLANNER.COM</t>
  </si>
  <si>
    <t>THISBOWL 6W 52ND ST</t>
  </si>
  <si>
    <t>DREW PEARSON SPORTS 88</t>
  </si>
  <si>
    <t>14 PRIME</t>
  </si>
  <si>
    <t>14 Prime</t>
  </si>
  <si>
    <t>AJABU SERVICES</t>
  </si>
  <si>
    <t>Ajabu</t>
  </si>
  <si>
    <t>Amali</t>
  </si>
  <si>
    <t>ARIA RESORT &amp; CASINO</t>
  </si>
  <si>
    <t>ATA KEBAB LLC</t>
  </si>
  <si>
    <t>Ata Kebab</t>
  </si>
  <si>
    <t>ATLANTA BRAVES ALL STAR G</t>
  </si>
  <si>
    <t>All Star Grill</t>
  </si>
  <si>
    <t>ATLMARKET ST2687</t>
  </si>
  <si>
    <t>Atlanta Market</t>
  </si>
  <si>
    <t>BOULDER COFFEE CAFE &amp; LOU</t>
  </si>
  <si>
    <t>Boulder Coffee</t>
  </si>
  <si>
    <t>Clay</t>
  </si>
  <si>
    <t>CLEMENT</t>
  </si>
  <si>
    <t>Clement</t>
  </si>
  <si>
    <t>Cuban-American Cafe</t>
  </si>
  <si>
    <t>DAPHNES</t>
  </si>
  <si>
    <t>Daphne's</t>
  </si>
  <si>
    <t>DARYAS CAFE</t>
  </si>
  <si>
    <t>Darya's</t>
  </si>
  <si>
    <t>DIAL 7 CREDIT SERVICES</t>
  </si>
  <si>
    <t>Dial 7</t>
  </si>
  <si>
    <t>Drew Pearson's</t>
  </si>
  <si>
    <t>DTW AIRP - PIATA</t>
  </si>
  <si>
    <t>Piata</t>
  </si>
  <si>
    <t>EWR ABRUZZO - ECOM</t>
  </si>
  <si>
    <t>EWR PHILLY CHEESE C3</t>
  </si>
  <si>
    <t>Philly Cheese</t>
  </si>
  <si>
    <t>FAIRMONT AUSTIN</t>
  </si>
  <si>
    <t>FRESQUEZ - DUNKIN EXPRESS</t>
  </si>
  <si>
    <t>FRESQUEZ - FLAVOR OF NM</t>
  </si>
  <si>
    <t>GARDUNOS / QBAR</t>
  </si>
  <si>
    <t>Garduno's</t>
  </si>
  <si>
    <t>GOOSE ISLAND L10 #34</t>
  </si>
  <si>
    <t>Goose Island</t>
  </si>
  <si>
    <t>GOTHAM NEWS AT LGA 550</t>
  </si>
  <si>
    <t>GUS'S WORLD FAMOUS FRIED CHICKEN - AUSTI</t>
  </si>
  <si>
    <t>Gus's Fried Chicken</t>
  </si>
  <si>
    <t>HOLMAN AND FINCH</t>
  </si>
  <si>
    <t>Holeman and Finch</t>
  </si>
  <si>
    <t>HotelPlanner</t>
  </si>
  <si>
    <t>IAH CN BAM BAM - ECOM</t>
  </si>
  <si>
    <t>Bam Bam</t>
  </si>
  <si>
    <t>JAX 0047 RIVERCITYTRAVLMR</t>
  </si>
  <si>
    <t>JFK DD ARRIVALS-6353175</t>
  </si>
  <si>
    <t>JFK</t>
  </si>
  <si>
    <t>KEKES 4066</t>
  </si>
  <si>
    <t>Keke's</t>
  </si>
  <si>
    <t>LAX 3152 UNIVISION</t>
  </si>
  <si>
    <t>LGA BUBBYS DINER - ECOM</t>
  </si>
  <si>
    <t>Bubby's</t>
  </si>
  <si>
    <t>LGA MICASA CA2L 215 #6331</t>
  </si>
  <si>
    <t>Mi Casa Cantina</t>
  </si>
  <si>
    <t>LGA ROSSI PIZZERIA - ECOM</t>
  </si>
  <si>
    <t>LITTLE BEAR COFFEE LLC</t>
  </si>
  <si>
    <t>Little Bear Coffee</t>
  </si>
  <si>
    <t>LUCCA</t>
  </si>
  <si>
    <t>Lucca</t>
  </si>
  <si>
    <t>NOVO COFFEE B</t>
  </si>
  <si>
    <t>Novo Coffee</t>
  </si>
  <si>
    <t>NYS ON LINE ATTY REG FEE</t>
  </si>
  <si>
    <t>NYS Attorney Fee</t>
  </si>
  <si>
    <t>NYS ON LINE ATTY REGISTRA</t>
  </si>
  <si>
    <t>OCEANS NEW YORK</t>
  </si>
  <si>
    <t>Oceans</t>
  </si>
  <si>
    <t>ONE HUNDRED SHOREDITCH</t>
  </si>
  <si>
    <t>One Hundred Shoreditch</t>
  </si>
  <si>
    <t>ORIGIN COFFEE RETAIL LIMITED</t>
  </si>
  <si>
    <t>Origin Coffee</t>
  </si>
  <si>
    <t>Martini</t>
  </si>
  <si>
    <t>PMUSA 730037 MAMARONECK</t>
  </si>
  <si>
    <t>RITZ CARLTON BOSTONCOMMON</t>
  </si>
  <si>
    <t>ROC FLIGHT DECK DINER #11</t>
  </si>
  <si>
    <t>Flight Deck Diner</t>
  </si>
  <si>
    <t>SAM ADAMS</t>
  </si>
  <si>
    <t>Sam Adams</t>
  </si>
  <si>
    <t>SCAMPO</t>
  </si>
  <si>
    <t>Scampo</t>
  </si>
  <si>
    <t>SUBWAY 27857</t>
  </si>
  <si>
    <t>THE POST OAK CRAFT F&amp;B</t>
  </si>
  <si>
    <t>Craft F&amp;B</t>
  </si>
  <si>
    <t>ThisBowl</t>
  </si>
  <si>
    <t>TST-BISTRO FREDDIE</t>
  </si>
  <si>
    <t>Bistro Freddie</t>
  </si>
  <si>
    <t>TUSCANY #844</t>
  </si>
  <si>
    <t>Tuscany</t>
  </si>
  <si>
    <t>Vend Park</t>
  </si>
  <si>
    <t>VIASAT, INC.</t>
  </si>
  <si>
    <t>Viasat</t>
  </si>
  <si>
    <t>White Rock Coffee</t>
  </si>
  <si>
    <t>WILLIE G'S POST OAK</t>
  </si>
  <si>
    <t>Willie G's</t>
  </si>
  <si>
    <t>Zuma</t>
  </si>
  <si>
    <t>MELINA</t>
  </si>
  <si>
    <t>THE PENROSE</t>
  </si>
  <si>
    <t>SCHNIPPERS QUALITY SOUPS</t>
  </si>
  <si>
    <t>THE BENJAMIN ROYAL SONEST</t>
  </si>
  <si>
    <t>FOUR SEASON HOTEL SEATTLE</t>
  </si>
  <si>
    <t>BACCARAT HOTEL NY F&amp;B</t>
  </si>
  <si>
    <t>APPLE ENGRAVING</t>
  </si>
  <si>
    <t>WGC*UNIONSQUAREHG</t>
  </si>
  <si>
    <t>KOTTI DONER - THE HUGH</t>
  </si>
  <si>
    <t>FSPRG.COM877-327-8914</t>
  </si>
  <si>
    <t>IL CANTINORI - NEW</t>
  </si>
  <si>
    <t>Apple Engraving</t>
  </si>
  <si>
    <t>Baccarat Hotel</t>
  </si>
  <si>
    <t>FastSpring</t>
  </si>
  <si>
    <t>Il Cantinori</t>
  </si>
  <si>
    <t>Kotti Doner</t>
  </si>
  <si>
    <t>Melina</t>
  </si>
  <si>
    <t>Schnipper's</t>
  </si>
  <si>
    <t>The Benjamin Royal</t>
  </si>
  <si>
    <t>The Penrose</t>
  </si>
  <si>
    <t>Union Square Hospitality</t>
  </si>
  <si>
    <t>PUBLIX 393</t>
  </si>
  <si>
    <t>SOLID WIGGLES HQ  630 FLUSHING AVE 8TH F</t>
  </si>
  <si>
    <t>MINIBAR SMZ IMPEX</t>
  </si>
  <si>
    <t>SINIGUAL - NY - 7260</t>
  </si>
  <si>
    <t>MADE MAD INC</t>
  </si>
  <si>
    <t>SUGARFISH LEX</t>
  </si>
  <si>
    <t>MINELLA'S DINER</t>
  </si>
  <si>
    <t>WGMN KNG PRUSSIA48</t>
  </si>
  <si>
    <t>LA BISTRO</t>
  </si>
  <si>
    <t>LAND OF PLENTY</t>
  </si>
  <si>
    <t>BENJAMIN'S STEAK HOUSE</t>
  </si>
  <si>
    <t>ROSEMARY'S - MIDTOWN</t>
  </si>
  <si>
    <t>PICCOLA CUCINA UPTOWN</t>
  </si>
  <si>
    <t>MULLIGAN'S PUB</t>
  </si>
  <si>
    <t>P.J CLARKE'S</t>
  </si>
  <si>
    <t>SAMANTHA ROSE DESIGNS</t>
  </si>
  <si>
    <t>OLD IRVING BREWING CO.</t>
  </si>
  <si>
    <t>ALLORA</t>
  </si>
  <si>
    <t>WHITE OLIVE MEDITERRANEAN</t>
  </si>
  <si>
    <t>THE FIFTY SONESTA NEW YOR</t>
  </si>
  <si>
    <t>ELITE PROMO INC.</t>
  </si>
  <si>
    <t>GODADDY COM EUROPE</t>
  </si>
  <si>
    <t>PERPLEXITY AI, INC</t>
  </si>
  <si>
    <t>LENOVO</t>
  </si>
  <si>
    <t>SERAFINA BROADWAY</t>
  </si>
  <si>
    <t>LE BAR PENELOPE</t>
  </si>
  <si>
    <t>ADNET ADVERTISING AGENCY</t>
  </si>
  <si>
    <t>THE BOTREE</t>
  </si>
  <si>
    <t>CABVISION NETWORK LIMITED</t>
  </si>
  <si>
    <t>SPARROW MAYFAIR</t>
  </si>
  <si>
    <t>ISABEL</t>
  </si>
  <si>
    <t>LONDON TAXI 59095</t>
  </si>
  <si>
    <t>IHEART MEDIA</t>
  </si>
  <si>
    <t>ASTER TALENT</t>
  </si>
  <si>
    <t>THE ALGONQUIN HOTEL TIMES</t>
  </si>
  <si>
    <t>PANERA BREAD E CLT</t>
  </si>
  <si>
    <t>THE RED FLAME DINER</t>
  </si>
  <si>
    <t>RESIDENCE INN NEW YORK</t>
  </si>
  <si>
    <t>BLACK IRON BURGER</t>
  </si>
  <si>
    <t>WENDY'S LGA-B 12894</t>
  </si>
  <si>
    <t>HIGHLINE VAIL DOUBLETREE</t>
  </si>
  <si>
    <t>CHERRY CRICKET - CHERRY CREEK</t>
  </si>
  <si>
    <t>NORTHSTAR ACQUISITION</t>
  </si>
  <si>
    <t>FLUFFIES HOT CHICKEN NYC NRO 2</t>
  </si>
  <si>
    <t>CSM PARKING METTERA</t>
  </si>
  <si>
    <t>THE BAGEL FACTORY INC</t>
  </si>
  <si>
    <t>GLATT MART</t>
  </si>
  <si>
    <t>Adnet Advertising</t>
  </si>
  <si>
    <t>Allora</t>
  </si>
  <si>
    <t>Aster Talent</t>
  </si>
  <si>
    <t>Benjamin's</t>
  </si>
  <si>
    <t>Black Iron Burger</t>
  </si>
  <si>
    <t>Cabvision</t>
  </si>
  <si>
    <t>Cherry Cricket</t>
  </si>
  <si>
    <t>Parking Meter</t>
  </si>
  <si>
    <t>Elite Promo</t>
  </si>
  <si>
    <t>Fluffies Hot Chicken</t>
  </si>
  <si>
    <t>Glatt Mart</t>
  </si>
  <si>
    <t>GoDaddy</t>
  </si>
  <si>
    <t>Highline Vail</t>
  </si>
  <si>
    <t>iHeartMedia</t>
  </si>
  <si>
    <t>Isabel</t>
  </si>
  <si>
    <t>La Bistro</t>
  </si>
  <si>
    <t>Land Of Plenty</t>
  </si>
  <si>
    <t>Le Bar Penelope</t>
  </si>
  <si>
    <t>Made Mad</t>
  </si>
  <si>
    <t>Minella's</t>
  </si>
  <si>
    <t>ISM Minibar</t>
  </si>
  <si>
    <t>Mulligan's</t>
  </si>
  <si>
    <t>Northstar Acquisition</t>
  </si>
  <si>
    <t>Old Irving Brewing Co.</t>
  </si>
  <si>
    <t>P.J Clarke's</t>
  </si>
  <si>
    <t>Perplexity AI</t>
  </si>
  <si>
    <t>Piccola Cucina</t>
  </si>
  <si>
    <t>Publix</t>
  </si>
  <si>
    <t>Rosemary's</t>
  </si>
  <si>
    <t>Samantha Rose Designs</t>
  </si>
  <si>
    <t>Serafina</t>
  </si>
  <si>
    <t>Sinigual</t>
  </si>
  <si>
    <t>Solid Wiggles</t>
  </si>
  <si>
    <t>Sparrow</t>
  </si>
  <si>
    <t>Sugarfish</t>
  </si>
  <si>
    <t>The Algonquin</t>
  </si>
  <si>
    <t>The Bagel Factory</t>
  </si>
  <si>
    <t>The BoTree</t>
  </si>
  <si>
    <t>The Fifty Sonesta</t>
  </si>
  <si>
    <t>The Red Flame</t>
  </si>
  <si>
    <t>King Of Prussia</t>
  </si>
  <si>
    <t>White Olive</t>
  </si>
  <si>
    <t>TATTE #630023 CAPITOL CRO</t>
  </si>
  <si>
    <t>ARLO WASHINGTON DC-CANARY</t>
  </si>
  <si>
    <t>DTW 6106 LONGHORN</t>
  </si>
  <si>
    <t>PANASONIC AVIONICS CORPORATION</t>
  </si>
  <si>
    <t>PF CHANG'S 4600</t>
  </si>
  <si>
    <t>OPTO - SMB POS - NEW BUSINESS</t>
  </si>
  <si>
    <t>85 TENTH RESTAURANTS LLC</t>
  </si>
  <si>
    <t>LITTLE SISTER AT MOXY EAS</t>
  </si>
  <si>
    <t>PBI 0061 CORAL COVE NEWS</t>
  </si>
  <si>
    <t>SAYOLA</t>
  </si>
  <si>
    <t>NARI</t>
  </si>
  <si>
    <t>THE CAFE</t>
  </si>
  <si>
    <t>BEACH DINER - PONTE VEDRA BEACH</t>
  </si>
  <si>
    <t>SIDE DOOR</t>
  </si>
  <si>
    <t>PF CHANGS</t>
  </si>
  <si>
    <t>PADEL &amp; LLC</t>
  </si>
  <si>
    <t>LA LANTERNA DI VITTORIO</t>
  </si>
  <si>
    <t>GABRIELLA'S MODERN ITALIAN - DELRAY FL</t>
  </si>
  <si>
    <t>GLORY DAYS DINER</t>
  </si>
  <si>
    <t>MARTHA &amp; BROS COFFEE.</t>
  </si>
  <si>
    <t>ALOFT RALEIGH DURHAM AIRP</t>
  </si>
  <si>
    <t>NYC-WINE-COMPANY.MYSHOPIFY</t>
  </si>
  <si>
    <t>SMASHBURGER SDF</t>
  </si>
  <si>
    <t>85 Tenth Restaurants LLC</t>
  </si>
  <si>
    <t>Aloft Raleigh</t>
  </si>
  <si>
    <t>Arlo Hotels</t>
  </si>
  <si>
    <t>Ponte Vedra</t>
  </si>
  <si>
    <t>Longhorn Steakhouse</t>
  </si>
  <si>
    <t>Gabriella's</t>
  </si>
  <si>
    <t>Glory Days Diner</t>
  </si>
  <si>
    <t>La Lanterna Di Vittorio</t>
  </si>
  <si>
    <t>Little Sister Lounge</t>
  </si>
  <si>
    <t>Martha &amp; Bros</t>
  </si>
  <si>
    <t>Nyc Wine Company</t>
  </si>
  <si>
    <t>Opto</t>
  </si>
  <si>
    <t>Padel &amp; LLC</t>
  </si>
  <si>
    <t>Panasonic</t>
  </si>
  <si>
    <t>Coral Cove News</t>
  </si>
  <si>
    <t>P.F. Chang's</t>
  </si>
  <si>
    <t>Sayola</t>
  </si>
  <si>
    <t>Side Door</t>
  </si>
  <si>
    <t>Smashburger</t>
  </si>
  <si>
    <t>The Cafe</t>
  </si>
  <si>
    <t>LOS TACOS NO.1</t>
  </si>
  <si>
    <t>FRONT GATE TICKETS</t>
  </si>
  <si>
    <t>HIGH WEST SALOON</t>
  </si>
  <si>
    <t>NARO RESTAURANT</t>
  </si>
  <si>
    <t>INFINITY HOTEL SAN FRANCI</t>
  </si>
  <si>
    <t>AMYS DRIVE THRU - SFO 1103</t>
  </si>
  <si>
    <t>TWISTED ST CAFE</t>
  </si>
  <si>
    <t>POPEYES 11477</t>
  </si>
  <si>
    <t>Work Late/Office to Home</t>
  </si>
  <si>
    <t>Airline</t>
  </si>
  <si>
    <t>CAFFE NERO - 601 HEATHROW T2B HUB</t>
  </si>
  <si>
    <t>ERIKS HOTEL</t>
  </si>
  <si>
    <t>MISS TAXI GMBH</t>
  </si>
  <si>
    <t>JAX 7084 VERDI MARKET</t>
  </si>
  <si>
    <t>CAPITAL GRILLE 8029</t>
  </si>
  <si>
    <t>JAX 0048 TRAVEL AT EASE</t>
  </si>
  <si>
    <t>EWR HAPPY CLAM MARKET</t>
  </si>
  <si>
    <t>RSW 0072 BEACHES TRAVELMA</t>
  </si>
  <si>
    <t>HOTEL AT AVALON</t>
  </si>
  <si>
    <t>IND HC 1933 TAVERN</t>
  </si>
  <si>
    <t>GRAB SG-TRANSPORT ADY</t>
  </si>
  <si>
    <t>HUANG TU DI.XI'AN DELIGHTS</t>
  </si>
  <si>
    <t>CABCHARGE ASIA PTE LTD - TERMINAL</t>
  </si>
  <si>
    <t>MODERN SHANG SM CLARK</t>
  </si>
  <si>
    <t>NETWORK FOR GOOD, INC.</t>
  </si>
  <si>
    <t>PRESIDENTS HOUSE COFFEE</t>
  </si>
  <si>
    <t>AUDIBLE, INC.</t>
  </si>
  <si>
    <t>FAIRMONT GRND  DELMAR</t>
  </si>
  <si>
    <t>Amy's Drive Thru</t>
  </si>
  <si>
    <t>Audible</t>
  </si>
  <si>
    <t>Cabcharge Asia</t>
  </si>
  <si>
    <t>Eriks Hotel</t>
  </si>
  <si>
    <t>The Happy Clam</t>
  </si>
  <si>
    <t>Grand Del Mar</t>
  </si>
  <si>
    <t>Front Gate Tickets</t>
  </si>
  <si>
    <t>High West Saloon</t>
  </si>
  <si>
    <t>Hotel At Avalon</t>
  </si>
  <si>
    <t>Huang Tu Di Xi'An Delights</t>
  </si>
  <si>
    <t>1933 Lounge</t>
  </si>
  <si>
    <t>Infinity Hotel</t>
  </si>
  <si>
    <t>Bubby's Market</t>
  </si>
  <si>
    <t>Los Tacos</t>
  </si>
  <si>
    <t>Miss Taxi</t>
  </si>
  <si>
    <t>Modern Shang</t>
  </si>
  <si>
    <t>NARO</t>
  </si>
  <si>
    <t>Network For Good</t>
  </si>
  <si>
    <t>Popeyes</t>
  </si>
  <si>
    <t>President's House Coffee</t>
  </si>
  <si>
    <t>Beaches Travelmart</t>
  </si>
  <si>
    <t>Twisted St. Cafe</t>
  </si>
  <si>
    <t>CONRAD WASHINGTON, FRONT</t>
  </si>
  <si>
    <t>BONNIES RESTAURANT</t>
  </si>
  <si>
    <t>A0I4</t>
  </si>
  <si>
    <t>A0I5</t>
  </si>
  <si>
    <t>Goodman, Kirk</t>
  </si>
  <si>
    <t>Hayes, Preston</t>
  </si>
  <si>
    <t>INSTACART</t>
  </si>
  <si>
    <t>WAL-MART SUPERCENTER 1082</t>
  </si>
  <si>
    <t>OFFICE DEPOT 1214</t>
  </si>
  <si>
    <t>THE CHEFS TABLE</t>
  </si>
  <si>
    <t>365 MARKET FP</t>
  </si>
  <si>
    <t>ROCHESTER AIRPORT</t>
  </si>
  <si>
    <t>WENDY'S            Q</t>
  </si>
  <si>
    <t>PEPPERMILL HTL &amp; CASINO</t>
  </si>
  <si>
    <t>RNO TIMBER RIDGE 2601139</t>
  </si>
  <si>
    <t>PHILLIPS 66-CONOCO-76 CAT</t>
  </si>
  <si>
    <t>HOUSTON AIRPORT AT GEORGE BUSH INTERCONT</t>
  </si>
  <si>
    <t>GOOD NEWS DELI</t>
  </si>
  <si>
    <t>THE READING ROOM</t>
  </si>
  <si>
    <t>GIBSONS ROSEMONT</t>
  </si>
  <si>
    <t>HILLSTONE 303-333-4688</t>
  </si>
  <si>
    <t>HOTEL CLIO</t>
  </si>
  <si>
    <t>HOTEL JEROME</t>
  </si>
  <si>
    <t>CONDADO TACOS</t>
  </si>
  <si>
    <t>TAO UPTOWN</t>
  </si>
  <si>
    <t>FONTAINEBLEAU RESORT</t>
  </si>
  <si>
    <t>RUMIS KITCHEN</t>
  </si>
  <si>
    <t>FIREBIRDS OF ALPHARETTA L</t>
  </si>
  <si>
    <t>EVEN ALPHARETTA</t>
  </si>
  <si>
    <t>WHISKEY REDS</t>
  </si>
  <si>
    <t>THE COFFEE BEAN 164</t>
  </si>
  <si>
    <t>VEA NEWPORT BEACH, A MARR</t>
  </si>
  <si>
    <t>HERST COFFEE ROASTERS</t>
  </si>
  <si>
    <t>FIVE IRON GOLF - ROCKEF</t>
  </si>
  <si>
    <t>FIVE IRON GOLF - GRAND CENTRAL</t>
  </si>
  <si>
    <t>FIVE IRON GOLF - MIDTOW</t>
  </si>
  <si>
    <t>BLOSSOM CAFE  MARKETPLACE</t>
  </si>
  <si>
    <t>EWR VANGUARD MKT</t>
  </si>
  <si>
    <t>AUSTIN HOUNDSTOOTH DOWNTOWN</t>
  </si>
  <si>
    <t>FLEET COFFEE - CONGRESS</t>
  </si>
  <si>
    <t>CHINA AIRLINE PAC USD</t>
  </si>
  <si>
    <t>ELEMENT AUSTIN DT 3904</t>
  </si>
  <si>
    <t>EWR MELANGE CAFE - ECOM</t>
  </si>
  <si>
    <t>CITY WIDE CAB</t>
  </si>
  <si>
    <t>ATL 6171 WENDYS</t>
  </si>
  <si>
    <t>ALLRESTO</t>
  </si>
  <si>
    <t>EWR AIRP STREAT B17</t>
  </si>
  <si>
    <t>FOR FIVE 46TH ST</t>
  </si>
  <si>
    <t>LA PECORA BIANCA 8</t>
  </si>
  <si>
    <t>DELBIANCO PRIME</t>
  </si>
  <si>
    <t>THE CABIN</t>
  </si>
  <si>
    <t>ZOOMINFO TECHNOLOGIES LLC</t>
  </si>
  <si>
    <t>UNLEASH</t>
  </si>
  <si>
    <t>THE LXRY COLLECTION HOTL</t>
  </si>
  <si>
    <t>JOE'S PIZZA - BROADWAY</t>
  </si>
  <si>
    <t>BLAKE &amp; CO</t>
  </si>
  <si>
    <t>ROCHESTER AIRPORT MARRIOT</t>
  </si>
  <si>
    <t>HUDSON ST1759</t>
  </si>
  <si>
    <t>DIBELLA'S #101     Q</t>
  </si>
  <si>
    <t>LONGHORN STEAKHOUSE 5387</t>
  </si>
  <si>
    <t>MT POCONO BILLS SHOPRIT</t>
  </si>
  <si>
    <t>AIRPORT VALET</t>
  </si>
  <si>
    <t>LAX Valet</t>
  </si>
  <si>
    <t>Allresto</t>
  </si>
  <si>
    <t>ATLANTA AIRPORT</t>
  </si>
  <si>
    <t>Houndstooth</t>
  </si>
  <si>
    <t>AVOTOASTY NRO FIDI</t>
  </si>
  <si>
    <t>Avotoasty</t>
  </si>
  <si>
    <t>BEANSTALK CAFE</t>
  </si>
  <si>
    <t>Beanstalk Cafe</t>
  </si>
  <si>
    <t>BLACKBIRD</t>
  </si>
  <si>
    <t>Blackbird</t>
  </si>
  <si>
    <t>Blake &amp; Company</t>
  </si>
  <si>
    <t>Blossom Café</t>
  </si>
  <si>
    <t>Bonnie's</t>
  </si>
  <si>
    <t>BUN MEE</t>
  </si>
  <si>
    <t>Bun Mee</t>
  </si>
  <si>
    <t>CARLOTTO</t>
  </si>
  <si>
    <t>Carlotto</t>
  </si>
  <si>
    <t>China Airline</t>
  </si>
  <si>
    <t>City Wide Cab</t>
  </si>
  <si>
    <t>COMPANY YOU KEEP COFFEE</t>
  </si>
  <si>
    <t>Company You Keep</t>
  </si>
  <si>
    <t>CONRAD WASHINGTON DC SERT</t>
  </si>
  <si>
    <t>COUNTER T 7 LAX</t>
  </si>
  <si>
    <t>The Counter</t>
  </si>
  <si>
    <t>CRANE STATIONERY LLC</t>
  </si>
  <si>
    <t>Crane Stationery</t>
  </si>
  <si>
    <t>CTLP*MARK VEND COMPANY</t>
  </si>
  <si>
    <t>Mark Vend Company</t>
  </si>
  <si>
    <t>DelBianco</t>
  </si>
  <si>
    <t>DiBella's</t>
  </si>
  <si>
    <t>Element Hotel</t>
  </si>
  <si>
    <t>EVANSTON NORTHWESTERN HC</t>
  </si>
  <si>
    <t>Evanston Northwestern</t>
  </si>
  <si>
    <t>EVEN Hotel</t>
  </si>
  <si>
    <t>StrEat</t>
  </si>
  <si>
    <t>Melange</t>
  </si>
  <si>
    <t>Vanguard Market</t>
  </si>
  <si>
    <t>FARMER J</t>
  </si>
  <si>
    <t>Farmer J</t>
  </si>
  <si>
    <t>Firebirds</t>
  </si>
  <si>
    <t>Five Iron Golf</t>
  </si>
  <si>
    <t>Fleet Coffee</t>
  </si>
  <si>
    <t>FLEXISPOT</t>
  </si>
  <si>
    <t>FlexiSpot</t>
  </si>
  <si>
    <t>For Five</t>
  </si>
  <si>
    <t>GLAZE - LEX</t>
  </si>
  <si>
    <t>Glaze</t>
  </si>
  <si>
    <t>Good News Deli</t>
  </si>
  <si>
    <t>HANK'S CAFE</t>
  </si>
  <si>
    <t>Hank's Cafe</t>
  </si>
  <si>
    <t>Herst Coffee Roasters</t>
  </si>
  <si>
    <t>Hillstone</t>
  </si>
  <si>
    <t>Hotel Clio</t>
  </si>
  <si>
    <t>Hotel Jerome</t>
  </si>
  <si>
    <t>Houston Airport</t>
  </si>
  <si>
    <t>Instacart</t>
  </si>
  <si>
    <t>Joe's Pizza</t>
  </si>
  <si>
    <t>JOHN OGROATS RESTAURANT</t>
  </si>
  <si>
    <t>John O'Groats</t>
  </si>
  <si>
    <t>KELLARI TAVERNA</t>
  </si>
  <si>
    <t>Kellari Taverna</t>
  </si>
  <si>
    <t>LA CITY PARKING METER</t>
  </si>
  <si>
    <t>LA Parking Meter</t>
  </si>
  <si>
    <t>La Pecora Bianca</t>
  </si>
  <si>
    <t>LAZ PKG M18133-AMANO-R</t>
  </si>
  <si>
    <t>LongHorn Steakhouse</t>
  </si>
  <si>
    <t>MD&amp;M WEST</t>
  </si>
  <si>
    <t>MD&amp;M West</t>
  </si>
  <si>
    <t>MEXTA</t>
  </si>
  <si>
    <t>Mexta</t>
  </si>
  <si>
    <t>ShopRite</t>
  </si>
  <si>
    <t>NOPA</t>
  </si>
  <si>
    <t>Nopa</t>
  </si>
  <si>
    <t>NOTHING BUNDT CAKES - 190 - DALY CITY</t>
  </si>
  <si>
    <t>Nothing Bundt Cakes</t>
  </si>
  <si>
    <t>OAK ATLANTA</t>
  </si>
  <si>
    <t>Oak Steakhouse</t>
  </si>
  <si>
    <t>Office Depot</t>
  </si>
  <si>
    <t>OYSTER BAR</t>
  </si>
  <si>
    <t>Oyster Bar</t>
  </si>
  <si>
    <t>PEAK 1 EXPRESS</t>
  </si>
  <si>
    <t>Peak 1 Express</t>
  </si>
  <si>
    <t>Peppermill</t>
  </si>
  <si>
    <t>Phillips 66-Conoco</t>
  </si>
  <si>
    <t>RASIKA</t>
  </si>
  <si>
    <t>Rasika</t>
  </si>
  <si>
    <t>Timber Ridge</t>
  </si>
  <si>
    <t>Rochester Airport</t>
  </si>
  <si>
    <t>Rumi's Kitchen</t>
  </si>
  <si>
    <t>SALT &amp; GRINDER</t>
  </si>
  <si>
    <t>Salt &amp; Grinder</t>
  </si>
  <si>
    <t>SUPERICA AVALON</t>
  </si>
  <si>
    <t>Superica Avalon</t>
  </si>
  <si>
    <t>Tao Uptown</t>
  </si>
  <si>
    <t>The Cabin</t>
  </si>
  <si>
    <t>The Chef's Table</t>
  </si>
  <si>
    <t>The Coffee Bean</t>
  </si>
  <si>
    <t>THE DAILY NORTHCREEK</t>
  </si>
  <si>
    <t>The Daily</t>
  </si>
  <si>
    <t>THE FINAL FINAL</t>
  </si>
  <si>
    <t>The Final Final</t>
  </si>
  <si>
    <t>The Luxury Collection Hotel</t>
  </si>
  <si>
    <t>The Reading Room</t>
  </si>
  <si>
    <t>TIPBRIGHTLY</t>
  </si>
  <si>
    <t>TipBrightly</t>
  </si>
  <si>
    <t>Unleash</t>
  </si>
  <si>
    <t>VDARA CONDO HOTEL</t>
  </si>
  <si>
    <t>Vdara</t>
  </si>
  <si>
    <t>WAVENY</t>
  </si>
  <si>
    <t>Waveny</t>
  </si>
  <si>
    <t>WEST PALM BEACH</t>
  </si>
  <si>
    <t>WHICH WICH - IHA - TERMINAL C REPLACEMEN</t>
  </si>
  <si>
    <t>Which Wich</t>
  </si>
  <si>
    <t>Whiskey Reds</t>
  </si>
  <si>
    <t>ZoomInfo</t>
  </si>
  <si>
    <t>Concord Web</t>
  </si>
  <si>
    <t>Thinkscape</t>
  </si>
  <si>
    <t>Sylvia</t>
  </si>
  <si>
    <t>Vlahos</t>
  </si>
  <si>
    <t>Catering/BOD Mtg/Crane</t>
  </si>
  <si>
    <t>ezCater</t>
  </si>
  <si>
    <t>Kitchen Supplies/Grocery</t>
  </si>
  <si>
    <t>Kitchen Supplies</t>
  </si>
  <si>
    <t>SBF-FL</t>
  </si>
  <si>
    <t>Office Supplies for FL Office</t>
  </si>
  <si>
    <t>Office Supplies</t>
  </si>
  <si>
    <t>Kitchen Supplies/Supplies</t>
  </si>
  <si>
    <t>Catering/BOD Mtg/Monroe</t>
  </si>
  <si>
    <t>Working Group Lunch/Sylvia Vlahos</t>
  </si>
  <si>
    <t>Working Group Lunch/Chris Horton</t>
  </si>
  <si>
    <t>Working Group Lunch/Harshit Juneja</t>
  </si>
  <si>
    <t>Working Group Lunch/James Kwon</t>
  </si>
  <si>
    <t>Working Group Lunch/Henry Senkfor</t>
  </si>
  <si>
    <t>Working Lunch/Jess Sang</t>
  </si>
  <si>
    <t>Working Lunch/Jonathan Roth</t>
  </si>
  <si>
    <t>Alexander</t>
  </si>
  <si>
    <t>Clayton</t>
  </si>
  <si>
    <t>Bales</t>
  </si>
  <si>
    <t>Refund/RT: JFK-SLC/Strategy</t>
  </si>
  <si>
    <t>VAIP</t>
  </si>
  <si>
    <t>Thomas</t>
  </si>
  <si>
    <t>Wilson Shaw</t>
  </si>
  <si>
    <t>Groves</t>
  </si>
  <si>
    <t>Working Lunch</t>
  </si>
  <si>
    <t>SAV-ATL-SLC/AEA Strategy Meeting</t>
  </si>
  <si>
    <t>Travel Insurance/Residence Inn by Marriott SLC Airport</t>
  </si>
  <si>
    <t>Other Travel</t>
  </si>
  <si>
    <t>ALLIANZ INSURANCE</t>
  </si>
  <si>
    <t>Bus.Outing w/ Incline Equity Partners (Cale Grove, Blake Udland)</t>
  </si>
  <si>
    <t>Working Lunch w/ Sam Thompson</t>
  </si>
  <si>
    <t>SLC-JFK/AEA Strategy Meeting</t>
  </si>
  <si>
    <t>Office Supplies/CT Office</t>
  </si>
  <si>
    <t>WWW.STAPLES.COM 472</t>
  </si>
  <si>
    <t>Tkt Fee/SLC-JFK/AEA Strategy Meeting</t>
  </si>
  <si>
    <t>James</t>
  </si>
  <si>
    <t>Louis</t>
  </si>
  <si>
    <t>Sharpe</t>
  </si>
  <si>
    <t>Refund/LGA-RDU/BOD Mtg/Pave America</t>
  </si>
  <si>
    <t>CONS</t>
  </si>
  <si>
    <t>Deposit/BOD Dinner/Nations Roof</t>
  </si>
  <si>
    <t>RT:LGA-ORD/Mgmt Mtg/Tangent</t>
  </si>
  <si>
    <t>Refund/EWR-SLC/2026 Strategy Mtg</t>
  </si>
  <si>
    <t>Refund/SLC-JFK/2026</t>
  </si>
  <si>
    <t>Tkt Fee/RT:LGA-ORD/Mgmt Mtg/Tangent</t>
  </si>
  <si>
    <t>Travel Meal/BOD Mtg/Pave America</t>
  </si>
  <si>
    <t>Travel Meal/BOD Mtg/Numotion</t>
  </si>
  <si>
    <t>Lodging/BOD Mtg/BOD Mtg/Numotion</t>
  </si>
  <si>
    <t>Lodging</t>
  </si>
  <si>
    <t>Lodging/BOD Mtg/Pave America</t>
  </si>
  <si>
    <t>Joseph</t>
  </si>
  <si>
    <t>Pryma</t>
  </si>
  <si>
    <t>NYC-Home/BOD Dinner/HUGE</t>
  </si>
  <si>
    <t>Hotel-lunch/Strategy</t>
  </si>
  <si>
    <t>Lunch/Strategy</t>
  </si>
  <si>
    <t>501 ON MAIN</t>
  </si>
  <si>
    <t>NYC-Home/Management Dinner/NES</t>
  </si>
  <si>
    <t>NYC-Home/BOD Dinner/Redwood</t>
  </si>
  <si>
    <t>Bus Dinner/Management Team/NES</t>
  </si>
  <si>
    <t>Jeffrey</t>
  </si>
  <si>
    <t>Alois</t>
  </si>
  <si>
    <t>Nagel</t>
  </si>
  <si>
    <t>ASE-DFW-LGA/Strategy</t>
  </si>
  <si>
    <t>American Airlines</t>
  </si>
  <si>
    <t>Tkt fee/JFK-SLC-LGA/Strategy</t>
  </si>
  <si>
    <t>Travel Meal/Strategy</t>
  </si>
  <si>
    <t>SLC 3054 MAVERIK</t>
  </si>
  <si>
    <t>Traveal Meal/Strategy</t>
  </si>
  <si>
    <t>DV SILVER LAKE REST</t>
  </si>
  <si>
    <t>Office-Train Station/Internal Mtgs/Window Nation</t>
  </si>
  <si>
    <t>Hotel-Office/Internal Mtgs/Window Nation</t>
  </si>
  <si>
    <t>Lodging/Internal Mtgs/Window Nation</t>
  </si>
  <si>
    <t>Travel Coffee/Internal Mtgs/Window Nation</t>
  </si>
  <si>
    <t>Dinner-Hotel/Internal Mtgs/Window Nation</t>
  </si>
  <si>
    <t>Travel Meal/Internal Mtgs/Window Nation</t>
  </si>
  <si>
    <t>PANERA BREAD #ON3788</t>
  </si>
  <si>
    <t>EWR-FRA-DRS-FRA-EWR/SCIO Workshop</t>
  </si>
  <si>
    <t>Tkt fee/EWR-FRA-DRS-FRA-EWR/SCIO Workshop</t>
  </si>
  <si>
    <t>Refund/ASE-DFW/Strategy</t>
  </si>
  <si>
    <t>ASE-ORD-LGA/Strategy</t>
  </si>
  <si>
    <t>United Airlines</t>
  </si>
  <si>
    <t>Tkt fee/ASE-ORD-LGA/Strategy</t>
  </si>
  <si>
    <t>Tkt fee/RSW-BWI/Internal Mtgs/Window Nation</t>
  </si>
  <si>
    <t>Personal</t>
  </si>
  <si>
    <t>RSW-BWI/Internal Mtgs/Window Nation</t>
  </si>
  <si>
    <t>Southwest Airlines</t>
  </si>
  <si>
    <t>Travel Meal/Workshop/SCIO</t>
  </si>
  <si>
    <t>FRANKFURT AIRPORT MARRIOTT HOTEL</t>
  </si>
  <si>
    <t>Lodging/Workshop/SCIO</t>
  </si>
  <si>
    <t>Steven</t>
  </si>
  <si>
    <t>Edward</t>
  </si>
  <si>
    <t>Decillis</t>
  </si>
  <si>
    <t>Lodging/Global Fund Finance Symposium</t>
  </si>
  <si>
    <t>MGMT</t>
  </si>
  <si>
    <t>Home-EWR/Global Fund Finance Symposium</t>
  </si>
  <si>
    <t>EWR-Home/Global Fund Finance Symposium</t>
  </si>
  <si>
    <t>Refund/Strategy Mtg</t>
  </si>
  <si>
    <t>Work Event/Office to Eisner Amper Event</t>
  </si>
  <si>
    <t>Work Event/Eisner Amper Event to Home</t>
  </si>
  <si>
    <t>Ali</t>
  </si>
  <si>
    <t>Allexandre</t>
  </si>
  <si>
    <t>Mehfar</t>
  </si>
  <si>
    <t>Lunch Catering/Amerivet BOD Mtg</t>
  </si>
  <si>
    <t>Breakfast Catering/Amerivet BOD Mtg</t>
  </si>
  <si>
    <t>CATER LADY NYC LLC</t>
  </si>
  <si>
    <t>Inflight Wifi</t>
  </si>
  <si>
    <t>Info Services</t>
  </si>
  <si>
    <t>Lunch Mtg/AEA Strategy Mtg</t>
  </si>
  <si>
    <t>Dinner/Consumer Partner Dinner</t>
  </si>
  <si>
    <t>Office-Dinner-Home/PaveMasters Dinner</t>
  </si>
  <si>
    <t>Home-JFK/Harris Williams Ski Outing</t>
  </si>
  <si>
    <t>Home-Office/Breakfast Meeting D. Gibbs</t>
  </si>
  <si>
    <t>Office-Conference-Office/Baird Conference</t>
  </si>
  <si>
    <t>Refund/JFK-SLC/AEA Strategy Meeting</t>
  </si>
  <si>
    <t>Deposit/AmeriVet BOD Mtg</t>
  </si>
  <si>
    <t>OMNI BERKSHIRE PLACE CONF</t>
  </si>
  <si>
    <t>Breakfast-Meetings-Dinner-Home/ Various Meetings</t>
  </si>
  <si>
    <t>Birthday treats/Consumer Team celebration</t>
  </si>
  <si>
    <t>Subscription</t>
  </si>
  <si>
    <t>PubSub</t>
  </si>
  <si>
    <t>Tkt Fee/J. Grapski Interview travel</t>
  </si>
  <si>
    <t>BOS-LGA-BOS/J. Grapski interview travel</t>
  </si>
  <si>
    <t>Travel Meal/Harris Williams Ski Outing</t>
  </si>
  <si>
    <t>ST REGIS DEER VALLEY</t>
  </si>
  <si>
    <t>Dinner/Pave Masters dinner</t>
  </si>
  <si>
    <t>CARBONE</t>
  </si>
  <si>
    <t>Refund/SLC-JFK/Harris Williams Ski Outing</t>
  </si>
  <si>
    <t>Tkt Fee/Harris Williams Ski Outing</t>
  </si>
  <si>
    <t>SLC-JFK/Harris Williams Ski Outing</t>
  </si>
  <si>
    <t>Conference Room Rental/Pave America Meetings</t>
  </si>
  <si>
    <t>Dinner-Home/F.Braun</t>
  </si>
  <si>
    <t>Office-LGA/Pave America BOD Mtg</t>
  </si>
  <si>
    <t>Dinner/Pave America BOD Dinner</t>
  </si>
  <si>
    <t>ANGUS BARN LTD LLC</t>
  </si>
  <si>
    <t>Deposit/PaveAmerica+Nations Roof working dinner</t>
  </si>
  <si>
    <t>Travel Meal/Pave America BOD Mtg</t>
  </si>
  <si>
    <t>Lodging/Pave America BOD Mtg</t>
  </si>
  <si>
    <t>Dinner/AmeriVet BOD Dinner</t>
  </si>
  <si>
    <t>CAFE BOULUD NY</t>
  </si>
  <si>
    <t>Vallis</t>
  </si>
  <si>
    <t>Powers</t>
  </si>
  <si>
    <t>Refund/JFK-SLC-MCO/AEA Strategy</t>
  </si>
  <si>
    <t>PWK</t>
  </si>
  <si>
    <t>Rachel</t>
  </si>
  <si>
    <t>Reardon</t>
  </si>
  <si>
    <t>Kumar</t>
  </si>
  <si>
    <t>Coffee Mtg w/ Cindy Li-Farewell</t>
  </si>
  <si>
    <t>Business Dinner w/ Brendan Gallagher &amp; Ian Wood</t>
  </si>
  <si>
    <t>Mentoring Coffee/Brendan Gallagher</t>
  </si>
  <si>
    <t>REFUND/EWR-SLC/Strategy</t>
  </si>
  <si>
    <t>Delta Air Lines</t>
  </si>
  <si>
    <t>REFUND/JFK-SLC-JFK/Strategy</t>
  </si>
  <si>
    <t>EWR-SLC/Strategy</t>
  </si>
  <si>
    <t>SLC-JFK/Strategy</t>
  </si>
  <si>
    <t>Ticketing Fee/EWR-SLC/Strategy</t>
  </si>
  <si>
    <t>Dinner-Home/Business dinner w/ BG &amp; IW</t>
  </si>
  <si>
    <t>John</t>
  </si>
  <si>
    <t>Daniel</t>
  </si>
  <si>
    <t>Sedlacek</t>
  </si>
  <si>
    <t>RDU-Mtg/Mgmt Mtg/Aqualis</t>
  </si>
  <si>
    <t>Travel Meal/Mgmt Mtg/Aqualis</t>
  </si>
  <si>
    <t>4254 STARBUCKS</t>
  </si>
  <si>
    <t>Dinner-Hotel/Mgmt Mtg/Monroe</t>
  </si>
  <si>
    <t>InFlight Wifi/Mgmt Mtg/Monroe</t>
  </si>
  <si>
    <t>Lodging/Mgmt Mtg/Monroe</t>
  </si>
  <si>
    <t>HYATT PLACE</t>
  </si>
  <si>
    <t>Cancellation Fee/Mtg-Dinner/Mgmt Mtg/Monroe</t>
  </si>
  <si>
    <t>Travel Meal/Mgmt Mtg/Monroe</t>
  </si>
  <si>
    <t>EWR CIBO EXPRESS C90</t>
  </si>
  <si>
    <t>RDU-LGA/Agreement Mtg/LRB</t>
  </si>
  <si>
    <t>Tkt Fee/Refund/RDU-EWR/Mgmt Mtg/Aqualis</t>
  </si>
  <si>
    <t>Tkt Fee/RDU-LGA/Agreement Mtg/LRB</t>
  </si>
  <si>
    <t>Refund/RDU-EWR/Mgmt Mtg/Aqualis</t>
  </si>
  <si>
    <t>RT: EWR-LHR/BOD Mtg/RED</t>
  </si>
  <si>
    <t>RT: EWR-LHR/Mtgs/IR</t>
  </si>
  <si>
    <t>1016-SBF</t>
  </si>
  <si>
    <t>Hotel-Mtg/Agreement Mtg/LRB</t>
  </si>
  <si>
    <t>Exchange/Refund/JAX-EWR/Banker Mtgs/Monroe</t>
  </si>
  <si>
    <t>Tkt Fee/Exchange/Refund/JAX-EWR/Banker Mtgs/Monroe</t>
  </si>
  <si>
    <t>Home-Conf/Baird T&amp;S Conf</t>
  </si>
  <si>
    <t>Home-Event/Vinson &amp; Elkins Networking Event</t>
  </si>
  <si>
    <t>InFlight Wifi/Mgmt Mtg/Aqualis</t>
  </si>
  <si>
    <t>Tkt Fee/RT: EWR-LHR/BOD Mtg/RED</t>
  </si>
  <si>
    <t>Tkt Fee/RT: EWR-LHR/IR Mtgs</t>
  </si>
  <si>
    <t>THE WESTIN RALEIGH-DURHAM AIRPORT</t>
  </si>
  <si>
    <t>Lodging/Mgmt Mtg/Aqualis</t>
  </si>
  <si>
    <t>Travel Meal/BOD Mtg/Banker Mtgs/Monroe</t>
  </si>
  <si>
    <t>DUNKIN DONUTS 354506</t>
  </si>
  <si>
    <t>Tkt Fee/BOS-FRA-DUS-LHR-TPA/Mgmt Mtg/Frissam Pumps/Essentic</t>
  </si>
  <si>
    <t>COFFEE BEAN AND TEA LEAF SLC</t>
  </si>
  <si>
    <t>LHR-TPA/Mgmt Mtg/Frissam Pumps/Essentic</t>
  </si>
  <si>
    <t>VAA ARC</t>
  </si>
  <si>
    <t>InFlight Wifi/Strategy</t>
  </si>
  <si>
    <t>BOS-FRA/Mgmt Mtg/Frissam Pumps/Essentic</t>
  </si>
  <si>
    <t>JAMBA JUICE D61574</t>
  </si>
  <si>
    <t>Refund/EWR-SLC/Strategy</t>
  </si>
  <si>
    <t>DUNKIN DONUTS DE6</t>
  </si>
  <si>
    <t>HUDSON ST1852</t>
  </si>
  <si>
    <t>Lodging/Strategy</t>
  </si>
  <si>
    <t>HOLIDAY INN EXPRESS PHILA</t>
  </si>
  <si>
    <t>Tkt Fee/Exchange/JAX-EWR/Banker Mtgs/Monroe</t>
  </si>
  <si>
    <t>PHL-SLC/Strategy</t>
  </si>
  <si>
    <t>CMF VENDING</t>
  </si>
  <si>
    <t>Tkt Fee/PHL-SLC/Strategy</t>
  </si>
  <si>
    <t>Refund/Exchange/EWR-SLC/Strategy</t>
  </si>
  <si>
    <t>EWR-FRA/LHR-EWR/BOD Mtg/RED</t>
  </si>
  <si>
    <t>EWR-FRA/LHR-EWR/Mgmt Mtg/Frissam Pumps/Essent</t>
  </si>
  <si>
    <t>EWR-FRA/LHR-EWR/IR Mtgs</t>
  </si>
  <si>
    <t>DUS-LHR/Mgmt Mtg/Frissam Pumps/Essentic</t>
  </si>
  <si>
    <t>BRITISH AIRWAYS ARC US</t>
  </si>
  <si>
    <t>Office-Dinner/BOD Mtg/Monroe</t>
  </si>
  <si>
    <t>DUS-LHR/BOD Mtg/RED</t>
  </si>
  <si>
    <t>DUS-LHR/IR Mtgs</t>
  </si>
  <si>
    <t>Tkt Fee/EWR-FRA/DUS-LHR-EWR/Mgmt Mtg/Frissam Pumps/Essentic</t>
  </si>
  <si>
    <t>Tkt Fee/EWR-FRA/DUS-LHR-EWR/BOD Mtg/RED</t>
  </si>
  <si>
    <t>Tkt Fee/EWR-FRA/DUS-LHR-EWR/IR Mtgs</t>
  </si>
  <si>
    <t>Hotel-Office/BOD Mtg/Monroe</t>
  </si>
  <si>
    <t>Travel Meal/Banker Mtgs/Monroe</t>
  </si>
  <si>
    <t>ANGIE'S SUBS CONC. A JAX</t>
  </si>
  <si>
    <t>InFlight Wifi/BOD Mtg/Banker Mtgs/Monroe</t>
  </si>
  <si>
    <t>AC HOTEL JACKSONVILLE ST JOHNS TOWN CENT</t>
  </si>
  <si>
    <t>Lodging/BOD Mtg/Banker Mtgs/Monroe</t>
  </si>
  <si>
    <t>Benjamin</t>
  </si>
  <si>
    <t>Althaus</t>
  </si>
  <si>
    <t>Travel Meal/BOD Mtg/WWE</t>
  </si>
  <si>
    <t>NAPLES NATIONAL GOLF CLUB PROSHO</t>
  </si>
  <si>
    <t>Lodging/Conf/ACG M&amp;A</t>
  </si>
  <si>
    <t>Hotel-Dinner/Bus. Dinner w/B. Quintana</t>
  </si>
  <si>
    <t>Travel Meal/Mgmt Mtg/Armstrong Transport</t>
  </si>
  <si>
    <t>QDOBA 3045</t>
  </si>
  <si>
    <t>TOASTIQUE</t>
  </si>
  <si>
    <t>PHL 1771 THE TODAY SHOW</t>
  </si>
  <si>
    <t>CULINARY DROPOUT</t>
  </si>
  <si>
    <t>2077 CLT TRAVEL AT EASE</t>
  </si>
  <si>
    <t>JAX-PHL-CLT/CFO Interview/AmEx</t>
  </si>
  <si>
    <t>Travel Meal/Stifel T&amp;L Conf</t>
  </si>
  <si>
    <t>Bus. Dinner w/J. Franklin, Pot EP</t>
  </si>
  <si>
    <t>Hotel-Conf/Stifel T&amp;L Conf</t>
  </si>
  <si>
    <t>JERSEY MIKES 13231</t>
  </si>
  <si>
    <t>VERSAILLES RSTR</t>
  </si>
  <si>
    <t>Mtg-CLT/Mgmt Mtg/Armstrong Transport</t>
  </si>
  <si>
    <t>CLT-Mtg/Mgmt Mtg/Armstrong Transport</t>
  </si>
  <si>
    <t>Home-JAX/CFO Interview/AmEx</t>
  </si>
  <si>
    <t>Tkt Fee/JAX-PHL-CLT/CFO Interview/AmEx</t>
  </si>
  <si>
    <t>JAX-Home/Strategy</t>
  </si>
  <si>
    <t>Home-JAX/Strategy</t>
  </si>
  <si>
    <t>BURGER FI JAX</t>
  </si>
  <si>
    <t>HUDSON ST2165</t>
  </si>
  <si>
    <t>JAX-Home/Mgmt Mtg/Armstrong Transport</t>
  </si>
  <si>
    <t>Lodging/CFO Interview/AMX</t>
  </si>
  <si>
    <t>MARRIOTT 33737 PHIL ARPT</t>
  </si>
  <si>
    <t>Lodging/ACG M&amp;A South Conf</t>
  </si>
  <si>
    <t>LGA-CHS/William Blair T&amp;L Conf</t>
  </si>
  <si>
    <t>RT: JAX-LGA/NY Office Visit</t>
  </si>
  <si>
    <t>Tkt Fee/RT: JAX-LGA/NY Office Visit</t>
  </si>
  <si>
    <t>JAX-LGA/Catch up Mtg/OAPC</t>
  </si>
  <si>
    <t>Tkt Fee/JAX-LGA-CHS/William Blair T&amp;L Conf</t>
  </si>
  <si>
    <t>Tkt Fee/JAX-LGA-CHS/Catch up Mtg/OAPC</t>
  </si>
  <si>
    <t>FOUR SEASONS MIAMI EDGE R</t>
  </si>
  <si>
    <t>Lodging/Catch up Mtg/OAPC</t>
  </si>
  <si>
    <t>TRAVEL RESERVATION USA</t>
  </si>
  <si>
    <t>Lodging/NY Office Visit</t>
  </si>
  <si>
    <t>Mohammad</t>
  </si>
  <si>
    <t>Rizwan</t>
  </si>
  <si>
    <t>Chand</t>
  </si>
  <si>
    <t>Ticket/Human Capital Forum 2026/Kate Smith</t>
  </si>
  <si>
    <t>Seminars/Conferens</t>
  </si>
  <si>
    <t>DFW-Home/AEA Internal Mtgs</t>
  </si>
  <si>
    <t>Refund/DFW-SLC/Strategy</t>
  </si>
  <si>
    <t>Dinner/Riz Chand &amp; Kate Smith</t>
  </si>
  <si>
    <t>Refreshments</t>
  </si>
  <si>
    <t>Lodging/AEA Internal Mtgs</t>
  </si>
  <si>
    <t>Randy</t>
  </si>
  <si>
    <t>Aung</t>
  </si>
  <si>
    <t>Backoffice outing (MSG) to home</t>
  </si>
  <si>
    <t>IT</t>
  </si>
  <si>
    <t>Microsoft license renewal for SBF</t>
  </si>
  <si>
    <t>Software</t>
  </si>
  <si>
    <t>Tip for the ride on 2/13/2026</t>
  </si>
  <si>
    <t>Frank</t>
  </si>
  <si>
    <t>Herr</t>
  </si>
  <si>
    <t>Travel Meal/Site Visit/BPG</t>
  </si>
  <si>
    <t>LEMA DUMPLING &amp; LE CONGEE T3</t>
  </si>
  <si>
    <t>BPG Office-Hotel/Site Visit/BPG</t>
  </si>
  <si>
    <t>Hotel-Airport/Site Visit/BPG</t>
  </si>
  <si>
    <t>Hotel-BPG Office/Site Visit/BPG</t>
  </si>
  <si>
    <t>Travel Meal/Site Visit/VCC</t>
  </si>
  <si>
    <t>Marriott Hotels</t>
  </si>
  <si>
    <t>Laundry/Site Visit/VCC</t>
  </si>
  <si>
    <t>Lodging/Site Visit/VCC</t>
  </si>
  <si>
    <t>Bus.B'fast/Site Visit/4 ppl/BPG</t>
  </si>
  <si>
    <t>Bus.B'fast/Site Visit/2 ppl/BPG</t>
  </si>
  <si>
    <t>Rfnd/Tkt Exch/RT:HKG-SFO-HKG/AEA Strategy Meeting</t>
  </si>
  <si>
    <t>GZKRSWFWYXGS</t>
  </si>
  <si>
    <t>Working Lunch/2 ppl/AEA</t>
  </si>
  <si>
    <t>WEI XIN merchant</t>
  </si>
  <si>
    <t>Airport-Home/AEA Strategy Meeting</t>
  </si>
  <si>
    <t>Travel Meal/AEA Strategy Meeting</t>
  </si>
  <si>
    <t>LARK CREEK GRILL</t>
  </si>
  <si>
    <t>Home-Airport/AEA Strategy Meeting</t>
  </si>
  <si>
    <t>SLC THIRST</t>
  </si>
  <si>
    <t>SLC PANDA EXPRESS</t>
  </si>
  <si>
    <t>Derek</t>
  </si>
  <si>
    <t>Darves-Bornoz</t>
  </si>
  <si>
    <t>Refund/EWR-SLC/D.Fernholz/2026 Strategy Mtg</t>
  </si>
  <si>
    <t>Refund/SLC-EWR/D.Fernholz/2026 Strategy Mtg</t>
  </si>
  <si>
    <t>Refund/JFK-SLC/J.Lee/2026 Strategy</t>
  </si>
  <si>
    <t>Tkt Fee/RT:EWR-SLC/D.Fernholz/2026 Strategy Mtg</t>
  </si>
  <si>
    <t>Data Subscription/JetBrains</t>
  </si>
  <si>
    <t>JETBRAINS AMERICAS INC</t>
  </si>
  <si>
    <t>Heidi</t>
  </si>
  <si>
    <t>Schwenzfeier</t>
  </si>
  <si>
    <t>Dubois</t>
  </si>
  <si>
    <t>Tkt Fee/Paris-London/Comms/Biz Dev Trip</t>
  </si>
  <si>
    <t>Train/Paris-London/Comms/Biz Dev Trip</t>
  </si>
  <si>
    <t>Travel Meal/AEA Strategy</t>
  </si>
  <si>
    <t>BURGERS AND BOURBON</t>
  </si>
  <si>
    <t>Walter</t>
  </si>
  <si>
    <t>Newhouse</t>
  </si>
  <si>
    <t>Bus.Lunch w/ Pedram Shayegan/BCI</t>
  </si>
  <si>
    <t>IL MULINO NEW YORK</t>
  </si>
  <si>
    <t>IR</t>
  </si>
  <si>
    <t>Travel Meal/AEA Strategy Trip</t>
  </si>
  <si>
    <t>SLC 3044 TRIP ADVISOR</t>
  </si>
  <si>
    <t>BEANS AND BREWS COFFEE HOUSE S</t>
  </si>
  <si>
    <t>CNP MARKET STREET GRILL C</t>
  </si>
  <si>
    <t>GATERETAIL</t>
  </si>
  <si>
    <t>Airport-Hotel/AEA Strategy Trip</t>
  </si>
  <si>
    <t>Tkt Refund/AEA Strategy Trip</t>
  </si>
  <si>
    <t>SLC 3050 SLC ESSENTIALS</t>
  </si>
  <si>
    <t>JFK T5 JACOBS PICKLES 637</t>
  </si>
  <si>
    <t>Trip Insurance/AEA Strategy Trip</t>
  </si>
  <si>
    <t>JFK-SLC/AEA Strategy Trip</t>
  </si>
  <si>
    <t>Subscription/Professional Svcs</t>
  </si>
  <si>
    <t>Travel Meal/Tuck PE Conference</t>
  </si>
  <si>
    <t>CIRCLE K #7510</t>
  </si>
  <si>
    <t>Parking/Tuck PE Conference</t>
  </si>
  <si>
    <t>D.C. CECS PARKING</t>
  </si>
  <si>
    <t>DUNKIN DONUTS  PC300764</t>
  </si>
  <si>
    <t>HANOVER INN/DRTMTH CLLGE</t>
  </si>
  <si>
    <t>Deborah</t>
  </si>
  <si>
    <t>Marie</t>
  </si>
  <si>
    <t>Ackerman</t>
  </si>
  <si>
    <t>Refund/RT: ORD-SLC/AEA Strategy Meeting</t>
  </si>
  <si>
    <t>AMA</t>
  </si>
  <si>
    <t>Adam</t>
  </si>
  <si>
    <t>Frederick</t>
  </si>
  <si>
    <t>Goetsch</t>
  </si>
  <si>
    <t>EWR-SLC-GEG/BOD Mtg/TileBar</t>
  </si>
  <si>
    <t>GEG-MSP-EWR/BOD Mtg/TileBar</t>
  </si>
  <si>
    <t>Travel Meal</t>
  </si>
  <si>
    <t>JIMMY JOHNS A42 SLC</t>
  </si>
  <si>
    <t>Tkt Fee/GEG-MSP-EWR/BOD Mtg/TileBar</t>
  </si>
  <si>
    <t>Airport Parking</t>
  </si>
  <si>
    <t>Tkt Fee/EWR-SLC-GEG/BOD Mtg/TileBar</t>
  </si>
  <si>
    <t>Refund/SLC-GEG</t>
  </si>
  <si>
    <t>SLC-GEG</t>
  </si>
  <si>
    <t>Tkt Fee/SLC-GEG</t>
  </si>
  <si>
    <t>Andrew</t>
  </si>
  <si>
    <t>Botnick</t>
  </si>
  <si>
    <t>Refund/Strategy Meeting</t>
  </si>
  <si>
    <t>Brian</t>
  </si>
  <si>
    <t>Coleman</t>
  </si>
  <si>
    <t>Lodging/D.Kilimnik/BOD Mtg/Huge/Hero Digitial</t>
  </si>
  <si>
    <t>HOTEL GIRAFFE</t>
  </si>
  <si>
    <t>Lodging/BOD Mtg/Huge/Hero Digital</t>
  </si>
  <si>
    <t>Lodging/A.Szafran/BOD Mtg/Huge/Hero Digital</t>
  </si>
  <si>
    <t>Lodging/BOD Mtg/AmeriVet</t>
  </si>
  <si>
    <t>Hotel-LGA/BOD Mtg/AmeriVet</t>
  </si>
  <si>
    <t>Bus.Dinner-Hotel/BOD Mtg/AmeriVet</t>
  </si>
  <si>
    <t>LGA-Hotel/BOD Mtg/AmeriVet</t>
  </si>
  <si>
    <t>Home-ORD/BOD Mtg/AmeriVet</t>
  </si>
  <si>
    <t>ORD-Home/2026 Strategy Mtg</t>
  </si>
  <si>
    <t>Hotel-Hotel/2026 Strategy Mtg</t>
  </si>
  <si>
    <t>ORD-HOME/BOD Mtg/Huge/Hero Digital</t>
  </si>
  <si>
    <t>Huge Office-LGA/BOD Mtg/Huge/Hero Digital</t>
  </si>
  <si>
    <t>Tkt Fee/SLC-ORD/2026 Strategy Mtg</t>
  </si>
  <si>
    <t>Tkt Fee/ORD-LGA/BOD Mtg/AmeriVet</t>
  </si>
  <si>
    <t>Tkt Fee/Exch Tkt:ORD-LGA/BOD Mtg/AmeriVet</t>
  </si>
  <si>
    <t>Refund/LGA-ORD/BOD Mtg/AmeriVet</t>
  </si>
  <si>
    <t>Exch Tkt:SLC-ORD/2026 Strategy Mtg</t>
  </si>
  <si>
    <t>ORD-LGA/BOD Mtg/AmeriVet</t>
  </si>
  <si>
    <t>Travel Meal/2026 Strategy Mtg</t>
  </si>
  <si>
    <t>Bus.Dinner w/M.Slattery/4ppl/Xenon Arc</t>
  </si>
  <si>
    <t>YUKI YAMA</t>
  </si>
  <si>
    <t>BBY-NYP/West Monroe Offsite/Digital Offsite</t>
  </si>
  <si>
    <t>1018-D</t>
  </si>
  <si>
    <t>BBY-NYP/BOD Mtg/Huge/Hero Digital</t>
  </si>
  <si>
    <t>Refund/BBY-NYP/West Monroe Offsite/Digital Offsite</t>
  </si>
  <si>
    <t>Refund/BBY-NYP/BOD Mtg/Huge/Hero Digital</t>
  </si>
  <si>
    <t>Tkt Fee/BBY-NYP/West Monroe Offsite/Digital Offsite</t>
  </si>
  <si>
    <t>Tkt Fee/BBY-NYP/BOD Mtg/Huge/Hero Digital</t>
  </si>
  <si>
    <t>LGA-SAV/BOD Mtg/AmeriVet</t>
  </si>
  <si>
    <t>LGA-SAV/Gen Pact Event/Digital Offsite</t>
  </si>
  <si>
    <t>Tkt Fee/LGA-SAV-VPS/BOD Mtg AmeriVet</t>
  </si>
  <si>
    <t>Tkt Fee/LGA-SAV-VPS/Gen Pact Executive Event</t>
  </si>
  <si>
    <t>Osasogie</t>
  </si>
  <si>
    <t>Vivian</t>
  </si>
  <si>
    <t>Ighodaro</t>
  </si>
  <si>
    <t>Tip/Work Late/Office to Home</t>
  </si>
  <si>
    <t>Home- JFK/2026 Strategy Mtg</t>
  </si>
  <si>
    <t>EWR-Home/2026 Strategy Mtg</t>
  </si>
  <si>
    <t>PICK UP STIX SLC</t>
  </si>
  <si>
    <t>JFK2 SHAKE SHACK B37 1051</t>
  </si>
  <si>
    <t>Data Subscription/ENR's Unlimited/Lonevolt/Lonestar Electric Sup</t>
  </si>
  <si>
    <t>BNP MEDIA INC</t>
  </si>
  <si>
    <t>Collis</t>
  </si>
  <si>
    <t>Locke</t>
  </si>
  <si>
    <t>Klarberg</t>
  </si>
  <si>
    <t>RT:EWR-SRQ-PBI/IR Florida Trip</t>
  </si>
  <si>
    <t>Tkt Fee/RT:EWR-SRQ-PBI/IR Florida Trip</t>
  </si>
  <si>
    <t>Amtrak Station-Home/Elevate Roadshow</t>
  </si>
  <si>
    <t>BF&amp;P Meeting-Amtrak/Elevate Roadshow</t>
  </si>
  <si>
    <t>Travel Meal/Elevate Roadshow</t>
  </si>
  <si>
    <t>TATTE BAKERY STORE 630036</t>
  </si>
  <si>
    <t>KIMPTON MONACO BALTIMORE</t>
  </si>
  <si>
    <t>Airport-Accommodation/Elevate Roadshow</t>
  </si>
  <si>
    <t>Pointfield Partners Mtg-Accomodations/Elevate Roadshow</t>
  </si>
  <si>
    <t>Home-Airport/Elevate Roadshow</t>
  </si>
  <si>
    <t>EWR-DCA/Elevate Roadshow</t>
  </si>
  <si>
    <t>Tkt Fee/EWR-DCA/Elevate Roadshow</t>
  </si>
  <si>
    <t>BAL-NJ PENN/Elevate Roadshow</t>
  </si>
  <si>
    <t>Tkt Fee/BAL-NJ PENN/Elevate Roadshow</t>
  </si>
  <si>
    <t>Hotel-Airport/Pension Bridge Private Credit</t>
  </si>
  <si>
    <t>Inflight Wifi/Pension Bridge Private Credit</t>
  </si>
  <si>
    <t>Bus.Lodging/Pension Bridge Private Credit</t>
  </si>
  <si>
    <t>Ryan</t>
  </si>
  <si>
    <t>Michael</t>
  </si>
  <si>
    <t>Glazer</t>
  </si>
  <si>
    <t>Home-JFK/Strategy</t>
  </si>
  <si>
    <t>Working Late/Office-Home</t>
  </si>
  <si>
    <t>HPN-Home/BOD Mtg/Excelitas</t>
  </si>
  <si>
    <t>Michelle</t>
  </si>
  <si>
    <t>Yang</t>
  </si>
  <si>
    <t>Liu</t>
  </si>
  <si>
    <t>Dinner-Home/AmeriVet BOD Dinner</t>
  </si>
  <si>
    <t>Office-Dinner/AmeriVet BOD Dinner</t>
  </si>
  <si>
    <t>Work Late/Office-Home</t>
  </si>
  <si>
    <t>EWR-Home/AEA Strategy Meeting</t>
  </si>
  <si>
    <t>519 - TRAVEL RIGHT SLC</t>
  </si>
  <si>
    <t>Strategy Activity/AEA Strategy Meeting</t>
  </si>
  <si>
    <t>SPA MONTAGE</t>
  </si>
  <si>
    <t>Home-JFK/AEA Strategy Meeting</t>
  </si>
  <si>
    <t>Mentor Mtg/N.Mamane</t>
  </si>
  <si>
    <t>SLC-EWR/AEA Strategy Meeting</t>
  </si>
  <si>
    <t>Tkt Fee/AEA Strategy</t>
  </si>
  <si>
    <t>Tkt Fee/JFK-SLC/AEA Strategy</t>
  </si>
  <si>
    <t>Mentor Mtg/J. Sang</t>
  </si>
  <si>
    <t>ARABICA MIDTOWN</t>
  </si>
  <si>
    <t>Subscription/Pave America document signing</t>
  </si>
  <si>
    <t>Subscription/AmeriVet Documents signing</t>
  </si>
  <si>
    <t>Hannah</t>
  </si>
  <si>
    <t>Beth</t>
  </si>
  <si>
    <t>Norowitz</t>
  </si>
  <si>
    <t>DELTA ONBOARD NON-DISCOUN</t>
  </si>
  <si>
    <t>Hotel-SLC/AEA Strategy Meeting</t>
  </si>
  <si>
    <t>Refund/LAX-JFK/Chemical Guys Fast Five Meeting</t>
  </si>
  <si>
    <t>Refund/JFK-LAX/Chemical Guys Fast Five Meeting</t>
  </si>
  <si>
    <t>Mentor Mtg/M.Liu, R.Marsh</t>
  </si>
  <si>
    <t>Tip/JFK-Home/Chemical Guys BOD Mtg</t>
  </si>
  <si>
    <t>JFK-Home/Chemical Guys BOD Mtg</t>
  </si>
  <si>
    <t>Hotel-BOD Mtg/Chemical Guys</t>
  </si>
  <si>
    <t>Hotel-Meeting/Chemical Guys</t>
  </si>
  <si>
    <t>LAX-Hotel/Chemical Guys BOD Meeting</t>
  </si>
  <si>
    <t>Home-JFK/Chemical Guys BOD Meeting</t>
  </si>
  <si>
    <t>JFK-LAX-JFK/Chemical Guys BOD Mtg</t>
  </si>
  <si>
    <t>Tkt Fee/Hotel Booking</t>
  </si>
  <si>
    <t>Lodging/Chemical Guys BOD Mtg</t>
  </si>
  <si>
    <t>SANTA MONICA PROPER HOTEL</t>
  </si>
  <si>
    <t>Travel Meals/Chemical Guys BOD Mtg</t>
  </si>
  <si>
    <t>Jacob</t>
  </si>
  <si>
    <t>Aaron</t>
  </si>
  <si>
    <t>Spigelman</t>
  </si>
  <si>
    <t>Amex Rewards Fee</t>
  </si>
  <si>
    <t>Event-Office/Read Ahead Event</t>
  </si>
  <si>
    <t>Office-Event/Read Ahead Event</t>
  </si>
  <si>
    <t>CHIPOTLE 1359</t>
  </si>
  <si>
    <t>LGA-Home</t>
  </si>
  <si>
    <t>Supply Store-Hotel</t>
  </si>
  <si>
    <t>Hotel-Supply Store</t>
  </si>
  <si>
    <t>Home-JFK</t>
  </si>
  <si>
    <t>Event Materials</t>
  </si>
  <si>
    <t>WAL-MART.COM</t>
  </si>
  <si>
    <t>STATE LIQUOR STORE 37</t>
  </si>
  <si>
    <t>Associate Dinner</t>
  </si>
  <si>
    <t>ESTE PIZZA PARK CITY</t>
  </si>
  <si>
    <t>Office-Mtg/Mgmt Mtg/TileBar</t>
  </si>
  <si>
    <t>Juliet</t>
  </si>
  <si>
    <t>A</t>
  </si>
  <si>
    <t>Yznaga</t>
  </si>
  <si>
    <t>4035 THE MARKETB</t>
  </si>
  <si>
    <t>Refund/JFK-SLC</t>
  </si>
  <si>
    <t>Mentor Mtg/K.Schott</t>
  </si>
  <si>
    <t>DEVOCION - LEXINGTON NEW</t>
  </si>
  <si>
    <t>Checked Bag Fee/JFK-SLC/AEA Strategy Meeting</t>
  </si>
  <si>
    <t>Seat Assignment/JFK-SLC/AEA Strategy Meeting</t>
  </si>
  <si>
    <t>JFK-Home/AEA Strategy Meeting</t>
  </si>
  <si>
    <t>SLC-Hotel/AEA Strategy Meeting</t>
  </si>
  <si>
    <t>Home-EWR/AEA Strategy Meeting</t>
  </si>
  <si>
    <t>Office-Read Ahead /in person volunteer event</t>
  </si>
  <si>
    <t>Noah</t>
  </si>
  <si>
    <t>Moshe Shalom</t>
  </si>
  <si>
    <t>Mamane</t>
  </si>
  <si>
    <t>Refund/Tkt Exch/SLC-BOS</t>
  </si>
  <si>
    <t>Tkt Fee/Tkt Exch/SLC-BOS</t>
  </si>
  <si>
    <t>Dinner-Home/BOD Mtg/Amerivet</t>
  </si>
  <si>
    <t>Coffee Mtg/Mentoring/L. Adi</t>
  </si>
  <si>
    <t>Coffee Mtg/Mentoring/J. Yzanga and K. Schott</t>
  </si>
  <si>
    <t>Kyle</t>
  </si>
  <si>
    <t>Schott</t>
  </si>
  <si>
    <t>JFK-Home/BOD Mtg/Chemical Guys</t>
  </si>
  <si>
    <t>Travel Meal/BOD Mtg/Chemical Guys</t>
  </si>
  <si>
    <t>Travel Meals/BOD Mtg/Chemical Guys</t>
  </si>
  <si>
    <t>TBIT CHAYA 003257087</t>
  </si>
  <si>
    <t>LAX-Hotel/BOD Mtg/Chemical Guys</t>
  </si>
  <si>
    <t>MSP - STONE ARCH</t>
  </si>
  <si>
    <t>Inflight Wifi/BOD Mtg/Chemical Guys</t>
  </si>
  <si>
    <t>INTELSAT - DAL</t>
  </si>
  <si>
    <t>Lodging/BOD Mtg/Chemical Guys</t>
  </si>
  <si>
    <t>JFK-Home</t>
  </si>
  <si>
    <t>Event-Hotel</t>
  </si>
  <si>
    <t>Batch # 1 - $119,802.46</t>
  </si>
  <si>
    <t>#39 OCEAN PRIME ORLANDO</t>
  </si>
  <si>
    <t>1000 NORTH</t>
  </si>
  <si>
    <t>1000 North</t>
  </si>
  <si>
    <t>Travel At Ease</t>
  </si>
  <si>
    <t>501 On Main</t>
  </si>
  <si>
    <t>Travel Right</t>
  </si>
  <si>
    <t>ANGELINA BAKERY - 1675 BROADWAY</t>
  </si>
  <si>
    <t>Angelina Bakery</t>
  </si>
  <si>
    <t>Angie's Subs</t>
  </si>
  <si>
    <t>Angus Barn</t>
  </si>
  <si>
    <t>APOGEE CLUB</t>
  </si>
  <si>
    <t>Apogee Club</t>
  </si>
  <si>
    <t>Arabica</t>
  </si>
  <si>
    <t>Beans &amp; Brews Coffee</t>
  </si>
  <si>
    <t>BNP Media</t>
  </si>
  <si>
    <t>BOLD BEAN JACKSONVILLE BEACH</t>
  </si>
  <si>
    <t>Bold Bean Coffee</t>
  </si>
  <si>
    <t>BRIGHTLINE ONLINE TICKET</t>
  </si>
  <si>
    <t>Brightline</t>
  </si>
  <si>
    <t>BRKFST LUNCH&amp;DINNERT7 LAX</t>
  </si>
  <si>
    <t>BLD LAX</t>
  </si>
  <si>
    <t>Burger Fi</t>
  </si>
  <si>
    <t>Burgers And Bourbon</t>
  </si>
  <si>
    <t>CAFE ATLANTIQUE</t>
  </si>
  <si>
    <t>Cafe Atlantique</t>
  </si>
  <si>
    <t>CHILI'S #815</t>
  </si>
  <si>
    <t>CIRCLE K 44111</t>
  </si>
  <si>
    <t>CMF Vending</t>
  </si>
  <si>
    <t>Coffee Bean &amp; Tea Leaf</t>
  </si>
  <si>
    <t>Culinary Dropout</t>
  </si>
  <si>
    <t>DC Cecs Parking</t>
  </si>
  <si>
    <t>DEER VALLEY SSV RES</t>
  </si>
  <si>
    <t>Deer Valley Resort</t>
  </si>
  <si>
    <t>DEN SUNSET LOOP MARKET</t>
  </si>
  <si>
    <t>Sunset Loop Market</t>
  </si>
  <si>
    <t>DENVER AIRPORT ENTERPRISE</t>
  </si>
  <si>
    <t>Denver Airport</t>
  </si>
  <si>
    <t>Silver Lake Restaurant</t>
  </si>
  <si>
    <t>EINSTEIN KIOSK - DEN</t>
  </si>
  <si>
    <t>ENGINE</t>
  </si>
  <si>
    <t>Engine</t>
  </si>
  <si>
    <t>ESHOPWORLD</t>
  </si>
  <si>
    <t>eShopWorld</t>
  </si>
  <si>
    <t>Este Pizza</t>
  </si>
  <si>
    <t>EWR KAEDAMA - ECOM</t>
  </si>
  <si>
    <t>Kaedama</t>
  </si>
  <si>
    <t>FEDEX OFFICE 1725</t>
  </si>
  <si>
    <t>FEDEX OFFICE 5040</t>
  </si>
  <si>
    <t>Finnair</t>
  </si>
  <si>
    <t>FINNAIR FINLAND DIRECT EUR/EUR</t>
  </si>
  <si>
    <t>FINNAIR US ARC USD/USD</t>
  </si>
  <si>
    <t>FIVE GUYS WIGMORE STEET</t>
  </si>
  <si>
    <t>Five Guys</t>
  </si>
  <si>
    <t>Gateretail</t>
  </si>
  <si>
    <t>GSB EXTERNAL RELATIONS CVENT</t>
  </si>
  <si>
    <t>Stanford GSB</t>
  </si>
  <si>
    <t>Hanover Inn</t>
  </si>
  <si>
    <t>HASHTAG - HIGHLANDS RANCH, CO</t>
  </si>
  <si>
    <t>HashTAG</t>
  </si>
  <si>
    <t>HEINEKEN SPORT BAR</t>
  </si>
  <si>
    <t>Heineken Sport Bar</t>
  </si>
  <si>
    <t>HIGH FLYING FOODS - FARLEY'S</t>
  </si>
  <si>
    <t>Farley's</t>
  </si>
  <si>
    <t>HIGH FLYING FOODS - SFO - PEETS GATE 70</t>
  </si>
  <si>
    <t>HINODEYA RAMEN JAPANTOWN</t>
  </si>
  <si>
    <t>HINODEYA</t>
  </si>
  <si>
    <t>HOTEL AVALON</t>
  </si>
  <si>
    <t>Avalon Hotel</t>
  </si>
  <si>
    <t>Hotel Giraffe</t>
  </si>
  <si>
    <t>HOTEL LA RESERVE</t>
  </si>
  <si>
    <t xml:space="preserve">La Reserve Hotel </t>
  </si>
  <si>
    <t>HY-MOUNTAIN TRANSPORTATION INC</t>
  </si>
  <si>
    <t>High Mountain Taxi</t>
  </si>
  <si>
    <t>Il Mulino</t>
  </si>
  <si>
    <t>JAVIER'S CENTURY CITY</t>
  </si>
  <si>
    <t>Javier's</t>
  </si>
  <si>
    <t>JEDEDIAHS CATERING AND CO</t>
  </si>
  <si>
    <t>Jedediah's</t>
  </si>
  <si>
    <t>KAMP OY</t>
  </si>
  <si>
    <t>Kamp Hotel</t>
  </si>
  <si>
    <t>Kimpton Hotel</t>
  </si>
  <si>
    <t>KINGS COUNTY IMPERIAL - DELANCEY</t>
  </si>
  <si>
    <t>Kings County Imperial</t>
  </si>
  <si>
    <t>KLATCH</t>
  </si>
  <si>
    <t>Klatch</t>
  </si>
  <si>
    <t>LADLE  LEAF</t>
  </si>
  <si>
    <t>Ladle &amp; Leaf</t>
  </si>
  <si>
    <t>Lark Creek Grill</t>
  </si>
  <si>
    <t>LAUSANNE PALACE</t>
  </si>
  <si>
    <t>Lausanne Palace</t>
  </si>
  <si>
    <t>LAZ PARKING M17555</t>
  </si>
  <si>
    <t>LAZ PARKING M17555-FLASH</t>
  </si>
  <si>
    <t>LeMa Dumpling</t>
  </si>
  <si>
    <t>LESCALE RESTAURANT</t>
  </si>
  <si>
    <t>L'escale Restaurant</t>
  </si>
  <si>
    <t>LGA SOLEIL BRASSERIE C80</t>
  </si>
  <si>
    <t>LIV</t>
  </si>
  <si>
    <t>Liv</t>
  </si>
  <si>
    <t>LONDON TAXI 72757</t>
  </si>
  <si>
    <t>METROPOLIS COFFEE GT</t>
  </si>
  <si>
    <t>Metropolis Coffee</t>
  </si>
  <si>
    <t>Stone Arch</t>
  </si>
  <si>
    <t>Naples Golf Club</t>
  </si>
  <si>
    <t>NAT'L ASSOC HOMEBUIL</t>
  </si>
  <si>
    <t>NAHB</t>
  </si>
  <si>
    <t>NATURES TABLE BISTRO</t>
  </si>
  <si>
    <t>Nature's Table</t>
  </si>
  <si>
    <t>OAK 0316 LAKE MERRITT ESS</t>
  </si>
  <si>
    <t>Lake Merritt</t>
  </si>
  <si>
    <t>ONE RARE ITALIAN STEAKHOU</t>
  </si>
  <si>
    <t>One Rare Steakhouse</t>
  </si>
  <si>
    <t>P1 LAX SMART PARKING</t>
  </si>
  <si>
    <t>The Today Show</t>
  </si>
  <si>
    <t>Pick Up Stix</t>
  </si>
  <si>
    <t>PONTE VEDRA INN &amp; CLUB</t>
  </si>
  <si>
    <t>Ponte Vedra Inn</t>
  </si>
  <si>
    <t>ROCKETREACH LLC</t>
  </si>
  <si>
    <t>RocketReach</t>
  </si>
  <si>
    <t>RZ MARINA DEL REY</t>
  </si>
  <si>
    <t>SAN 3057 TRAVEL AT EASE</t>
  </si>
  <si>
    <t>Trip Advisor</t>
  </si>
  <si>
    <t>Maverik</t>
  </si>
  <si>
    <t>Thirst</t>
  </si>
  <si>
    <t>SOUTH CITY KITCHEN BUCKHE</t>
  </si>
  <si>
    <t>South City Kitchen</t>
  </si>
  <si>
    <t>SPA DE LA MER</t>
  </si>
  <si>
    <t>Spa de La Mer</t>
  </si>
  <si>
    <t>Spa Montage</t>
  </si>
  <si>
    <t>St. Regis Deer Valley</t>
  </si>
  <si>
    <t>37 Liquor Store</t>
  </si>
  <si>
    <t>STEAK 48</t>
  </si>
  <si>
    <t>Steak 48</t>
  </si>
  <si>
    <t>STELLAR NEWS A/S 4 MCO</t>
  </si>
  <si>
    <t>Stellar News</t>
  </si>
  <si>
    <t>TASTE OF LA T7GRAB&amp;GO LAX</t>
  </si>
  <si>
    <t>Taste Of LA</t>
  </si>
  <si>
    <t>CHAYA</t>
  </si>
  <si>
    <t>THE MAYFAIR CHIPPY</t>
  </si>
  <si>
    <t>The Mayfair Chippy</t>
  </si>
  <si>
    <t>THE TAILORS SON</t>
  </si>
  <si>
    <t>The Tailor's Son</t>
  </si>
  <si>
    <t>Toastique</t>
  </si>
  <si>
    <t>TRUE FOOD KITCHEN 1032</t>
  </si>
  <si>
    <t>True Food Kitchen</t>
  </si>
  <si>
    <t>UNION SQUARE WINE &amp; SPIRI</t>
  </si>
  <si>
    <t>Union Square Wine</t>
  </si>
  <si>
    <t>Virgin Airways</t>
  </si>
  <si>
    <t>Versailles</t>
  </si>
  <si>
    <t>W H SMITH</t>
  </si>
  <si>
    <t>WH Smith</t>
  </si>
  <si>
    <t>Wei Xin</t>
  </si>
  <si>
    <t>WOOLLEYS CLASSIC SUITES</t>
  </si>
  <si>
    <t>Yuki Yama</t>
  </si>
  <si>
    <t>ZINQUE CENTURY CITY</t>
  </si>
  <si>
    <t>Zinque</t>
  </si>
  <si>
    <t>ZOU ZOU S</t>
  </si>
  <si>
    <t>Zou Zou's</t>
  </si>
  <si>
    <t>LEN</t>
  </si>
  <si>
    <t>SAV-ATL-SLC/AEA Strategy Mtg</t>
  </si>
  <si>
    <t>SLC-JFK/AEA Strategy Mtg</t>
  </si>
  <si>
    <t>Tkt Fee/SLC-JFK/AEA Strategy Mtg</t>
  </si>
  <si>
    <t>Seat Assignment/JFK-SLC/AEA Strategy Mtg</t>
  </si>
  <si>
    <t>Other</t>
  </si>
  <si>
    <t>Chick-fil-A</t>
  </si>
  <si>
    <t>Cibo</t>
  </si>
  <si>
    <t>Jersey Mike's</t>
  </si>
  <si>
    <t>TOTAL - AmEx All</t>
  </si>
  <si>
    <t>TOTAL - SBF</t>
  </si>
  <si>
    <t>TOTAL - AEA</t>
  </si>
  <si>
    <t>TOTAL - DEBT</t>
  </si>
  <si>
    <t>TOTAL - RAW</t>
  </si>
  <si>
    <t>TOTAL - Entities (calc)</t>
  </si>
  <si>
    <t>Check: RAW vs AmEx All</t>
  </si>
  <si>
    <t>Check: Entities vs AmEx All</t>
  </si>
  <si>
    <t>Refund/RT:JFK-SLC/Strategy Mtg</t>
  </si>
  <si>
    <t>JJ: Updated project code to 4001 based on original posting</t>
  </si>
  <si>
    <t>Refund/EWR-SLC/Strategy Mtg</t>
  </si>
  <si>
    <t>Refund/SLC-EWR/Strategy Mtg</t>
  </si>
  <si>
    <t>JJ: Updated flight legs and description</t>
  </si>
  <si>
    <t>JJ: Missing receipt</t>
  </si>
  <si>
    <t>Lodging/BOD Mtg/Numotion</t>
  </si>
  <si>
    <t>JJ: Updated points of travel and project name</t>
  </si>
  <si>
    <t>Hotel-Lunch Mtg/Strategy Mtg</t>
  </si>
  <si>
    <t>Dinner-Home/Mgmt Mtg/NES</t>
  </si>
  <si>
    <t>BOD Dinner-Home/Redwood</t>
  </si>
  <si>
    <t>Bus.Lunch Mtg/4 ppl/Strategy Mtg</t>
  </si>
  <si>
    <t>Bus.Dinner/3ppl/Mgmt Mtg/NES</t>
  </si>
  <si>
    <t>Refund/RT:ORD-SLC/Strategy Mtg</t>
  </si>
  <si>
    <t>Tip/Work Late/Office-Home</t>
  </si>
  <si>
    <t>Event-Home/AEA Winter Outing</t>
  </si>
  <si>
    <t>Refund/JFK-SLC/Strategy Mtg</t>
  </si>
  <si>
    <t>Refund/SLC-JFK/Strategy Mtg</t>
  </si>
  <si>
    <t>Refund/Seat Upgrade/RT:JFK-SLC/Strategy Mtg</t>
  </si>
  <si>
    <t>Refund/RT:DFW-SLC/Strategy Mtg</t>
  </si>
  <si>
    <t>Bus.Dinner w/K.Smith</t>
  </si>
  <si>
    <t>Refreshments/AEA Internal Mtgs</t>
  </si>
  <si>
    <t>Registration/Human Capital Forum 2026/K.Smith</t>
  </si>
  <si>
    <t>Conferences</t>
  </si>
  <si>
    <t>ORD-Home/BOD Mtg/Huge/Hero Digital</t>
  </si>
  <si>
    <t>SLC-ORD/Strategy Mtg</t>
  </si>
  <si>
    <t>JJ: Ticket was purchased then exchanged, free of charge. Removing "Exch Tkt" since the charge will have been the original booking.</t>
  </si>
  <si>
    <t>Tkt Fee/SLC-ORD/Strategy Mtg</t>
  </si>
  <si>
    <t>Travel Meal/Strategy Mtg</t>
  </si>
  <si>
    <t>Home-Hotel/Strategy Mtg</t>
  </si>
  <si>
    <t>JJ: Based on points of travel, looks like a Home-Hotel ride. Updating description accordingly.</t>
  </si>
  <si>
    <t>JJ: Exch tkt fee for the free exchange</t>
  </si>
  <si>
    <t>Fee/Exch Tkt/SLC-ORD/Strategy Mtg</t>
  </si>
  <si>
    <t>Fee/Exch Tkt/ORD-LGA/BOD Mtg/AmeriVet</t>
  </si>
  <si>
    <t>Refund/Exch Tkt/ORD-LGA/BOD Mtg/AmeriVet</t>
  </si>
  <si>
    <t>ORD-Home/Strategy Mtg</t>
  </si>
  <si>
    <t>Inflight Wifi/Strategy Mtg</t>
  </si>
  <si>
    <t>JJ: Based on date, corresponds to Strategy Mtg flight. Updated project code to 1035.</t>
  </si>
  <si>
    <t>JJ: Exch tkt per receipt</t>
  </si>
  <si>
    <t>Refund/EWR-SLC/D.Fernholz/Strategy Mtg</t>
  </si>
  <si>
    <t>Refund/SLC-EWR/D.Fernholz/Strategy Mtg</t>
  </si>
  <si>
    <t>Data Subscription/WebStorm</t>
  </si>
  <si>
    <t>Refund/JFK-SLC/A.Lee/Strategy Mtg</t>
  </si>
  <si>
    <t>Fee/Exch Tkt/RT:EWR-SLC/D.Fernholz/2026 Strategy Mtg</t>
  </si>
  <si>
    <t>Refund/RT:EWR-SLC/Strategy Mtg</t>
  </si>
  <si>
    <t>Office-Event/Eisner Amper Event</t>
  </si>
  <si>
    <t>Event-Home/Eisner Amper Event</t>
  </si>
  <si>
    <t>Train Tkt/BBY-NYP/BOD Mtg/Huge/Hero Digital</t>
  </si>
  <si>
    <t>Train Tkt/XPG-STP/Comms/Business Dev Trip</t>
  </si>
  <si>
    <t>JJ: Corresponds to strategy mtg flight</t>
  </si>
  <si>
    <t>Home-JFK/Strategy Mtg</t>
  </si>
  <si>
    <t>SLC-GEG/Strategy Mtg</t>
  </si>
  <si>
    <t>Tkt Fee/SLC-GEG/Strategy Mtg</t>
  </si>
  <si>
    <t>Refund/SLC-GEG/Strategy Mtg</t>
  </si>
  <si>
    <t>Bus.Parking/Strategy Mtg</t>
  </si>
  <si>
    <t>Travel Meal/Site Visit/Ascential</t>
  </si>
  <si>
    <t>Bus.Breakfast/Site Visit/4 ppl/Ascential</t>
  </si>
  <si>
    <t>Bus.Breakfast/Site Visit/2 ppl/Ascential</t>
  </si>
  <si>
    <t>Hotel-Office/Site Visit/Ascential</t>
  </si>
  <si>
    <t>Office-Hotel/Site Visit/Ascential</t>
  </si>
  <si>
    <t>Hotel-SIN/Site Visit/Ascential</t>
  </si>
  <si>
    <t>Refund/Exch Tkt/RT:HKG-SFO/Strategy Mtg</t>
  </si>
  <si>
    <t>JJ: Return flight was exchanged to another date</t>
  </si>
  <si>
    <t>Fee/Exch Tkt/RT:HKG-SFO/Strategy Mtg</t>
  </si>
  <si>
    <t>SFO-Home/Strategy Mtg</t>
  </si>
  <si>
    <t>Home-SFO/Strategy Mtg</t>
  </si>
  <si>
    <t>Tip/Home-SFO/Strategy Mtg</t>
  </si>
  <si>
    <t>Tip/SFO-Home/Strategy Mtg</t>
  </si>
  <si>
    <t>EWR-Home/Strategy Mtg</t>
  </si>
  <si>
    <t>JJ: Date corresponds to strategy mtg flight</t>
  </si>
  <si>
    <t>JJ: 03/02/2026 Ride</t>
  </si>
  <si>
    <t>Inflight Wifi/Pension Bridge Conf</t>
  </si>
  <si>
    <t>Hotel-SAN/Pension Bridge Conf</t>
  </si>
  <si>
    <t>Tkt Fee/EWR-DCA/Elevate II Roadshow</t>
  </si>
  <si>
    <t>EWR-DCA/Elevate II Roadshow</t>
  </si>
  <si>
    <t>Travel Meal/Elevate II Roadshow</t>
  </si>
  <si>
    <t>Train Tkt/BAL-NWK/Elevate II Roadshow</t>
  </si>
  <si>
    <t>Fee/Train Tkt/BAL-NWK/Elevate II Roadshow</t>
  </si>
  <si>
    <t>Exch Tkt/EWR-DCA/Elevate II Roadshow</t>
  </si>
  <si>
    <t>JJ: Exchange ticket. Only time of flight was changed.</t>
  </si>
  <si>
    <t>Fee/Exch Tkt/EWR-DCA/Elevate II Roadshow</t>
  </si>
  <si>
    <t>DCA-Hotel/Elevate II Roadshow</t>
  </si>
  <si>
    <t>Bus.Mtg-Hotel/Elevate II Roadshow</t>
  </si>
  <si>
    <t>Home-EWR/Elevate II Roadshow</t>
  </si>
  <si>
    <t>NWK-Home/Elevate II Roadshow</t>
  </si>
  <si>
    <t>Bus.Mtg-BWI/Elevate II Roadshow</t>
  </si>
  <si>
    <t>Coffee Mtg/Mentoring/J.Sang</t>
  </si>
  <si>
    <t>SLC-EWR/Strategy Mtg</t>
  </si>
  <si>
    <t>Refund/Exch Tkt/JFK-SLC/2026 Strategy Mtg</t>
  </si>
  <si>
    <t>JJ: Ticket exchanged and return flight was removed. The return flight was booked this month on line 158.</t>
  </si>
  <si>
    <t>Tkt Fee/SLC-EWR/Strategy Mtg</t>
  </si>
  <si>
    <t>Fee/Exch Tkt/JFK-SLC/Strategy Mtg</t>
  </si>
  <si>
    <t>Coffee Mtg/Mentoring/N.Mamane</t>
  </si>
  <si>
    <t>JJ: No receipt</t>
  </si>
  <si>
    <t>Spa Charge/Strategy Mtg</t>
  </si>
  <si>
    <t>JJ: Used "Spa Charge" as desription here based on similar 2025 strategy mtg charge</t>
  </si>
  <si>
    <t>Refund/Personal</t>
  </si>
  <si>
    <t>Dinner-Home/BOD Dinner/AmeriVet</t>
  </si>
  <si>
    <t>Office-Dinner/BOD Dinner/AmeriVet</t>
  </si>
  <si>
    <t>JJ: Wrong receipt, but looks like the time of the return flight was changed resulting in the refund.</t>
  </si>
  <si>
    <t>Refund/Exch Tkt/SLC-BOS/Strategy Mtg</t>
  </si>
  <si>
    <t>Fee/Exch Tkt/SLC-BOS/Strategy Mtg</t>
  </si>
  <si>
    <t>Coffee Mtg/Mentoring/J.Yzanga, K.Schott</t>
  </si>
  <si>
    <t>Travel Meal/N.Mamane, B.Gummadi/Strategy Mtg</t>
  </si>
  <si>
    <t>Coffee Mtg/Mentoring/L.Adi</t>
  </si>
  <si>
    <t>Refund/Exch Tkt/JFK-SLC/Strategy Mtg</t>
  </si>
  <si>
    <t>BOD Dinner/Pave America</t>
  </si>
  <si>
    <t>Inflight Wifi/BOD Mtg/Pave America</t>
  </si>
  <si>
    <t>JJ: Updated description based on corresponding flight</t>
  </si>
  <si>
    <t xml:space="preserve">Travel Meal/BOD Mtg/Pave America </t>
  </si>
  <si>
    <t>Office-LGA/BOD Mtg/Pave America</t>
  </si>
  <si>
    <t>SLC-JFK/Ski Outing/Harris Williams</t>
  </si>
  <si>
    <t>Tkt Fee/SLC-JFK/Ski Outing/Harris Williams</t>
  </si>
  <si>
    <t>JJ: Added legs of flight</t>
  </si>
  <si>
    <t>Balance/Room Rental/M&amp;A Mtgs/Pave America</t>
  </si>
  <si>
    <t>JJ: Balance to last month's $750 charge.</t>
  </si>
  <si>
    <t>Home-JFK/Ski Outing/Harris Williams</t>
  </si>
  <si>
    <t>Refund/SLC-JFK/Ski Outing/Harris Williams</t>
  </si>
  <si>
    <t>JJ: Updated description</t>
  </si>
  <si>
    <t>Travel Meal/Ski Outing/Harris Williams</t>
  </si>
  <si>
    <t>Deposit/Room Rental/Nations Roof</t>
  </si>
  <si>
    <t>Deposit/Room Rental/Pave America</t>
  </si>
  <si>
    <t>ORG</t>
  </si>
  <si>
    <t>JJ: Interview with Jason Grapski for ORG dept</t>
  </si>
  <si>
    <t>Research Subscription</t>
  </si>
  <si>
    <t>Team Event/Birthday Celebration</t>
  </si>
  <si>
    <t>Consumer Partner Dinner</t>
  </si>
  <si>
    <t>Home-Office/Breakfast Mtg w/D.Gibbs</t>
  </si>
  <si>
    <t>JJ: Refund of original strategy mtg flight on Oct AMEX Statement</t>
  </si>
  <si>
    <t>Breakfast-AEA Mtg-Dinner-Home/Various Mtgs</t>
  </si>
  <si>
    <t>Bus.Lunch Mtg/7 ppl/Strategy Mtg</t>
  </si>
  <si>
    <t>Balance/BOD Dinner/AmeriVet</t>
  </si>
  <si>
    <t>Office-BWI/Internal Mtgs/Window Nation</t>
  </si>
  <si>
    <t>ASE-ORD-LGA/Strategy Mtg</t>
  </si>
  <si>
    <t>Refund/ASE-ORD-LGA/Strategy Mtg</t>
  </si>
  <si>
    <t>Exch Tkt/ASE-DFW-LGA/Strategy Mtg</t>
  </si>
  <si>
    <t>JJ: Exchange ticket. First destination was changed from ORD to DFW.</t>
  </si>
  <si>
    <t>Fee/Exch Tkt/ASE-DFW-LGA/Strategy Mtg</t>
  </si>
  <si>
    <t>Tkt Fee/ASE-ORD-LGA/Strategy Mtg</t>
  </si>
  <si>
    <t>Tkt Fee/RSW-BWI/Internal Mtgs/Window Nation</t>
  </si>
  <si>
    <t>Bus.Parking/Tuck PE Conference</t>
  </si>
  <si>
    <t>Premium Business Subscription</t>
  </si>
  <si>
    <t>Trip Insurance/Strategy Mtg</t>
  </si>
  <si>
    <t>JFK-SLC/Strategy Mtg</t>
  </si>
  <si>
    <t>Tkt Refund/Strategy Mtg</t>
  </si>
  <si>
    <t>SLC-Hotel/Strategy Mtg</t>
  </si>
  <si>
    <t>Bus.Lunch w/P.Shayegan/BCI</t>
  </si>
  <si>
    <t>RT:JFK-LAX/BOD Mtg/Chemical Guys</t>
  </si>
  <si>
    <t>JJ: No receipt, updating desc based on project code</t>
  </si>
  <si>
    <t>Bkg Fee/Lodging/BOD Mtg/Chemical Guys</t>
  </si>
  <si>
    <t>Home-JFK/BOD Mtg/Chemical Guys</t>
  </si>
  <si>
    <t>Tip/JFK-Home/BOD Mtg/Chemical Guys</t>
  </si>
  <si>
    <t>JJ: 02/11/2026 Ride</t>
  </si>
  <si>
    <t>Refund/JFK-LAX/BOD Mtg/Chemical Guys</t>
  </si>
  <si>
    <t>Refund/LAX-JFK/BOD Mtg/Chemical Guys</t>
  </si>
  <si>
    <t>JJ: Editted description based on original entry</t>
  </si>
  <si>
    <t>Coffee Mtg/Mentoring/M.Liu, R.Marsh</t>
  </si>
  <si>
    <t>Hotel-SLC/Strategy Mtg</t>
  </si>
  <si>
    <t>Refund/JFK-SLC-MCO/Strategy Mtg</t>
  </si>
  <si>
    <t>Event-Hotel/Strategy Mtg</t>
  </si>
  <si>
    <t>JFK-Home/Strategy Mtg</t>
  </si>
  <si>
    <t>Office-Event/Volunteer Event/Read Ahead</t>
  </si>
  <si>
    <t>Event-Office/Volunteer Event/Read Ahead</t>
  </si>
  <si>
    <t>LGA-Home/Strategy Mtg</t>
  </si>
  <si>
    <t>JJ: Looks like an exchange of the original flight, but the refund looks a lot higher than expected eseing as no replacement flights were booked</t>
  </si>
  <si>
    <t>JJ: Could not find the corresponding flight to this tkt fee. I believe this is the 2nd exchange that may have been free of charge so now the fee shows.</t>
  </si>
  <si>
    <t>Coffee Mtg/Mentoring/K.Schott</t>
  </si>
  <si>
    <t>Home-EWR/Strategy Mtg</t>
  </si>
  <si>
    <t>Baggage Fee/JFK-SLC/Strategy Mtg</t>
  </si>
  <si>
    <t>Hotel-Conf/Stifel Transportation &amp; Logistics Conf</t>
  </si>
  <si>
    <t>Travel Meal/Stifel Transportation &amp; Logistics Conf</t>
  </si>
  <si>
    <t>Travel Meal/Mgmt Mtg/Armstrong</t>
  </si>
  <si>
    <t>JAX-Home/Mgmt Mtg/Armstrong</t>
  </si>
  <si>
    <t>JJ: Updated project code to 3313</t>
  </si>
  <si>
    <t>Home-JAX/CFO Interview Mtg/AmEx</t>
  </si>
  <si>
    <t>Lodging/CFO Interview Mtg/AmEx</t>
  </si>
  <si>
    <t>Home-JAX/Strategy Mtg</t>
  </si>
  <si>
    <t>JAX-Home/Strategy Mtg</t>
  </si>
  <si>
    <t>RT:JAX-LGA/NY Office Visit</t>
  </si>
  <si>
    <t>Tkt Fee/RT:JAX-LGA/NY Office Visit</t>
  </si>
  <si>
    <t>Tkt Fee/LGA-CHS/William Blair T&amp;L Conf</t>
  </si>
  <si>
    <t>JJ: Editted description to farewell lunch</t>
  </si>
  <si>
    <t>EWR-SLC/Strategy Mtg</t>
  </si>
  <si>
    <t>SLC-JFK/Strategy Mtg</t>
  </si>
  <si>
    <t>Tkt Fee/RT:EWR-SLC/Strategy Mtg</t>
  </si>
  <si>
    <t>Lodging/Pension Bridge Conf</t>
  </si>
  <si>
    <t>Tkt Fee/Train Tkt/BBY-NYP/BOD Mtg/Huge/Hero Digital</t>
  </si>
  <si>
    <t>Tkt Fee/Train Tkt/XPG-STP/Comms/Business Dev Trip</t>
  </si>
  <si>
    <t>Coffee Mtg/Mentoring/B.Gallagher</t>
  </si>
  <si>
    <t>Bus.Dinner w/B.Gallagher, I.Wood</t>
  </si>
  <si>
    <t>Dinner-Home/Bus.Dinner w/B.Gallagher, I.Wood</t>
  </si>
  <si>
    <t>Refund/Exch Tkt/RT:JFK-SLC/Strategy Mtg</t>
  </si>
  <si>
    <t>JJ: Based on the provided receipt, this refund corresponds to the $2,320.03 charge from 01/12/2026 and the $3,346.96 from 09/15/2025. It looks like a partial refund but additional travels were booked this month so it should have been a full refund.</t>
  </si>
  <si>
    <t>Tkt Fee/RDU-LGA/LRB Mtg/RED Global</t>
  </si>
  <si>
    <t>RDU-LGA/LRB Mtg/RED Global</t>
  </si>
  <si>
    <t>Refund/Exch Tkt/RDU-EWR/Mgmt Mtg/Aqualis</t>
  </si>
  <si>
    <t>JJ: Refund of RDU-EWR leg of last month's round trip</t>
  </si>
  <si>
    <t>JJ: Cancellation fee, updating project code to 3500</t>
  </si>
  <si>
    <t>Inflight Wifi/Mgmt Mtg/Monroe</t>
  </si>
  <si>
    <t>RT:EWR-LHR/BOD Mtg/RED Global</t>
  </si>
  <si>
    <t>Inflight Wifi/Mgmt Mtg/Aqualis</t>
  </si>
  <si>
    <t>Tkt Fee/RT:EWR-LHR/IR Mtgs</t>
  </si>
  <si>
    <t>RT:EWR-LHR/IR Mtgs</t>
  </si>
  <si>
    <t>Home-Event/Networking Event/Vinson &amp; Elkins</t>
  </si>
  <si>
    <t>Refund/Exch Tkt/JAX-EWR/Banker Mtgs/Monroe</t>
  </si>
  <si>
    <t>JJ: Refund of JAX-EWR leg from $885.06 flight charge on last month AMEX</t>
  </si>
  <si>
    <t>DUS-LHR/Mgmt Mtg/Fristam Pumps/Essentic</t>
  </si>
  <si>
    <t>JJ: Fixed "Essentic" in description and changed "Frissam" to Fristam"</t>
  </si>
  <si>
    <t>DUS-LHR/BOD Mtg/RED Global</t>
  </si>
  <si>
    <t>JJ: Changed "Frissam" to Fristam"</t>
  </si>
  <si>
    <t>Refund/Exch Tkt/EWR-SLC/Strategy Mtg</t>
  </si>
  <si>
    <t>PHL-SLC/Strategy Mtg</t>
  </si>
  <si>
    <t>Tkt Fee/PHL-SLC/Strategy Mtg</t>
  </si>
  <si>
    <t>JJ: Wrong reciept, unable to verify corresponding charge</t>
  </si>
  <si>
    <t>Lodging/Strategy Mtg</t>
  </si>
  <si>
    <t>Fee/Exch Tkt/JAX-EWR/Banker Mtgs/Monroe</t>
  </si>
  <si>
    <t>JJ: Fee for flight that was exchanged free of charge so we will not see the exchange ticket entry.</t>
  </si>
  <si>
    <t>Inflight Wifi/BOD Mtg/Banker Mtgs/Monroe</t>
  </si>
  <si>
    <t>Working Lunch/S.Vlahos</t>
  </si>
  <si>
    <t>Working Lunch/C.Horton</t>
  </si>
  <si>
    <t>Working Lunch/H.Juneja</t>
  </si>
  <si>
    <t>Working Lunch/J.Kwon</t>
  </si>
  <si>
    <t>Working Lunch/H.Senkfor</t>
  </si>
  <si>
    <t>Office Supplies for SBF FL Office</t>
  </si>
  <si>
    <t>Groceries for SBF FL Office</t>
  </si>
  <si>
    <t>Working Lunch/J.Sang</t>
  </si>
  <si>
    <t>Working Lunch/J.Roth</t>
  </si>
  <si>
    <t>Tkt Fee/RT:EWR-LHR/BOD Mtg/RED Global</t>
  </si>
  <si>
    <t>Hotel-Dinner/Bus.Dinner w/B.Quintana/AmEx</t>
  </si>
  <si>
    <t>Farewell Lunch w/C.Li</t>
  </si>
  <si>
    <t>RT:JFK-SLC/Strategy Mtg</t>
  </si>
  <si>
    <t>Tkt Fee/RT:JFK-SLC/Strategy Mtg</t>
  </si>
  <si>
    <t>Working Lunch/2 ppl</t>
  </si>
  <si>
    <t>Bus.Outing w/B.Udland, C.Grove/Incline</t>
  </si>
  <si>
    <t>LGA-SAV-ATL-SLC/Strategy Mtg</t>
  </si>
  <si>
    <t>Travel Insurance/Strategy Mtg</t>
  </si>
  <si>
    <t>1018-M</t>
  </si>
  <si>
    <r>
      <t xml:space="preserve">JJ: Wrong receipt. Does this correspond to the strategy mtg reschedule? Assuming it was exchanged for free, this would be the exchange fee. </t>
    </r>
    <r>
      <rPr>
        <b/>
        <sz val="11"/>
        <color rgb="FFC00000"/>
        <rFont val="Calibri"/>
        <family val="2"/>
      </rPr>
      <t>QU: Ok to keep as Strategy</t>
    </r>
  </si>
  <si>
    <r>
      <t xml:space="preserve">JJ: Refunded flight. Changing to 4001 </t>
    </r>
    <r>
      <rPr>
        <b/>
        <sz val="11"/>
        <color rgb="FFC00000"/>
        <rFont val="Calibri"/>
        <family val="2"/>
      </rPr>
      <t>QU: This is okay to keep in 1035. Both 1035 and 4001 are mgmt co exps. Only need to move refunds to 4001 &amp; 6001 when it's either fund or portfolio related. Updated proj back to 1035</t>
    </r>
  </si>
  <si>
    <t>QU: This is okay to keep in 1035. Both 1035 and 4001 are mgmt co exps. Only need to move refunds to 4001 &amp; 6001 when it's either fund or portfolio related. Updated proj back to 1035</t>
  </si>
  <si>
    <r>
      <t xml:space="preserve">JJ: Could not find corresponding flight for refund. </t>
    </r>
    <r>
      <rPr>
        <b/>
        <sz val="11"/>
        <color rgb="FFC00000"/>
        <rFont val="Calibri"/>
        <family val="2"/>
      </rPr>
      <t>QU: Okay to keep as is</t>
    </r>
  </si>
  <si>
    <t>Office-Dinner-Home/Pave Masters Dinner/Pave America</t>
  </si>
  <si>
    <t>BOD Dinner-Home/Huge/Hero Digital</t>
  </si>
  <si>
    <t>QU: 02/17/2026 Ride</t>
  </si>
  <si>
    <t>QU: For Kate Smith, updated proj and dept to 1020-ORG</t>
  </si>
  <si>
    <t>Room Incidentals/Site Visit/VCC</t>
  </si>
  <si>
    <r>
      <t xml:space="preserve">JJ: Combined the two laundry charges </t>
    </r>
    <r>
      <rPr>
        <b/>
        <sz val="11"/>
        <color rgb="FFC00000"/>
        <rFont val="Calibri"/>
        <family val="2"/>
      </rPr>
      <t>QU: Updated desc from Laundry to Room Incidentals</t>
    </r>
  </si>
  <si>
    <t>ESignatures on Documents</t>
  </si>
  <si>
    <t>Refund/Train Tkt/BBY-NYP/BOD Mtg/Huge/Hero Digital</t>
  </si>
  <si>
    <t>QU: Flagging in case this needs to be held back on billing. Added to AR Folder</t>
  </si>
  <si>
    <r>
      <t xml:space="preserve">JJ: Refunded on line 65. Updating project to 3500 </t>
    </r>
    <r>
      <rPr>
        <b/>
        <sz val="11"/>
        <color rgb="FFC00000"/>
        <rFont val="Calibri"/>
        <family val="2"/>
      </rPr>
      <t>QU: This is okay to keep in 1035. Both 1035 and 3500 are mgmt co exps. Only need to move refunds to 3500 when it's either fund or portfolio related. Updated proj back to 1035</t>
    </r>
  </si>
  <si>
    <r>
      <t xml:space="preserve">JJ: See line 61. Updating project to 3500 </t>
    </r>
    <r>
      <rPr>
        <b/>
        <sz val="11"/>
        <color rgb="FFC00000"/>
        <rFont val="Calibri"/>
        <family val="2"/>
      </rPr>
      <t>QU: This is okay to keep in 1035. Both 1035 and 3500 are mgmt co exps. Only need to move refunds to 3500 when it's either fund or portfolio related. Updated proj back to 1035</t>
    </r>
  </si>
  <si>
    <t>QU: Spoons, Lotion, Paper Towels. Update Epx from Kitchen Supplies to Office Supplies</t>
  </si>
  <si>
    <t>QU: Probably travel meal for Aqualis based on date. Updated Desc and Proj to match</t>
  </si>
  <si>
    <t>QU: Updated Exp from Other to Meals to tie to line 54</t>
  </si>
  <si>
    <t>Catered Lunch/10 ppl/BOD Mtg/Crane Engineering</t>
  </si>
  <si>
    <t>Catered Breakfast/10 ppl/BOD Mtg/Crane Engineering</t>
  </si>
  <si>
    <t>QU: Updated Desc to Catered Lunch/10 ppl per Concur</t>
  </si>
  <si>
    <t>Catered Breakfast/11 ppl/BOD Mtg/Monroe</t>
  </si>
  <si>
    <t>Catered Lunch/11 ppl/BOD Mtg/Monroe</t>
  </si>
  <si>
    <t>QU: Updated Desc to Catered Breakfast/10 ppl per Concur</t>
  </si>
  <si>
    <t>QU: Updated Desc to Catered Breakfast/11 ppl per Concur</t>
  </si>
  <si>
    <t>QU: Updated Desc to Catered Lunch/11 ppl per Concur</t>
  </si>
  <si>
    <t>QU: Updated proj to 4001 and removed Pave America from desc. Docusign should be coded to general codes rather than PCs. Updated Exp to Software too</t>
  </si>
  <si>
    <t>Home-Office/Breakfast Mtg D. Gibbs</t>
  </si>
  <si>
    <t>Refund/JFK-SLC/AEA Strategy Mtg</t>
  </si>
  <si>
    <t>Breakfast-Mtgs-Dinner-Home/ Various Mtgs</t>
  </si>
  <si>
    <t>Conference Room Rental/Pave America Mtgs</t>
  </si>
  <si>
    <t>Tkting Fee/EWR-SLC/Strategy</t>
  </si>
  <si>
    <t>Tkt/Human Capital Forum 2026/Kate Smith</t>
  </si>
  <si>
    <t>Rfnd/Tkt Exch/RT:HKG-SFO-HKG/AEA Strategy Mtg</t>
  </si>
  <si>
    <t>Airport-Home/AEA Strategy Mtg</t>
  </si>
  <si>
    <t>Travel Meal/AEA Strategy Mtg</t>
  </si>
  <si>
    <t>Home-Airport/AEA Strategy Mtg</t>
  </si>
  <si>
    <t>Refund/RT: ORD-SLC/AEA Strategy Mtg</t>
  </si>
  <si>
    <t>BF&amp;P Mtg-Amtrak/Elevate Roadshow</t>
  </si>
  <si>
    <t>EWR-Home/AEA Strategy Mtg</t>
  </si>
  <si>
    <t>Strategy Activity/AEA Strategy Mtg</t>
  </si>
  <si>
    <t>Home-JFK/AEA Strategy Mtg</t>
  </si>
  <si>
    <t>SLC-EWR/AEA Strategy Mtg</t>
  </si>
  <si>
    <t>Hotel-SLC/AEA Strategy Mtg</t>
  </si>
  <si>
    <t>Refund/LAX-JFK/Chemical Guys Fast Five Mtg</t>
  </si>
  <si>
    <t>Refund/JFK-LAX/Chemical Guys Fast Five Mtg</t>
  </si>
  <si>
    <t>Hotel-Mtg/Chemical Guys</t>
  </si>
  <si>
    <t>LAX-Hotel/Chemical Guys BOD Mtg</t>
  </si>
  <si>
    <t>Home-JFK/Chemical Guys BOD Mtg</t>
  </si>
  <si>
    <t>Checked Bag Fee/JFK-SLC/AEA Strategy Mtg</t>
  </si>
  <si>
    <t>JFK-Home/AEA Strategy Mtg</t>
  </si>
  <si>
    <t>SLC-Hotel/AEA Strategy Mtg</t>
  </si>
  <si>
    <t>Home-EWR/AEA Strategy Mtg</t>
  </si>
  <si>
    <t>LP</t>
  </si>
  <si>
    <t>Virgin Atlantic</t>
  </si>
  <si>
    <t>AD: Updated dept from SBF to SBF-FL, lunch for FL based emp delivered to FL office</t>
  </si>
  <si>
    <t>RDU-Mgmt Mtg/Aqualis</t>
  </si>
  <si>
    <t>CLT-Mgmt Mtg/Armstrong</t>
  </si>
  <si>
    <t>Mgmt Mtg-CLT/Armstrong</t>
  </si>
  <si>
    <t>LHR-TPA/J.Whalen/Mgmt Mtg/Fristam Pumps/Essentic</t>
  </si>
  <si>
    <t>BOS-FRA/J.Whalen/Mgmt Mtg/Fristam Pumps/Essentic</t>
  </si>
  <si>
    <t>DUS-LHR/J.Whalen/Mgmt Mtg/Fristam Pumps/Essentic</t>
  </si>
  <si>
    <t>Fee/BOS-FRA-DUS-LHR-TPA/Mgmt Mtg/Fristam Pumps/Essentic</t>
  </si>
  <si>
    <r>
      <t xml:space="preserve">JJ: Changed "Frissam" to Fristam" </t>
    </r>
    <r>
      <rPr>
        <b/>
        <sz val="11"/>
        <color rgb="FF7030A0"/>
        <rFont val="Calibri"/>
        <family val="2"/>
      </rPr>
      <t xml:space="preserve">AD: removed Tkt from memo due to character limit, fee corresponding to J. Whalen flights </t>
    </r>
  </si>
  <si>
    <r>
      <t xml:space="preserve">JJ: Changed "Frissam" to Fristam" </t>
    </r>
    <r>
      <rPr>
        <b/>
        <sz val="11"/>
        <color rgb="FF7030A0"/>
        <rFont val="Calibri"/>
        <family val="2"/>
      </rPr>
      <t>AD: Updated vendor name, please correct macro file if needed</t>
    </r>
    <r>
      <rPr>
        <b/>
        <sz val="11"/>
        <color theme="4"/>
        <rFont val="Calibri"/>
        <family val="2"/>
      </rPr>
      <t>,</t>
    </r>
    <r>
      <rPr>
        <b/>
        <sz val="11"/>
        <color rgb="FF7030A0"/>
        <rFont val="Calibri"/>
        <family val="2"/>
      </rPr>
      <t xml:space="preserve"> flight for J.Whalen, added name to memo</t>
    </r>
  </si>
  <si>
    <r>
      <t xml:space="preserve">JJ: Changed "Frissam" to Fristam" </t>
    </r>
    <r>
      <rPr>
        <b/>
        <sz val="11"/>
        <color rgb="FF7030A0"/>
        <rFont val="Calibri"/>
        <family val="2"/>
      </rPr>
      <t>AD: Flight for J.Whalen, added his name to memo</t>
    </r>
  </si>
  <si>
    <t>Hotel-LRB Mtg/RED Global</t>
  </si>
  <si>
    <t>EWR-FRA/LHR-EWR/BOD Mtg/RED Global</t>
  </si>
  <si>
    <t>Tkt Fee/EWR-FRA/LHR-EWR/BOD Mtg/RED Global</t>
  </si>
  <si>
    <t>EWR-FRA/LHR-EWR/Mgmt Mtg/Fristam Pumps/Essentic</t>
  </si>
  <si>
    <t>Tkt Fee/EWR-FRA/LHR-EWR/Mgmt Mtg/Fristam Pumps/Essentic</t>
  </si>
  <si>
    <t>Fee/Exch Tkt/RDU-EWR/Mgmt Mtg/Aqualis</t>
  </si>
  <si>
    <t>RT:JAX-PHL-CLT/CFO Interview Mtg/AmEx</t>
  </si>
  <si>
    <t>Tkt Fee/RT:JAX-PHL-CLT/CFO Interview Mtg/AmEx</t>
  </si>
  <si>
    <t>Cancellation Fee/Mgmt Mtg-Dinner/Monroe</t>
  </si>
  <si>
    <t>Bus.Dinner w/J.Franklin/Potential EP</t>
  </si>
  <si>
    <r>
      <t xml:space="preserve">JJ: Will confirm with admin the deal name </t>
    </r>
    <r>
      <rPr>
        <b/>
        <sz val="11"/>
        <color rgb="FF7030A0"/>
        <rFont val="Calibri"/>
        <family val="2"/>
      </rPr>
      <t>AD: Added Potential EP back to memo, no need to confirm, coding is correct</t>
    </r>
  </si>
  <si>
    <t>Lodging/Stifel Transportation &amp; Logistics Conf</t>
  </si>
  <si>
    <t>Tkt Fee/EWR-FRA/LHR-EWR/IR Mtgs</t>
  </si>
  <si>
    <r>
      <t xml:space="preserve">JJ: Slightly adjusted description </t>
    </r>
    <r>
      <rPr>
        <b/>
        <sz val="11"/>
        <color rgb="FF7030A0"/>
        <rFont val="Calibri"/>
        <family val="2"/>
      </rPr>
      <t>AD: Lodging for Feb 10-12 so looks like for T&amp;L conf, updated memo per corresponding meal charges on lines 17 &amp; 18</t>
    </r>
  </si>
  <si>
    <t>AD: Replaced 'Working Late' with 'Work Late'</t>
  </si>
  <si>
    <t>Missing carve out language</t>
  </si>
  <si>
    <t>AMEX Membership Rewards</t>
  </si>
  <si>
    <t>RT:BOS-LGA/Bus.Mtg w/J.Grapski/ORG Team Candidate</t>
  </si>
  <si>
    <t>Tkt Fee/RT:BOS-LGA/Bus.Mtg w/J.Grapski/ORG Team Candidate</t>
  </si>
  <si>
    <r>
      <t xml:space="preserve">JJ: Interview with Jason Grapski for ORG dept </t>
    </r>
    <r>
      <rPr>
        <b/>
        <sz val="11"/>
        <color rgb="FF7030A0"/>
        <rFont val="Calibri"/>
        <family val="2"/>
      </rPr>
      <t>AD: Added points of travel to memo</t>
    </r>
  </si>
  <si>
    <t>Tkt Fee/EWR-SLC-JFK/Strategy Mtg</t>
  </si>
  <si>
    <t>QU: Updated pro to 4001 and removed AmeriVet from desc. Docusign should be coded to general codes rather than PCs. Updated Exp to Software too</t>
  </si>
  <si>
    <t>Home-Conf/Baird Conference</t>
  </si>
  <si>
    <r>
      <t xml:space="preserve">JJ: Will confirm with admin for business purpose. </t>
    </r>
    <r>
      <rPr>
        <b/>
        <sz val="11"/>
        <color rgb="FF7030A0"/>
        <rFont val="Calibri"/>
        <family val="2"/>
      </rPr>
      <t>AD: I see we used Workshops in memo for other portfolio companies before, added mtgs to memo, no need to email</t>
    </r>
  </si>
  <si>
    <t>RT:EWR-FRA-DRS/Workshop Mtgs/SCIO</t>
  </si>
  <si>
    <t>Tkt fee/RT:EWR-FRA-DRS/Workshop Mtgs/SCIO</t>
  </si>
  <si>
    <t>Travel Meal/Workshop Mtgs/SCIO</t>
  </si>
  <si>
    <t>Lodging/Workshop Mtgs/SCIO</t>
  </si>
  <si>
    <t>AD: Looks to be subscription with access to digital magazines, digital archives etc, changing software to info services</t>
  </si>
  <si>
    <t>ENR Data Subscription/Lonestar Electric Supply</t>
  </si>
  <si>
    <t>AD: Updated CONS to VAIP</t>
  </si>
  <si>
    <t>BOD Mtg-LGA/Huge/Hero Digital</t>
  </si>
  <si>
    <t>Office-Home/Personal</t>
  </si>
  <si>
    <r>
      <t xml:space="preserve">QU: Updated proj from 1012 to 1035 to match lines 361 &amp; 362. Food was delivered 2/20. Added Strategy Mtg to desc </t>
    </r>
    <r>
      <rPr>
        <b/>
        <sz val="11"/>
        <color rgb="FF7030A0"/>
        <rFont val="Calibri"/>
        <family val="2"/>
      </rPr>
      <t>AD: Strategy happened between Feb 22-26, it was prestrategy associate ski trip/dinner, we coded that to 1012 last year, and I see we coded their hotel for Feb 20-23 as Associate Ski Trip</t>
    </r>
  </si>
  <si>
    <t>NY</t>
  </si>
  <si>
    <t>Associate Dinner/Associate 2026 Ski Trip</t>
  </si>
  <si>
    <t>Event Materials/Associate Dinner/Associate 2026 Ski Trip</t>
  </si>
  <si>
    <r>
      <t xml:space="preserve">JJ: Date corresponds to strategy mtg. Changing project code </t>
    </r>
    <r>
      <rPr>
        <b/>
        <sz val="11"/>
        <color rgb="FF7030A0"/>
        <rFont val="Calibri"/>
        <family val="2"/>
      </rPr>
      <t>AD: Strategy happened between Feb 22-26, it was prestrategy associate ski trip/dinner, we coded that to 1012 last year, and I see we coded their hotel for Feb 20-23 as Associate Ski Trip</t>
    </r>
  </si>
  <si>
    <t>Supply Store-Hotel/Associate 2026 Ski Trip</t>
  </si>
  <si>
    <t>Hotel-Supply Store/Associate 2026 Ski Trip</t>
  </si>
  <si>
    <t>AD: Strategy happened between Feb 22-26, it was prestrategy associate ski trip/dinner, we coded that to 1012 last year, and I see we coded their hotel for Feb 20-23 as Associate Ski Trip, car so left in CONS</t>
  </si>
  <si>
    <r>
      <t xml:space="preserve">JJ: Admin left a comment noting it will be cancelled. Updating project code to 6001 </t>
    </r>
    <r>
      <rPr>
        <b/>
        <sz val="11"/>
        <color rgb="FF7030A0"/>
        <rFont val="Calibri"/>
        <family val="2"/>
      </rPr>
      <t>AD: looks like cancellation fee, cancelled outside of policy so were charged no  show fee, there will be no refund, s/b charged to 6001 but adding cancellation fee to memo</t>
    </r>
  </si>
  <si>
    <t>Cancellation Fee/Lodging/D.Kilimnik/BOD Mtg/Huge</t>
  </si>
  <si>
    <t>Cancellation Fee/Lodging/A.Szafran/BOD Mtg/Huge</t>
  </si>
  <si>
    <t>Pave Masters Dinner/Pave America</t>
  </si>
  <si>
    <t>Office-Mgmt Mtg/TileBar</t>
  </si>
  <si>
    <t>Catered Lunch/BOD Mtg/AmeriVet</t>
  </si>
  <si>
    <t>Catered Brekfast/BOD Mtg/AmeriVet</t>
  </si>
  <si>
    <r>
      <t xml:space="preserve">JJ: Fixed legs of travel. Will need to confirm how the Atlanta travel should be coded. Leaving description as is for now. </t>
    </r>
    <r>
      <rPr>
        <b/>
        <sz val="11"/>
        <color rgb="FFC00000"/>
        <rFont val="Calibri"/>
        <family val="2"/>
      </rPr>
      <t>QU: ATL Flight appears to be a layover. Got into ATL at 6:03PM and left 8:10PM. Okay to keep everything as is</t>
    </r>
    <r>
      <rPr>
        <b/>
        <sz val="11"/>
        <color rgb="FF7030A0"/>
        <rFont val="Calibri"/>
        <family val="2"/>
      </rPr>
      <t xml:space="preserve"> AD: Based on comment left in Concur, only LGA-SAV corresponds to AmeriVet, updated legs of travel</t>
    </r>
  </si>
  <si>
    <t>Tkt Fee/LGA-SAV/BOD Mtg/AmeriVet</t>
  </si>
  <si>
    <r>
      <t xml:space="preserve">JJ: Ticket fee for charges on line 26 &amp; 27. Fixed the desrciption. Will need to confirm as well. </t>
    </r>
    <r>
      <rPr>
        <b/>
        <sz val="11"/>
        <color rgb="FFC00000"/>
        <rFont val="Calibri"/>
        <family val="2"/>
      </rPr>
      <t>QU: ATL Flight appears to be a layover. Got into ATL at 6:03PM and left 8:10PM. Okay to keep everything as is</t>
    </r>
    <r>
      <rPr>
        <b/>
        <sz val="11"/>
        <color rgb="FF7030A0"/>
        <rFont val="Calibri"/>
        <family val="2"/>
      </rPr>
      <t xml:space="preserve"> AD: Based on comment left in Concur, only LGA-SAV corresponds to AmeriVet, updated legs of travel</t>
    </r>
  </si>
  <si>
    <r>
      <t xml:space="preserve">JJ: Editted description based on original entry </t>
    </r>
    <r>
      <rPr>
        <b/>
        <sz val="11"/>
        <color rgb="FFC00000"/>
        <rFont val="Calibri"/>
        <family val="2"/>
      </rPr>
      <t>QU: Refund from 02.04 AMEX. Tkt Fee needs to be reclassed</t>
    </r>
    <r>
      <rPr>
        <b/>
        <sz val="11"/>
        <color theme="4"/>
        <rFont val="Calibri"/>
        <family val="2"/>
      </rPr>
      <t xml:space="preserve"> </t>
    </r>
    <r>
      <rPr>
        <b/>
        <sz val="11"/>
        <color rgb="FF7030A0"/>
        <rFont val="Calibri"/>
        <family val="2"/>
      </rPr>
      <t>AD: I will reclass it</t>
    </r>
  </si>
  <si>
    <r>
      <t xml:space="preserve">QU: Refund from 02.04 AMEX. Tkt Fee needs to be reclassed </t>
    </r>
    <r>
      <rPr>
        <b/>
        <sz val="11"/>
        <color rgb="FF7030A0"/>
        <rFont val="Calibri"/>
        <family val="2"/>
      </rPr>
      <t>AD: I will reclass it</t>
    </r>
  </si>
  <si>
    <r>
      <t xml:space="preserve">JJ: Does not comply with AEA policy. Arrival time was at 6:57 </t>
    </r>
    <r>
      <rPr>
        <b/>
        <sz val="11"/>
        <color rgb="FFC00000"/>
        <rFont val="Calibri"/>
        <family val="2"/>
      </rPr>
      <t>QU: Confirm w/Admin if there is a reason</t>
    </r>
    <r>
      <rPr>
        <b/>
        <sz val="11"/>
        <color theme="4"/>
        <rFont val="Calibri"/>
        <family val="2"/>
      </rPr>
      <t xml:space="preserve"> JJ: Emailed admin </t>
    </r>
    <r>
      <rPr>
        <b/>
        <sz val="11"/>
        <color rgb="FF7030A0"/>
        <rFont val="Calibri"/>
        <family val="2"/>
      </rPr>
      <t>AD: Cardholder thought that late cars can be taken at 7PM, confirmed ok to bill to personal</t>
    </r>
  </si>
  <si>
    <r>
      <t xml:space="preserve">JJ: I see some postings for OAPC related expense to 1016. Updating </t>
    </r>
    <r>
      <rPr>
        <b/>
        <sz val="11"/>
        <color rgb="FFC00000"/>
        <rFont val="Calibri"/>
        <family val="2"/>
      </rPr>
      <t>QU: Confirm w/Admin. Originally coded to 3399-GPP/Unisyn in Concur</t>
    </r>
    <r>
      <rPr>
        <b/>
        <sz val="11"/>
        <color theme="4"/>
        <rFont val="Calibri"/>
        <family val="2"/>
      </rPr>
      <t xml:space="preserve"> JJ: Emailed admin</t>
    </r>
    <r>
      <rPr>
        <b/>
        <sz val="11"/>
        <color rgb="FF7030A0"/>
        <rFont val="Calibri"/>
        <family val="2"/>
      </rPr>
      <t xml:space="preserve"> AD: Cardhlder confirmed should be charged to 3399, OAPC is a co-investor in GPP</t>
    </r>
  </si>
  <si>
    <t>JAX-LGA/OAPC Mtg/GPP/Unisyn</t>
  </si>
  <si>
    <t>Tkt Fee/JAX-LGA/OAPC Mtg/GPP/Unisyn</t>
  </si>
  <si>
    <t>Lodging/OAPC Mtg/GPP/Unisyn</t>
  </si>
  <si>
    <r>
      <t xml:space="preserve">JJ: I see some postings for OAPC related expense to 1016. Updating </t>
    </r>
    <r>
      <rPr>
        <b/>
        <sz val="11"/>
        <color rgb="FFC00000"/>
        <rFont val="Calibri"/>
        <family val="2"/>
      </rPr>
      <t>QU: Confirm w/Admin. Originally coded to 3399-GPP/Unisyn in Concur</t>
    </r>
    <r>
      <rPr>
        <b/>
        <sz val="11"/>
        <color theme="4"/>
        <rFont val="Calibri"/>
        <family val="2"/>
      </rPr>
      <t xml:space="preserve"> JJ: Emailed admin </t>
    </r>
    <r>
      <rPr>
        <b/>
        <sz val="11"/>
        <color rgb="FF7030A0"/>
        <rFont val="Calibri"/>
        <family val="2"/>
      </rPr>
      <t>AD: Cardhlder confirmed should be charged to 3399, OAPC is a co-investor in GPP</t>
    </r>
  </si>
  <si>
    <t>RT:Office-Conf/Baird Conference</t>
  </si>
  <si>
    <t>LGA-SAV-ATL-VPS/Genpact Event/Digital Offsite</t>
  </si>
  <si>
    <t>Train Tkt/BBY-NYP/West Monroe/Digital Offsite</t>
  </si>
  <si>
    <t>Refund/Train Tkt/BBY-NYP/West Monroe/Digital Offsite</t>
  </si>
  <si>
    <t>Tkt Fee/Train Tkt/BBY-NYP/West Monroe/Digital Offsite</t>
  </si>
  <si>
    <t>Tkt Fee/LGA-SAV-ATL-VPS/Genpact Event/Digital Offsite</t>
  </si>
  <si>
    <r>
      <t>QU: Updated proj from 1018-D to 1018-M. 1018-D has only been used for our CIO Summit. Confirm w/Admin on what the offsite is about. IT/AI?</t>
    </r>
    <r>
      <rPr>
        <b/>
        <sz val="11"/>
        <color rgb="FF7030A0"/>
        <rFont val="Calibri"/>
        <family val="2"/>
      </rPr>
      <t xml:space="preserve"> AD: Per AF, should be 1018-M, no need to email</t>
    </r>
  </si>
  <si>
    <r>
      <t xml:space="preserve">QU: Updated proj from 1018-D to 1018-M. 1018-D has only been used for our CIO Summit. Confirm w/Admin on what the offsite is about. IT/AI? </t>
    </r>
    <r>
      <rPr>
        <b/>
        <sz val="11"/>
        <color rgb="FF7030A0"/>
        <rFont val="Calibri"/>
        <family val="2"/>
      </rPr>
      <t>AD: Per AF, should be 1018-M, no need to email</t>
    </r>
  </si>
  <si>
    <r>
      <t xml:space="preserve">JJ: Exch tkt per receipt </t>
    </r>
    <r>
      <rPr>
        <b/>
        <sz val="11"/>
        <color rgb="FFC00000"/>
        <rFont val="Calibri"/>
        <family val="2"/>
      </rPr>
      <t>QU: Updated proj from 1018-D to 1018-M. 1018-D has only been used for our CIO Summit. Confirm w/Admin on what the offsite is about. IT/AI?</t>
    </r>
    <r>
      <rPr>
        <b/>
        <sz val="11"/>
        <color theme="4"/>
        <rFont val="Calibri"/>
        <family val="2"/>
      </rPr>
      <t xml:space="preserve"> </t>
    </r>
    <r>
      <rPr>
        <b/>
        <sz val="11"/>
        <color rgb="FF7030A0"/>
        <rFont val="Calibri"/>
        <family val="2"/>
      </rPr>
      <t>AD: Per AF, should be 1018-M, no need to email</t>
    </r>
  </si>
  <si>
    <r>
      <t xml:space="preserve">JJ: Ticket fee for charges on line 26 &amp; 27. Fixed the desrciption. Will need to confirm as well. </t>
    </r>
    <r>
      <rPr>
        <b/>
        <sz val="11"/>
        <color rgb="FFC00000"/>
        <rFont val="Calibri"/>
        <family val="2"/>
      </rPr>
      <t>QU: I think this should be 1018-M based on past Genpact events. 1018-D has only been used for our CIO Summit</t>
    </r>
    <r>
      <rPr>
        <b/>
        <sz val="11"/>
        <color theme="4"/>
        <rFont val="Calibri"/>
        <family val="2"/>
      </rPr>
      <t xml:space="preserve"> </t>
    </r>
    <r>
      <rPr>
        <b/>
        <sz val="11"/>
        <color rgb="FF7030A0"/>
        <rFont val="Calibri"/>
        <family val="2"/>
      </rPr>
      <t>AD: Allys confirmed, s/b 1018-M</t>
    </r>
  </si>
  <si>
    <r>
      <t xml:space="preserve">JJ: Fixed legs of travel. Will need to confirm how the Atlanta travel should be coded. Leaving description as is for now. Is project code 1018-D correct? </t>
    </r>
    <r>
      <rPr>
        <b/>
        <sz val="11"/>
        <color rgb="FFC00000"/>
        <rFont val="Calibri"/>
        <family val="2"/>
      </rPr>
      <t>QU: I think this should be 1018-M based on past Genpact events. 1018-D has only been used for our CIO Summit</t>
    </r>
    <r>
      <rPr>
        <b/>
        <sz val="11"/>
        <color theme="4"/>
        <rFont val="Calibri"/>
        <family val="2"/>
      </rPr>
      <t xml:space="preserve"> </t>
    </r>
    <r>
      <rPr>
        <b/>
        <sz val="11"/>
        <color rgb="FF7030A0"/>
        <rFont val="Calibri"/>
        <family val="2"/>
      </rPr>
      <t>AD: Allys confirmed, s/b 1018-M</t>
    </r>
  </si>
  <si>
    <t>AD: It was originally coded to 4001, changing project back from 1008 to 4001, recurring monthly hotspot access</t>
  </si>
  <si>
    <t>JJ: Could not find corresponding flight. Will confirm with admin if this was work on personal flight - admin confirmed work related</t>
  </si>
  <si>
    <r>
      <t xml:space="preserve">JJ: Added "Lodging" to description. Should it be "Room Rental" instead? </t>
    </r>
    <r>
      <rPr>
        <b/>
        <sz val="11"/>
        <color rgb="FF7030A0"/>
        <rFont val="Calibri"/>
        <family val="2"/>
      </rPr>
      <t>AD: Unable to tell from rcpt, you can ask admin if 'Rooom Block' deposit or rental of meeting room</t>
    </r>
    <r>
      <rPr>
        <b/>
        <sz val="11"/>
        <color theme="4"/>
        <rFont val="Calibri"/>
        <family val="2"/>
      </rPr>
      <t xml:space="preserve"> JJ: Emailed - admin confirmed room block</t>
    </r>
  </si>
  <si>
    <t>Deposit/Room Block/BOD Mtg/AmeriVet</t>
  </si>
  <si>
    <t>Refreshments/Associate Dinner/Associate Ski Trip</t>
  </si>
  <si>
    <r>
      <t xml:space="preserve">QU: Updated desc from Event Materials to Refreshments and Exp from Other to Meals </t>
    </r>
    <r>
      <rPr>
        <b/>
        <sz val="11"/>
        <color rgb="FF7030A0"/>
        <rFont val="Calibri"/>
        <family val="2"/>
      </rPr>
      <t xml:space="preserve">AD: Strategy happened between Feb 22-26, it was prestrategy associate ski trip/dinner, we coded that to 1012 last year, and I see we coded their hotel for Feb 20-23 as Associate Ski Trip </t>
    </r>
    <r>
      <rPr>
        <b/>
        <sz val="11"/>
        <color theme="4"/>
        <rFont val="Calibri"/>
        <family val="2"/>
      </rPr>
      <t>JJ: Removing "2026" in desc due to character limit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</si>
</sst>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5" x14ac:knownFonts="1">
    <font>
      <sz val="11"/>
      <color theme="1"/>
      <name val="Aptos Narrow"/>
      <family val="2"/>
      <scheme val="minor"/>
    </font>
    <font>
      <sz val="11"/>
      <color theme="1"/>
      <name val="Calibri"/>
      <family val="2"/>
    </font>
    <font>
      <sz val="11"/>
      <color theme="1"/>
      <name val="Aptos Narrow"/>
      <family val="2"/>
      <scheme val="minor"/>
    </font>
    <font>
      <sz val="10"/>
      <name val="Arial"/>
      <family val="2"/>
    </font>
    <font>
      <b/>
      <sz val="9"/>
      <name val="Aptos Narrow"/>
      <family val="2"/>
      <scheme val="minor"/>
    </font>
    <font>
      <sz val="9"/>
      <name val="Aptos Narrow"/>
      <family val="2"/>
      <scheme val="minor"/>
    </font>
    <font>
      <sz val="9"/>
      <color theme="0" tint="-0.499984740745262"/>
      <name val="Aptos Narrow"/>
      <family val="2"/>
      <scheme val="minor"/>
    </font>
    <font>
      <b/>
      <sz val="9"/>
      <color theme="0" tint="-0.499984740745262"/>
      <name val="Aptos Narrow"/>
      <family val="2"/>
      <scheme val="minor"/>
    </font>
    <font>
      <sz val="11"/>
      <color theme="1"/>
      <name val="Calibri"/>
      <family val="2"/>
    </font>
    <font>
      <u/>
      <sz val="11"/>
      <color theme="1"/>
      <name val="Calibri"/>
      <family val="2"/>
    </font>
    <font>
      <sz val="9"/>
      <color theme="1"/>
      <name val="Aptos Narrow"/>
      <family val="2"/>
      <scheme val="minor"/>
    </font>
    <font>
      <b/>
      <sz val="9"/>
      <color theme="1"/>
      <name val="Aptos Narrow"/>
      <family val="2"/>
      <scheme val="minor"/>
    </font>
    <font>
      <sz val="11"/>
      <name val="Calibri"/>
      <family val="2"/>
    </font>
    <font>
      <sz val="11"/>
      <color rgb="FF0070C0"/>
      <name val="Calibri"/>
      <family val="2"/>
    </font>
    <font>
      <sz val="11"/>
      <color theme="4"/>
      <name val="Calibri"/>
      <family val="2"/>
    </font>
    <font>
      <b/>
      <sz val="11"/>
      <color theme="1"/>
      <name val="Aptos Narrow"/>
      <family val="2"/>
      <scheme val="minor"/>
    </font>
    <font>
      <b/>
      <sz val="11"/>
      <color theme="1"/>
      <name val="Calibri"/>
      <family val="2"/>
    </font>
    <font>
      <b/>
      <u/>
      <sz val="11"/>
      <color theme="1"/>
      <name val="Calibri"/>
      <family val="2"/>
    </font>
    <font>
      <sz val="11"/>
      <color rgb="FF9C0006"/>
      <name val="Calibri"/>
      <family val="2"/>
    </font>
    <font>
      <b/>
      <sz val="11"/>
      <name val="Calibri"/>
      <family val="2"/>
    </font>
    <font>
      <b/>
      <u/>
      <sz val="11"/>
      <color theme="4"/>
      <name val="Calibri"/>
      <family val="2"/>
    </font>
    <font>
      <b/>
      <sz val="11"/>
      <color theme="4"/>
      <name val="Calibri"/>
      <family val="2"/>
    </font>
    <font>
      <b/>
      <sz val="11"/>
      <color rgb="FFC00000"/>
      <name val="Calibri"/>
      <family val="2"/>
    </font>
    <font>
      <sz val="11"/>
      <color rgb="FFC00000"/>
      <name val="Calibri"/>
      <family val="2"/>
    </font>
    <font>
      <b/>
      <sz val="11"/>
      <color rgb="FF7030A0"/>
      <name val="Calibri"/>
      <family val="2"/>
    </font>
  </fonts>
  <fills count="8">
    <fill>
      <patternFill patternType="none"/>
    </fill>
    <fill>
      <patternFill patternType="gray125"/>
    </fill>
    <fill>
      <patternFill patternType="solid">
        <fgColor rgb="FFFFFFCC"/>
        <bgColor indexed="64"/>
      </patternFill>
    </fill>
    <fill>
      <patternFill patternType="solid">
        <fgColor indexed="9"/>
        <bgColor indexed="64"/>
      </patternFill>
    </fill>
    <fill>
      <patternFill patternType="solid">
        <fgColor theme="3" tint="0.89999084444715716"/>
        <bgColor indexed="64"/>
      </patternFill>
    </fill>
    <fill>
      <patternFill patternType="solid">
        <fgColor rgb="FFFFC7CE"/>
        <bgColor indexed="64"/>
      </patternFill>
    </fill>
    <fill>
      <patternFill patternType="solid">
        <fgColor rgb="FFFFC000"/>
        <bgColor indexed="64"/>
      </patternFill>
    </fill>
    <fill>
      <patternFill patternType="solid">
        <fgColor rgb="FFFFFF00"/>
        <bgColor indexed="64"/>
      </patternFill>
    </fill>
  </fills>
  <borders count="6">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right/>
      <top style="thin">
        <color indexed="64"/>
      </top>
      <bottom style="thick">
        <color indexed="64"/>
      </bottom>
      <diagonal/>
    </border>
    <border>
      <left/>
      <right/>
      <top style="thin">
        <color indexed="64"/>
      </top>
      <bottom style="double">
        <color indexed="64"/>
      </bottom>
      <diagonal/>
    </border>
  </borders>
  <cellStyleXfs count="5">
    <xf numFmtId="0" fontId="0" fillId="0" borderId="0"/>
    <xf numFmtId="0" fontId="2" fillId="0" borderId="0"/>
    <xf numFmtId="0" fontId="3" fillId="0" borderId="0"/>
    <xf numFmtId="0" fontId="8" fillId="0" borderId="0"/>
    <xf numFmtId="43" fontId="2" fillId="0" borderId="0" applyFont="0" applyFill="0" applyBorder="0" applyAlignment="0" applyProtection="0"/>
  </cellStyleXfs>
  <cellXfs count="67">
    <xf numFmtId="0" fontId="0" fillId="0" borderId="0" xfId="0"/>
    <xf numFmtId="0" fontId="2" fillId="0" borderId="0" xfId="1"/>
    <xf numFmtId="0" fontId="4" fillId="0" borderId="1" xfId="2" applyFont="1" applyBorder="1" applyAlignment="1">
      <alignment horizontal="center" vertical="center"/>
    </xf>
    <xf numFmtId="0" fontId="4" fillId="2" borderId="2" xfId="2" applyFont="1" applyFill="1" applyBorder="1" applyAlignment="1">
      <alignment vertical="center" wrapText="1"/>
    </xf>
    <xf numFmtId="0" fontId="4" fillId="0" borderId="2" xfId="2" applyFont="1" applyBorder="1" applyAlignment="1">
      <alignment vertical="center" wrapText="1"/>
    </xf>
    <xf numFmtId="0" fontId="5" fillId="0" borderId="0" xfId="2" applyFont="1"/>
    <xf numFmtId="0" fontId="5" fillId="3" borderId="0" xfId="2" applyFont="1" applyFill="1"/>
    <xf numFmtId="0" fontId="6" fillId="3" borderId="0" xfId="2" applyFont="1" applyFill="1"/>
    <xf numFmtId="0" fontId="4" fillId="0" borderId="0" xfId="2" applyFont="1"/>
    <xf numFmtId="0" fontId="4" fillId="3" borderId="0" xfId="2" applyFont="1" applyFill="1"/>
    <xf numFmtId="0" fontId="3" fillId="0" borderId="0" xfId="2"/>
    <xf numFmtId="0" fontId="4" fillId="3" borderId="0" xfId="2" applyFont="1" applyFill="1" applyAlignment="1">
      <alignment horizontal="left"/>
    </xf>
    <xf numFmtId="0" fontId="5" fillId="3" borderId="0" xfId="2" applyFont="1" applyFill="1" applyAlignment="1">
      <alignment horizontal="left"/>
    </xf>
    <xf numFmtId="14" fontId="0" fillId="0" borderId="0" xfId="0" applyNumberFormat="1"/>
    <xf numFmtId="0" fontId="5" fillId="0" borderId="0" xfId="0" applyFont="1"/>
    <xf numFmtId="0" fontId="4" fillId="0" borderId="0" xfId="0" applyFont="1" applyAlignment="1">
      <alignment horizontal="left"/>
    </xf>
    <xf numFmtId="0" fontId="5" fillId="0" borderId="0" xfId="0" applyFont="1" applyAlignment="1">
      <alignment horizontal="left"/>
    </xf>
    <xf numFmtId="0" fontId="5" fillId="0" borderId="0" xfId="2" applyFont="1" applyAlignment="1">
      <alignment horizontal="left" vertical="center"/>
    </xf>
    <xf numFmtId="0" fontId="4" fillId="0" borderId="0" xfId="0" applyFont="1"/>
    <xf numFmtId="0" fontId="6" fillId="0" borderId="0" xfId="0" applyFont="1"/>
    <xf numFmtId="0" fontId="7" fillId="0" borderId="0" xfId="0" applyFont="1" applyAlignment="1">
      <alignment horizontal="left"/>
    </xf>
    <xf numFmtId="0" fontId="6" fillId="0" borderId="0" xfId="0" applyFont="1" applyAlignment="1">
      <alignment horizontal="left"/>
    </xf>
    <xf numFmtId="0" fontId="4" fillId="0" borderId="0" xfId="0" quotePrefix="1" applyFont="1" applyAlignment="1">
      <alignment horizontal="left"/>
    </xf>
    <xf numFmtId="0" fontId="5" fillId="0" borderId="0" xfId="0" applyFont="1" applyAlignment="1">
      <alignment horizontal="left" vertical="center"/>
    </xf>
    <xf numFmtId="0" fontId="6" fillId="0" borderId="0" xfId="0" applyFont="1" applyAlignment="1">
      <alignment horizontal="left" vertical="center"/>
    </xf>
    <xf numFmtId="0" fontId="9" fillId="4" borderId="0" xfId="3" applyFont="1" applyFill="1"/>
    <xf numFmtId="0" fontId="10" fillId="0" borderId="0" xfId="0" applyFont="1"/>
    <xf numFmtId="0" fontId="11" fillId="0" borderId="0" xfId="0" applyFont="1"/>
    <xf numFmtId="0" fontId="12" fillId="0" borderId="0" xfId="0" applyFont="1"/>
    <xf numFmtId="0" fontId="8" fillId="0" borderId="0" xfId="3"/>
    <xf numFmtId="0" fontId="8" fillId="0" borderId="0" xfId="3" quotePrefix="1"/>
    <xf numFmtId="0" fontId="13" fillId="0" borderId="0" xfId="3" applyFont="1"/>
    <xf numFmtId="0" fontId="2" fillId="0" borderId="0" xfId="0" applyFont="1"/>
    <xf numFmtId="0" fontId="14" fillId="0" borderId="0" xfId="3" applyFont="1"/>
    <xf numFmtId="0" fontId="8" fillId="0" borderId="0" xfId="0" applyFont="1"/>
    <xf numFmtId="0" fontId="16" fillId="0" borderId="0" xfId="0" applyFont="1"/>
    <xf numFmtId="0" fontId="17" fillId="0" borderId="0" xfId="0" applyFont="1"/>
    <xf numFmtId="0" fontId="17" fillId="0" borderId="0" xfId="1" applyFont="1"/>
    <xf numFmtId="0" fontId="16" fillId="0" borderId="4" xfId="0" applyFont="1" applyBorder="1"/>
    <xf numFmtId="0" fontId="15" fillId="0" borderId="3" xfId="0" applyFont="1" applyBorder="1"/>
    <xf numFmtId="0" fontId="15" fillId="0" borderId="4" xfId="0" applyFont="1" applyBorder="1"/>
    <xf numFmtId="0" fontId="19" fillId="0" borderId="0" xfId="0" applyFont="1"/>
    <xf numFmtId="14" fontId="12" fillId="0" borderId="0" xfId="0" applyNumberFormat="1" applyFont="1"/>
    <xf numFmtId="0" fontId="12" fillId="6" borderId="0" xfId="0" applyFont="1" applyFill="1"/>
    <xf numFmtId="0" fontId="12" fillId="5" borderId="0" xfId="0" applyFont="1" applyFill="1"/>
    <xf numFmtId="0" fontId="19" fillId="6" borderId="0" xfId="0" applyFont="1" applyFill="1"/>
    <xf numFmtId="0" fontId="20" fillId="0" borderId="0" xfId="1" applyFont="1" applyAlignment="1">
      <alignment wrapText="1"/>
    </xf>
    <xf numFmtId="0" fontId="21" fillId="0" borderId="0" xfId="0" applyFont="1" applyAlignment="1">
      <alignment wrapText="1"/>
    </xf>
    <xf numFmtId="0" fontId="22" fillId="0" borderId="0" xfId="0" applyFont="1" applyAlignment="1">
      <alignment wrapText="1"/>
    </xf>
    <xf numFmtId="0" fontId="12" fillId="7" borderId="0" xfId="0" applyFont="1" applyFill="1"/>
    <xf numFmtId="14" fontId="8" fillId="0" borderId="0" xfId="0" applyNumberFormat="1" applyFont="1"/>
    <xf numFmtId="0" fontId="8" fillId="0" borderId="0" xfId="1" applyFont="1"/>
    <xf numFmtId="0" fontId="12" fillId="0" borderId="0" xfId="1" applyFont="1"/>
    <xf numFmtId="0" fontId="18" fillId="5" borderId="0" xfId="1" applyFont="1" applyFill="1"/>
    <xf numFmtId="43" fontId="16" fillId="0" borderId="4" xfId="4" applyFont="1" applyBorder="1"/>
    <xf numFmtId="0" fontId="1" fillId="0" borderId="0" xfId="0" applyFont="1"/>
    <xf numFmtId="43" fontId="8" fillId="0" borderId="0" xfId="4" applyFont="1"/>
    <xf numFmtId="43" fontId="8" fillId="0" borderId="0" xfId="0" applyNumberFormat="1" applyFont="1"/>
    <xf numFmtId="43" fontId="8" fillId="0" borderId="5" xfId="0" applyNumberFormat="1" applyFont="1" applyBorder="1"/>
    <xf numFmtId="0" fontId="23" fillId="0" borderId="0" xfId="0" applyFont="1"/>
    <xf numFmtId="0" fontId="24" fillId="0" borderId="0" xfId="0" applyFont="1" applyAlignment="1">
      <alignment wrapText="1"/>
    </xf>
    <xf numFmtId="0" fontId="1" fillId="6" borderId="0" xfId="0" applyFont="1" applyFill="1"/>
    <xf numFmtId="0" fontId="12" fillId="4" borderId="0" xfId="0" applyFont="1" applyFill="1"/>
    <xf numFmtId="0" fontId="19" fillId="4" borderId="0" xfId="0" applyFont="1" applyFill="1"/>
    <xf numFmtId="14" fontId="12" fillId="4" borderId="0" xfId="0" applyNumberFormat="1" applyFont="1" applyFill="1"/>
    <xf numFmtId="0" fontId="1" fillId="4" borderId="0" xfId="0" applyFont="1" applyFill="1"/>
    <xf numFmtId="0" fontId="1" fillId="7" borderId="0" xfId="0" applyFont="1" applyFill="1"/>
  </cellXfs>
  <cellStyles count="5">
    <cellStyle name="Comma" xfId="4" builtinId="3"/>
    <cellStyle name="Normal" xfId="0" builtinId="0"/>
    <cellStyle name="Normal 2" xfId="2" xr:uid="{19B87539-4137-4001-928C-01DDEC1EECD8}"/>
    <cellStyle name="Normal 3" xfId="1" xr:uid="{A70A8187-3391-4667-B7CB-FE3CD58247B1}"/>
    <cellStyle name="Normal 4" xfId="3" xr:uid="{94A0139F-7BF1-4959-A9CC-A61B2BB94E7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00.%20AmEx%20Load%20for%20Macro/Batch%20%23%201%20-%20$119,802.46%20&#8211;%20Ready%20to%20Scrub.xlsm" TargetMode="External"/><Relationship Id="rId2" Type="http://schemas.openxmlformats.org/officeDocument/2006/relationships/externalLinkPath" Target="file:///F:\Finance%20Only\AEA%20AP\2026\AmEx\AmEx%20Loads\00.%20AmEx%20Load%20for%20Macro\Batch%20%23%201%20-%20$119,802.46%20&#8211;%20Ready%20to%20Scrub.xlsm" TargetMode="External"/><Relationship Id="rId1" Type="http://schemas.openxmlformats.org/officeDocument/2006/relationships/externalLinkPath" Target="/Finance%20Only/AEA%20AP/2026/AmEx/AmEx%20Loads/00.%20AmEx%20Load%20for%20Macro/Batch%20%23%201%20-%20$119,802.46%20&#8211;%20Ready%20to%20Scru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mployee List"/>
      <sheetName val="Vendor List"/>
      <sheetName val="AmEx Load Raw"/>
      <sheetName val="AmEx All"/>
      <sheetName val="SBF"/>
      <sheetName val="AEA"/>
      <sheetName val="DEBT"/>
    </sheetNames>
    <sheetDataSet>
      <sheetData sheetId="0"/>
      <sheetData sheetId="1"/>
      <sheetData sheetId="2"/>
      <sheetData sheetId="3">
        <row r="560">
          <cell r="G560">
            <v>119802.45999999996</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2EBE3-D460-4DEF-8017-5695A4750742}">
  <sheetPr codeName="Sheet2"/>
  <dimension ref="A1:D221"/>
  <sheetViews>
    <sheetView defaultGridColor="0" colorId="44" zoomScale="90" zoomScaleNormal="90" workbookViewId="0">
      <pane xSplit="1" ySplit="1" topLeftCell="B131" activePane="bottomRight" state="frozen"/>
      <selection pane="topRight" activeCell="D1" sqref="D1"/>
      <selection pane="bottomLeft" activeCell="B6" sqref="B6"/>
      <selection pane="bottomRight" activeCell="D144" sqref="D144"/>
    </sheetView>
  </sheetViews>
  <sheetFormatPr defaultColWidth="3.28515625" defaultRowHeight="12" x14ac:dyDescent="0.2"/>
  <cols>
    <col min="1" max="1" width="39.140625" style="5" bestFit="1" customWidth="1"/>
    <col min="2" max="2" width="18.42578125" style="11" customWidth="1"/>
    <col min="3" max="4" width="18.42578125" style="12" customWidth="1"/>
    <col min="5" max="16384" width="3.28515625" style="6"/>
  </cols>
  <sheetData>
    <row r="1" spans="1:4" s="5" customFormat="1" ht="29.25" customHeight="1" thickBot="1" x14ac:dyDescent="0.25">
      <c r="A1" s="2" t="s">
        <v>259</v>
      </c>
      <c r="B1" s="3" t="s">
        <v>260</v>
      </c>
      <c r="C1" s="4" t="s">
        <v>261</v>
      </c>
      <c r="D1" s="4" t="s">
        <v>262</v>
      </c>
    </row>
    <row r="2" spans="1:4" x14ac:dyDescent="0.2">
      <c r="A2" s="14" t="s">
        <v>266</v>
      </c>
      <c r="B2" s="15" t="s">
        <v>267</v>
      </c>
      <c r="C2" s="16">
        <v>1055</v>
      </c>
      <c r="D2" s="17" t="s">
        <v>265</v>
      </c>
    </row>
    <row r="3" spans="1:4" x14ac:dyDescent="0.2">
      <c r="A3" s="18" t="s">
        <v>274</v>
      </c>
      <c r="B3" s="15" t="s">
        <v>275</v>
      </c>
      <c r="C3" s="16">
        <v>4001</v>
      </c>
      <c r="D3" s="17" t="s">
        <v>265</v>
      </c>
    </row>
    <row r="4" spans="1:4" x14ac:dyDescent="0.2">
      <c r="A4" s="19" t="s">
        <v>514</v>
      </c>
      <c r="B4" s="20" t="s">
        <v>515</v>
      </c>
      <c r="C4" s="21">
        <v>6001</v>
      </c>
      <c r="D4" s="17" t="s">
        <v>265</v>
      </c>
    </row>
    <row r="5" spans="1:4" x14ac:dyDescent="0.2">
      <c r="A5" s="18" t="s">
        <v>516</v>
      </c>
      <c r="B5" s="15" t="s">
        <v>31</v>
      </c>
      <c r="C5" s="16">
        <v>6001</v>
      </c>
      <c r="D5" s="17" t="s">
        <v>265</v>
      </c>
    </row>
    <row r="6" spans="1:4" x14ac:dyDescent="0.2">
      <c r="A6" s="14" t="s">
        <v>517</v>
      </c>
      <c r="B6" s="15" t="s">
        <v>518</v>
      </c>
      <c r="C6" s="16">
        <v>6001</v>
      </c>
      <c r="D6" s="17" t="s">
        <v>265</v>
      </c>
    </row>
    <row r="7" spans="1:4" x14ac:dyDescent="0.2">
      <c r="A7" s="14" t="s">
        <v>394</v>
      </c>
      <c r="B7" s="15" t="s">
        <v>395</v>
      </c>
      <c r="C7" s="16">
        <v>1001</v>
      </c>
      <c r="D7" s="17" t="s">
        <v>265</v>
      </c>
    </row>
    <row r="8" spans="1:4" x14ac:dyDescent="0.2">
      <c r="A8" s="14" t="s">
        <v>432</v>
      </c>
      <c r="B8" s="15" t="s">
        <v>433</v>
      </c>
      <c r="C8" s="16">
        <v>1001</v>
      </c>
      <c r="D8" s="17" t="s">
        <v>265</v>
      </c>
    </row>
    <row r="9" spans="1:4" x14ac:dyDescent="0.2">
      <c r="A9" s="18" t="s">
        <v>1266</v>
      </c>
      <c r="B9" s="15" t="s">
        <v>1267</v>
      </c>
      <c r="C9" s="16">
        <v>6001</v>
      </c>
      <c r="D9" s="17" t="s">
        <v>265</v>
      </c>
    </row>
    <row r="10" spans="1:4" x14ac:dyDescent="0.2">
      <c r="A10" s="14" t="s">
        <v>519</v>
      </c>
      <c r="B10" s="15" t="s">
        <v>520</v>
      </c>
      <c r="C10" s="16">
        <v>6001</v>
      </c>
      <c r="D10" s="17" t="s">
        <v>265</v>
      </c>
    </row>
    <row r="11" spans="1:4" x14ac:dyDescent="0.2">
      <c r="A11" s="18" t="s">
        <v>1268</v>
      </c>
      <c r="B11" s="15" t="s">
        <v>1269</v>
      </c>
      <c r="C11" s="16">
        <v>1001</v>
      </c>
      <c r="D11" s="17" t="s">
        <v>265</v>
      </c>
    </row>
    <row r="12" spans="1:4" x14ac:dyDescent="0.2">
      <c r="A12" s="14" t="s">
        <v>410</v>
      </c>
      <c r="B12" s="15" t="s">
        <v>411</v>
      </c>
      <c r="C12" s="16">
        <v>1001</v>
      </c>
      <c r="D12" s="17" t="s">
        <v>265</v>
      </c>
    </row>
    <row r="13" spans="1:4" x14ac:dyDescent="0.2">
      <c r="A13" s="18" t="s">
        <v>454</v>
      </c>
      <c r="B13" s="15" t="s">
        <v>455</v>
      </c>
      <c r="C13" s="16">
        <v>1001</v>
      </c>
      <c r="D13" s="17" t="s">
        <v>265</v>
      </c>
    </row>
    <row r="14" spans="1:4" ht="11.25" customHeight="1" x14ac:dyDescent="0.2">
      <c r="A14" s="14" t="s">
        <v>276</v>
      </c>
      <c r="B14" s="15" t="s">
        <v>277</v>
      </c>
      <c r="C14" s="16">
        <v>4001</v>
      </c>
      <c r="D14" s="17" t="s">
        <v>265</v>
      </c>
    </row>
    <row r="15" spans="1:4" x14ac:dyDescent="0.2">
      <c r="A15" s="14" t="s">
        <v>278</v>
      </c>
      <c r="B15" s="15" t="s">
        <v>279</v>
      </c>
      <c r="C15" s="16">
        <v>4001</v>
      </c>
      <c r="D15" s="17" t="s">
        <v>265</v>
      </c>
    </row>
    <row r="16" spans="1:4" s="7" customFormat="1" x14ac:dyDescent="0.2">
      <c r="A16" s="14" t="s">
        <v>444</v>
      </c>
      <c r="B16" s="15" t="s">
        <v>445</v>
      </c>
      <c r="C16" s="16">
        <v>1001</v>
      </c>
      <c r="D16" s="17" t="s">
        <v>265</v>
      </c>
    </row>
    <row r="17" spans="1:4" x14ac:dyDescent="0.2">
      <c r="A17" s="19" t="s">
        <v>280</v>
      </c>
      <c r="B17" s="20" t="s">
        <v>281</v>
      </c>
      <c r="C17" s="21">
        <v>4001</v>
      </c>
      <c r="D17" s="17" t="s">
        <v>265</v>
      </c>
    </row>
    <row r="18" spans="1:4" ht="11.25" customHeight="1" x14ac:dyDescent="0.2">
      <c r="A18" s="14" t="s">
        <v>282</v>
      </c>
      <c r="B18" s="15" t="s">
        <v>283</v>
      </c>
      <c r="C18" s="16">
        <v>4001</v>
      </c>
      <c r="D18" s="17" t="s">
        <v>265</v>
      </c>
    </row>
    <row r="19" spans="1:4" x14ac:dyDescent="0.2">
      <c r="A19" s="14" t="s">
        <v>521</v>
      </c>
      <c r="B19" s="15" t="s">
        <v>522</v>
      </c>
      <c r="C19" s="16">
        <v>6001</v>
      </c>
      <c r="D19" s="17" t="s">
        <v>265</v>
      </c>
    </row>
    <row r="20" spans="1:4" ht="11.25" customHeight="1" x14ac:dyDescent="0.2">
      <c r="A20" s="14" t="s">
        <v>1183</v>
      </c>
      <c r="B20" s="15" t="s">
        <v>1184</v>
      </c>
      <c r="C20" s="16">
        <v>1010</v>
      </c>
      <c r="D20" s="17" t="s">
        <v>265</v>
      </c>
    </row>
    <row r="21" spans="1:4" x14ac:dyDescent="0.2">
      <c r="A21" s="14" t="s">
        <v>523</v>
      </c>
      <c r="B21" s="15" t="s">
        <v>524</v>
      </c>
      <c r="C21" s="16">
        <v>6001</v>
      </c>
      <c r="D21" s="17" t="s">
        <v>265</v>
      </c>
    </row>
    <row r="22" spans="1:4" x14ac:dyDescent="0.2">
      <c r="A22" s="19" t="s">
        <v>396</v>
      </c>
      <c r="B22" s="20" t="s">
        <v>397</v>
      </c>
      <c r="C22" s="21">
        <v>1001</v>
      </c>
      <c r="D22" s="17" t="s">
        <v>265</v>
      </c>
    </row>
    <row r="23" spans="1:4" x14ac:dyDescent="0.2">
      <c r="A23" s="14" t="s">
        <v>434</v>
      </c>
      <c r="B23" s="15" t="s">
        <v>435</v>
      </c>
      <c r="C23" s="16">
        <v>1001</v>
      </c>
      <c r="D23" s="17" t="s">
        <v>265</v>
      </c>
    </row>
    <row r="24" spans="1:4" x14ac:dyDescent="0.2">
      <c r="A24" s="14" t="s">
        <v>263</v>
      </c>
      <c r="B24" s="15" t="s">
        <v>264</v>
      </c>
      <c r="C24" s="16">
        <v>1001</v>
      </c>
      <c r="D24" s="17" t="s">
        <v>265</v>
      </c>
    </row>
    <row r="25" spans="1:4" x14ac:dyDescent="0.2">
      <c r="A25" s="14" t="s">
        <v>525</v>
      </c>
      <c r="B25" s="15" t="s">
        <v>526</v>
      </c>
      <c r="C25" s="16">
        <v>6001</v>
      </c>
      <c r="D25" s="17" t="s">
        <v>265</v>
      </c>
    </row>
    <row r="26" spans="1:4" x14ac:dyDescent="0.2">
      <c r="A26" s="14" t="s">
        <v>527</v>
      </c>
      <c r="B26" s="15" t="s">
        <v>528</v>
      </c>
      <c r="C26" s="16">
        <v>6001</v>
      </c>
      <c r="D26" s="17" t="s">
        <v>265</v>
      </c>
    </row>
    <row r="27" spans="1:4" x14ac:dyDescent="0.2">
      <c r="A27" s="14" t="s">
        <v>529</v>
      </c>
      <c r="B27" s="15" t="s">
        <v>530</v>
      </c>
      <c r="C27" s="16">
        <v>6001</v>
      </c>
      <c r="D27" s="17" t="s">
        <v>265</v>
      </c>
    </row>
    <row r="28" spans="1:4" ht="11.25" customHeight="1" x14ac:dyDescent="0.2">
      <c r="A28" s="14" t="s">
        <v>531</v>
      </c>
      <c r="B28" s="15" t="s">
        <v>532</v>
      </c>
      <c r="C28" s="16">
        <v>6001</v>
      </c>
      <c r="D28" s="17" t="s">
        <v>265</v>
      </c>
    </row>
    <row r="29" spans="1:4" x14ac:dyDescent="0.2">
      <c r="A29" s="14" t="s">
        <v>456</v>
      </c>
      <c r="B29" s="15" t="s">
        <v>457</v>
      </c>
      <c r="C29" s="16">
        <v>1001</v>
      </c>
      <c r="D29" s="17" t="s">
        <v>265</v>
      </c>
    </row>
    <row r="30" spans="1:4" x14ac:dyDescent="0.2">
      <c r="A30" s="14" t="s">
        <v>412</v>
      </c>
      <c r="B30" s="15" t="s">
        <v>413</v>
      </c>
      <c r="C30" s="16">
        <v>1001</v>
      </c>
      <c r="D30" s="17" t="s">
        <v>265</v>
      </c>
    </row>
    <row r="31" spans="1:4" x14ac:dyDescent="0.2">
      <c r="A31" s="18" t="s">
        <v>533</v>
      </c>
      <c r="B31" s="15" t="s">
        <v>180</v>
      </c>
      <c r="C31" s="16">
        <v>6001</v>
      </c>
      <c r="D31" s="17" t="s">
        <v>265</v>
      </c>
    </row>
    <row r="32" spans="1:4" x14ac:dyDescent="0.2">
      <c r="A32" s="14" t="s">
        <v>284</v>
      </c>
      <c r="B32" s="15" t="s">
        <v>285</v>
      </c>
      <c r="C32" s="16">
        <v>4001</v>
      </c>
      <c r="D32" s="17" t="s">
        <v>265</v>
      </c>
    </row>
    <row r="33" spans="1:4" x14ac:dyDescent="0.2">
      <c r="A33" s="14" t="s">
        <v>534</v>
      </c>
      <c r="B33" s="15" t="s">
        <v>198</v>
      </c>
      <c r="C33" s="16">
        <v>6001</v>
      </c>
      <c r="D33" s="17" t="s">
        <v>265</v>
      </c>
    </row>
    <row r="34" spans="1:4" x14ac:dyDescent="0.2">
      <c r="A34" s="14" t="s">
        <v>535</v>
      </c>
      <c r="B34" s="15" t="s">
        <v>156</v>
      </c>
      <c r="C34" s="16">
        <v>6006</v>
      </c>
      <c r="D34" s="17" t="s">
        <v>265</v>
      </c>
    </row>
    <row r="35" spans="1:4" s="7" customFormat="1" x14ac:dyDescent="0.2">
      <c r="A35" s="14" t="s">
        <v>366</v>
      </c>
      <c r="B35" s="15" t="s">
        <v>367</v>
      </c>
      <c r="C35" s="16">
        <v>1001</v>
      </c>
      <c r="D35" s="17" t="s">
        <v>265</v>
      </c>
    </row>
    <row r="36" spans="1:4" x14ac:dyDescent="0.2">
      <c r="A36" s="14" t="s">
        <v>414</v>
      </c>
      <c r="B36" s="15" t="s">
        <v>415</v>
      </c>
      <c r="C36" s="16">
        <v>1001</v>
      </c>
      <c r="D36" s="17" t="s">
        <v>265</v>
      </c>
    </row>
    <row r="37" spans="1:4" x14ac:dyDescent="0.2">
      <c r="A37" s="14" t="s">
        <v>286</v>
      </c>
      <c r="B37" s="15" t="s">
        <v>287</v>
      </c>
      <c r="C37" s="16">
        <v>4001</v>
      </c>
      <c r="D37" s="17" t="s">
        <v>265</v>
      </c>
    </row>
    <row r="38" spans="1:4" s="5" customFormat="1" x14ac:dyDescent="0.2">
      <c r="A38" s="18" t="s">
        <v>436</v>
      </c>
      <c r="B38" s="15" t="s">
        <v>437</v>
      </c>
      <c r="C38" s="16">
        <v>1001</v>
      </c>
      <c r="D38" s="17" t="s">
        <v>265</v>
      </c>
    </row>
    <row r="39" spans="1:4" s="8" customFormat="1" x14ac:dyDescent="0.2">
      <c r="A39" s="14" t="s">
        <v>536</v>
      </c>
      <c r="B39" s="15" t="s">
        <v>537</v>
      </c>
      <c r="C39" s="16">
        <v>6001</v>
      </c>
      <c r="D39" s="17" t="s">
        <v>265</v>
      </c>
    </row>
    <row r="40" spans="1:4" x14ac:dyDescent="0.2">
      <c r="A40" s="14" t="s">
        <v>438</v>
      </c>
      <c r="B40" s="15" t="s">
        <v>439</v>
      </c>
      <c r="C40" s="16">
        <v>1001</v>
      </c>
      <c r="D40" s="17" t="s">
        <v>265</v>
      </c>
    </row>
    <row r="41" spans="1:4" x14ac:dyDescent="0.2">
      <c r="A41" s="18" t="s">
        <v>368</v>
      </c>
      <c r="B41" s="15" t="s">
        <v>369</v>
      </c>
      <c r="C41" s="16">
        <v>1001</v>
      </c>
      <c r="D41" s="17" t="s">
        <v>265</v>
      </c>
    </row>
    <row r="42" spans="1:4" x14ac:dyDescent="0.2">
      <c r="A42" s="14" t="s">
        <v>1185</v>
      </c>
      <c r="B42" s="15" t="s">
        <v>59</v>
      </c>
      <c r="C42" s="16">
        <v>1010</v>
      </c>
      <c r="D42" s="17" t="s">
        <v>265</v>
      </c>
    </row>
    <row r="43" spans="1:4" x14ac:dyDescent="0.2">
      <c r="A43" s="14" t="s">
        <v>538</v>
      </c>
      <c r="B43" s="15" t="s">
        <v>539</v>
      </c>
      <c r="C43" s="16">
        <v>6001</v>
      </c>
      <c r="D43" s="17" t="s">
        <v>265</v>
      </c>
    </row>
    <row r="44" spans="1:4" x14ac:dyDescent="0.2">
      <c r="A44" s="14" t="s">
        <v>288</v>
      </c>
      <c r="B44" s="15" t="s">
        <v>289</v>
      </c>
      <c r="C44" s="16">
        <v>4001</v>
      </c>
      <c r="D44" s="17" t="s">
        <v>265</v>
      </c>
    </row>
    <row r="45" spans="1:4" x14ac:dyDescent="0.2">
      <c r="A45" s="14" t="s">
        <v>398</v>
      </c>
      <c r="B45" s="15" t="s">
        <v>399</v>
      </c>
      <c r="C45" s="16">
        <v>1001</v>
      </c>
      <c r="D45" s="17" t="s">
        <v>265</v>
      </c>
    </row>
    <row r="46" spans="1:4" x14ac:dyDescent="0.2">
      <c r="A46" s="14" t="s">
        <v>540</v>
      </c>
      <c r="B46" s="15" t="s">
        <v>541</v>
      </c>
      <c r="C46" s="16">
        <v>6001</v>
      </c>
      <c r="D46" s="17" t="s">
        <v>265</v>
      </c>
    </row>
    <row r="47" spans="1:4" x14ac:dyDescent="0.2">
      <c r="A47" s="18" t="s">
        <v>1270</v>
      </c>
      <c r="B47" s="15" t="s">
        <v>1226</v>
      </c>
      <c r="C47" s="16">
        <v>6001</v>
      </c>
      <c r="D47" s="17" t="s">
        <v>265</v>
      </c>
    </row>
    <row r="48" spans="1:4" x14ac:dyDescent="0.2">
      <c r="A48" s="14" t="s">
        <v>416</v>
      </c>
      <c r="B48" s="15" t="s">
        <v>417</v>
      </c>
      <c r="C48" s="16">
        <v>1001</v>
      </c>
      <c r="D48" s="17" t="s">
        <v>265</v>
      </c>
    </row>
    <row r="49" spans="1:4" x14ac:dyDescent="0.2">
      <c r="A49" s="18" t="s">
        <v>290</v>
      </c>
      <c r="B49" s="15" t="s">
        <v>291</v>
      </c>
      <c r="C49" s="16">
        <v>4001</v>
      </c>
      <c r="D49" s="17" t="s">
        <v>265</v>
      </c>
    </row>
    <row r="50" spans="1:4" s="9" customFormat="1" x14ac:dyDescent="0.2">
      <c r="A50" s="18" t="s">
        <v>292</v>
      </c>
      <c r="B50" s="15" t="s">
        <v>293</v>
      </c>
      <c r="C50" s="16">
        <v>4001</v>
      </c>
      <c r="D50" s="17" t="s">
        <v>265</v>
      </c>
    </row>
    <row r="51" spans="1:4" x14ac:dyDescent="0.2">
      <c r="A51" s="14" t="s">
        <v>268</v>
      </c>
      <c r="B51" s="15" t="s">
        <v>269</v>
      </c>
      <c r="C51" s="16">
        <v>1055</v>
      </c>
      <c r="D51" s="17" t="s">
        <v>265</v>
      </c>
    </row>
    <row r="52" spans="1:4" x14ac:dyDescent="0.2">
      <c r="A52" s="14" t="s">
        <v>542</v>
      </c>
      <c r="B52" s="15" t="s">
        <v>543</v>
      </c>
      <c r="C52" s="16">
        <v>6001</v>
      </c>
      <c r="D52" s="17" t="s">
        <v>265</v>
      </c>
    </row>
    <row r="53" spans="1:4" x14ac:dyDescent="0.2">
      <c r="A53" s="14" t="s">
        <v>294</v>
      </c>
      <c r="B53" s="15" t="s">
        <v>295</v>
      </c>
      <c r="C53" s="16">
        <v>4001</v>
      </c>
      <c r="D53" s="17" t="s">
        <v>265</v>
      </c>
    </row>
    <row r="54" spans="1:4" x14ac:dyDescent="0.2">
      <c r="A54" s="14" t="s">
        <v>458</v>
      </c>
      <c r="B54" s="15" t="s">
        <v>67</v>
      </c>
      <c r="C54" s="16">
        <v>1001</v>
      </c>
      <c r="D54" s="17" t="s">
        <v>265</v>
      </c>
    </row>
    <row r="55" spans="1:4" x14ac:dyDescent="0.2">
      <c r="A55" s="18" t="s">
        <v>544</v>
      </c>
      <c r="B55" s="15" t="s">
        <v>545</v>
      </c>
      <c r="C55" s="16">
        <v>6001</v>
      </c>
      <c r="D55" s="17" t="s">
        <v>265</v>
      </c>
    </row>
    <row r="56" spans="1:4" x14ac:dyDescent="0.2">
      <c r="A56" s="14" t="s">
        <v>546</v>
      </c>
      <c r="B56" s="15" t="s">
        <v>547</v>
      </c>
      <c r="C56" s="16">
        <v>6001</v>
      </c>
      <c r="D56" s="17" t="s">
        <v>265</v>
      </c>
    </row>
    <row r="57" spans="1:4" x14ac:dyDescent="0.2">
      <c r="A57" s="14" t="s">
        <v>446</v>
      </c>
      <c r="B57" s="15" t="s">
        <v>447</v>
      </c>
      <c r="C57" s="16">
        <v>1001</v>
      </c>
      <c r="D57" s="17" t="s">
        <v>265</v>
      </c>
    </row>
    <row r="58" spans="1:4" x14ac:dyDescent="0.2">
      <c r="A58" s="14" t="s">
        <v>548</v>
      </c>
      <c r="B58" s="15" t="s">
        <v>48</v>
      </c>
      <c r="C58" s="16">
        <v>6001</v>
      </c>
      <c r="D58" s="17" t="s">
        <v>265</v>
      </c>
    </row>
    <row r="59" spans="1:4" x14ac:dyDescent="0.2">
      <c r="A59" s="18" t="s">
        <v>440</v>
      </c>
      <c r="B59" s="15" t="s">
        <v>441</v>
      </c>
      <c r="C59" s="16">
        <v>1001</v>
      </c>
      <c r="D59" s="17" t="s">
        <v>265</v>
      </c>
    </row>
    <row r="60" spans="1:4" x14ac:dyDescent="0.2">
      <c r="A60" s="14" t="s">
        <v>549</v>
      </c>
      <c r="B60" s="15" t="s">
        <v>550</v>
      </c>
      <c r="C60" s="16">
        <v>6001</v>
      </c>
      <c r="D60" s="17" t="s">
        <v>265</v>
      </c>
    </row>
    <row r="61" spans="1:4" x14ac:dyDescent="0.2">
      <c r="A61" s="14" t="s">
        <v>551</v>
      </c>
      <c r="B61" s="15" t="s">
        <v>209</v>
      </c>
      <c r="C61" s="16">
        <v>6001</v>
      </c>
      <c r="D61" s="17" t="s">
        <v>265</v>
      </c>
    </row>
    <row r="62" spans="1:4" x14ac:dyDescent="0.2">
      <c r="A62" s="14" t="s">
        <v>459</v>
      </c>
      <c r="B62" s="15" t="s">
        <v>460</v>
      </c>
      <c r="C62" s="16">
        <v>1001</v>
      </c>
      <c r="D62" s="17" t="s">
        <v>265</v>
      </c>
    </row>
    <row r="63" spans="1:4" x14ac:dyDescent="0.2">
      <c r="A63" s="18" t="s">
        <v>400</v>
      </c>
      <c r="B63" s="15" t="s">
        <v>401</v>
      </c>
      <c r="C63" s="16">
        <v>1001</v>
      </c>
      <c r="D63" s="17" t="s">
        <v>265</v>
      </c>
    </row>
    <row r="64" spans="1:4" x14ac:dyDescent="0.2">
      <c r="A64" s="14" t="s">
        <v>296</v>
      </c>
      <c r="B64" s="15" t="s">
        <v>297</v>
      </c>
      <c r="C64" s="16">
        <v>4001</v>
      </c>
      <c r="D64" s="17" t="s">
        <v>265</v>
      </c>
    </row>
    <row r="65" spans="1:4" x14ac:dyDescent="0.2">
      <c r="A65" s="14" t="s">
        <v>418</v>
      </c>
      <c r="B65" s="15" t="s">
        <v>419</v>
      </c>
      <c r="C65" s="16">
        <v>1001</v>
      </c>
      <c r="D65" s="17" t="s">
        <v>265</v>
      </c>
    </row>
    <row r="66" spans="1:4" x14ac:dyDescent="0.2">
      <c r="A66" s="14" t="s">
        <v>552</v>
      </c>
      <c r="B66" s="15" t="s">
        <v>553</v>
      </c>
      <c r="C66" s="16">
        <v>6001</v>
      </c>
      <c r="D66" s="17" t="s">
        <v>265</v>
      </c>
    </row>
    <row r="67" spans="1:4" x14ac:dyDescent="0.2">
      <c r="A67" s="14" t="s">
        <v>358</v>
      </c>
      <c r="B67" s="15" t="s">
        <v>359</v>
      </c>
      <c r="C67" s="16">
        <v>1001</v>
      </c>
      <c r="D67" s="17" t="s">
        <v>265</v>
      </c>
    </row>
    <row r="68" spans="1:4" x14ac:dyDescent="0.2">
      <c r="A68" s="14" t="s">
        <v>554</v>
      </c>
      <c r="B68" s="15" t="s">
        <v>555</v>
      </c>
      <c r="C68" s="16">
        <v>6001</v>
      </c>
      <c r="D68" s="17" t="s">
        <v>265</v>
      </c>
    </row>
    <row r="69" spans="1:4" x14ac:dyDescent="0.2">
      <c r="A69" s="14" t="s">
        <v>556</v>
      </c>
      <c r="B69" s="15" t="s">
        <v>557</v>
      </c>
      <c r="C69" s="16">
        <v>6001</v>
      </c>
      <c r="D69" s="17" t="s">
        <v>265</v>
      </c>
    </row>
    <row r="70" spans="1:4" x14ac:dyDescent="0.2">
      <c r="A70" s="14" t="s">
        <v>360</v>
      </c>
      <c r="B70" s="15" t="s">
        <v>361</v>
      </c>
      <c r="C70" s="16">
        <v>1001</v>
      </c>
      <c r="D70" s="17" t="s">
        <v>265</v>
      </c>
    </row>
    <row r="71" spans="1:4" x14ac:dyDescent="0.2">
      <c r="A71" s="14" t="s">
        <v>448</v>
      </c>
      <c r="B71" s="15" t="s">
        <v>449</v>
      </c>
      <c r="C71" s="16">
        <v>1001</v>
      </c>
      <c r="D71" s="17" t="s">
        <v>265</v>
      </c>
    </row>
    <row r="72" spans="1:4" x14ac:dyDescent="0.2">
      <c r="A72" s="14" t="s">
        <v>420</v>
      </c>
      <c r="B72" s="15" t="s">
        <v>421</v>
      </c>
      <c r="C72" s="16">
        <v>1001</v>
      </c>
      <c r="D72" s="17" t="s">
        <v>265</v>
      </c>
    </row>
    <row r="73" spans="1:4" x14ac:dyDescent="0.2">
      <c r="A73" s="14" t="s">
        <v>558</v>
      </c>
      <c r="B73" s="15" t="s">
        <v>559</v>
      </c>
      <c r="C73" s="16">
        <v>6001</v>
      </c>
      <c r="D73" s="17" t="s">
        <v>265</v>
      </c>
    </row>
    <row r="74" spans="1:4" x14ac:dyDescent="0.2">
      <c r="A74" s="14" t="s">
        <v>298</v>
      </c>
      <c r="B74" s="15" t="s">
        <v>299</v>
      </c>
      <c r="C74" s="16">
        <v>4001</v>
      </c>
      <c r="D74" s="17" t="s">
        <v>265</v>
      </c>
    </row>
    <row r="75" spans="1:4" x14ac:dyDescent="0.2">
      <c r="A75" s="14" t="s">
        <v>560</v>
      </c>
      <c r="B75" s="15" t="s">
        <v>94</v>
      </c>
      <c r="C75" s="16">
        <v>6001</v>
      </c>
      <c r="D75" s="17" t="s">
        <v>265</v>
      </c>
    </row>
    <row r="76" spans="1:4" x14ac:dyDescent="0.2">
      <c r="A76" s="18" t="s">
        <v>422</v>
      </c>
      <c r="B76" s="15" t="s">
        <v>423</v>
      </c>
      <c r="C76" s="16">
        <v>1001</v>
      </c>
      <c r="D76" s="17" t="s">
        <v>265</v>
      </c>
    </row>
    <row r="77" spans="1:4" x14ac:dyDescent="0.2">
      <c r="A77" s="18" t="s">
        <v>1271</v>
      </c>
      <c r="B77" s="15" t="s">
        <v>1272</v>
      </c>
      <c r="C77" s="16">
        <v>4001</v>
      </c>
      <c r="D77" s="17" t="s">
        <v>265</v>
      </c>
    </row>
    <row r="78" spans="1:4" x14ac:dyDescent="0.2">
      <c r="A78" s="14" t="s">
        <v>450</v>
      </c>
      <c r="B78" s="15" t="s">
        <v>451</v>
      </c>
      <c r="C78" s="16">
        <v>1001</v>
      </c>
      <c r="D78" s="17" t="s">
        <v>265</v>
      </c>
    </row>
    <row r="79" spans="1:4" x14ac:dyDescent="0.2">
      <c r="A79" s="14" t="s">
        <v>561</v>
      </c>
      <c r="B79" s="15" t="s">
        <v>562</v>
      </c>
      <c r="C79" s="16">
        <v>6001</v>
      </c>
      <c r="D79" s="17" t="s">
        <v>265</v>
      </c>
    </row>
    <row r="80" spans="1:4" x14ac:dyDescent="0.2">
      <c r="A80" s="14" t="s">
        <v>370</v>
      </c>
      <c r="B80" s="15" t="s">
        <v>371</v>
      </c>
      <c r="C80" s="16">
        <v>1001</v>
      </c>
      <c r="D80" s="17" t="s">
        <v>265</v>
      </c>
    </row>
    <row r="81" spans="1:4" x14ac:dyDescent="0.2">
      <c r="A81" s="19" t="s">
        <v>402</v>
      </c>
      <c r="B81" s="20" t="s">
        <v>403</v>
      </c>
      <c r="C81" s="21">
        <v>1001</v>
      </c>
      <c r="D81" s="17" t="s">
        <v>265</v>
      </c>
    </row>
    <row r="82" spans="1:4" x14ac:dyDescent="0.2">
      <c r="A82" s="18" t="s">
        <v>1273</v>
      </c>
      <c r="B82" s="15" t="s">
        <v>1274</v>
      </c>
      <c r="C82" s="16">
        <v>1001</v>
      </c>
      <c r="D82" s="17" t="s">
        <v>265</v>
      </c>
    </row>
    <row r="83" spans="1:4" x14ac:dyDescent="0.2">
      <c r="A83" s="14" t="s">
        <v>300</v>
      </c>
      <c r="B83" s="22" t="s">
        <v>301</v>
      </c>
      <c r="C83" s="16">
        <v>4001</v>
      </c>
      <c r="D83" s="17" t="s">
        <v>265</v>
      </c>
    </row>
    <row r="84" spans="1:4" x14ac:dyDescent="0.2">
      <c r="A84" s="14" t="s">
        <v>563</v>
      </c>
      <c r="B84" s="22" t="s">
        <v>114</v>
      </c>
      <c r="C84" s="16">
        <v>6001</v>
      </c>
      <c r="D84" s="17" t="s">
        <v>265</v>
      </c>
    </row>
    <row r="85" spans="1:4" x14ac:dyDescent="0.2">
      <c r="A85" s="14" t="s">
        <v>302</v>
      </c>
      <c r="B85" s="15" t="s">
        <v>303</v>
      </c>
      <c r="C85" s="16">
        <v>4001</v>
      </c>
      <c r="D85" s="17" t="s">
        <v>265</v>
      </c>
    </row>
    <row r="86" spans="1:4" x14ac:dyDescent="0.2">
      <c r="A86" s="18" t="s">
        <v>404</v>
      </c>
      <c r="B86" s="15" t="s">
        <v>405</v>
      </c>
      <c r="C86" s="16">
        <v>1001</v>
      </c>
      <c r="D86" s="17" t="s">
        <v>265</v>
      </c>
    </row>
    <row r="87" spans="1:4" x14ac:dyDescent="0.2">
      <c r="A87" s="14" t="s">
        <v>564</v>
      </c>
      <c r="B87" s="15" t="s">
        <v>565</v>
      </c>
      <c r="C87" s="16">
        <v>6001</v>
      </c>
      <c r="D87" s="17" t="s">
        <v>265</v>
      </c>
    </row>
    <row r="88" spans="1:4" x14ac:dyDescent="0.2">
      <c r="A88" s="14" t="s">
        <v>424</v>
      </c>
      <c r="B88" s="15" t="s">
        <v>425</v>
      </c>
      <c r="C88" s="16">
        <v>1001</v>
      </c>
      <c r="D88" s="17" t="s">
        <v>265</v>
      </c>
    </row>
    <row r="89" spans="1:4" x14ac:dyDescent="0.2">
      <c r="A89" s="18" t="s">
        <v>362</v>
      </c>
      <c r="B89" s="15" t="s">
        <v>363</v>
      </c>
      <c r="C89" s="16">
        <v>1001</v>
      </c>
      <c r="D89" s="17" t="s">
        <v>265</v>
      </c>
    </row>
    <row r="90" spans="1:4" x14ac:dyDescent="0.2">
      <c r="A90" s="14" t="s">
        <v>304</v>
      </c>
      <c r="B90" s="15" t="s">
        <v>305</v>
      </c>
      <c r="C90" s="16">
        <v>4001</v>
      </c>
      <c r="D90" s="17" t="s">
        <v>265</v>
      </c>
    </row>
    <row r="91" spans="1:4" ht="14.25" customHeight="1" x14ac:dyDescent="0.2">
      <c r="A91" s="14" t="s">
        <v>426</v>
      </c>
      <c r="B91" s="15" t="s">
        <v>427</v>
      </c>
      <c r="C91" s="16">
        <v>1001</v>
      </c>
      <c r="D91" s="17" t="s">
        <v>265</v>
      </c>
    </row>
    <row r="92" spans="1:4" x14ac:dyDescent="0.2">
      <c r="A92" s="18" t="s">
        <v>461</v>
      </c>
      <c r="B92" s="15" t="s">
        <v>462</v>
      </c>
      <c r="C92" s="16" t="s">
        <v>463</v>
      </c>
      <c r="D92" s="17" t="s">
        <v>265</v>
      </c>
    </row>
    <row r="93" spans="1:4" x14ac:dyDescent="0.2">
      <c r="A93" s="14" t="s">
        <v>566</v>
      </c>
      <c r="B93" s="15" t="s">
        <v>567</v>
      </c>
      <c r="C93" s="16">
        <v>6001</v>
      </c>
      <c r="D93" s="17" t="s">
        <v>265</v>
      </c>
    </row>
    <row r="94" spans="1:4" x14ac:dyDescent="0.2">
      <c r="A94" s="18" t="s">
        <v>568</v>
      </c>
      <c r="B94" s="15" t="s">
        <v>569</v>
      </c>
      <c r="C94" s="16">
        <v>6001</v>
      </c>
      <c r="D94" s="17" t="s">
        <v>265</v>
      </c>
    </row>
    <row r="95" spans="1:4" x14ac:dyDescent="0.2">
      <c r="A95" s="14" t="s">
        <v>570</v>
      </c>
      <c r="B95" s="15" t="s">
        <v>571</v>
      </c>
      <c r="C95" s="16">
        <v>6001</v>
      </c>
      <c r="D95" s="17" t="s">
        <v>265</v>
      </c>
    </row>
    <row r="96" spans="1:4" ht="14.25" customHeight="1" x14ac:dyDescent="0.2">
      <c r="A96" s="18" t="s">
        <v>1275</v>
      </c>
      <c r="B96" s="15" t="s">
        <v>1276</v>
      </c>
      <c r="C96" s="16">
        <v>6001</v>
      </c>
      <c r="D96" s="17" t="s">
        <v>265</v>
      </c>
    </row>
    <row r="97" spans="1:4" x14ac:dyDescent="0.2">
      <c r="A97" s="14" t="s">
        <v>364</v>
      </c>
      <c r="B97" s="15" t="s">
        <v>365</v>
      </c>
      <c r="C97" s="16">
        <v>1001</v>
      </c>
      <c r="D97" s="17" t="s">
        <v>265</v>
      </c>
    </row>
    <row r="98" spans="1:4" x14ac:dyDescent="0.2">
      <c r="A98" s="14" t="s">
        <v>572</v>
      </c>
      <c r="B98" s="15" t="s">
        <v>573</v>
      </c>
      <c r="C98" s="16">
        <v>6001</v>
      </c>
      <c r="D98" s="17" t="s">
        <v>265</v>
      </c>
    </row>
    <row r="99" spans="1:4" x14ac:dyDescent="0.2">
      <c r="A99" s="18" t="s">
        <v>1277</v>
      </c>
      <c r="B99" s="15" t="s">
        <v>1278</v>
      </c>
      <c r="C99" s="16">
        <v>4001</v>
      </c>
      <c r="D99" s="17" t="s">
        <v>265</v>
      </c>
    </row>
    <row r="100" spans="1:4" x14ac:dyDescent="0.2">
      <c r="A100" s="14" t="s">
        <v>574</v>
      </c>
      <c r="B100" s="15" t="s">
        <v>575</v>
      </c>
      <c r="C100" s="16">
        <v>6001</v>
      </c>
      <c r="D100" s="17" t="s">
        <v>265</v>
      </c>
    </row>
    <row r="101" spans="1:4" x14ac:dyDescent="0.2">
      <c r="A101" s="14" t="s">
        <v>406</v>
      </c>
      <c r="B101" s="15" t="s">
        <v>407</v>
      </c>
      <c r="C101" s="16">
        <v>1001</v>
      </c>
      <c r="D101" s="17" t="s">
        <v>265</v>
      </c>
    </row>
    <row r="102" spans="1:4" x14ac:dyDescent="0.2">
      <c r="A102" s="14" t="s">
        <v>428</v>
      </c>
      <c r="B102" s="15" t="s">
        <v>429</v>
      </c>
      <c r="C102" s="16">
        <v>1001</v>
      </c>
      <c r="D102" s="17" t="s">
        <v>265</v>
      </c>
    </row>
    <row r="103" spans="1:4" x14ac:dyDescent="0.2">
      <c r="A103" s="14" t="s">
        <v>306</v>
      </c>
      <c r="B103" s="15" t="s">
        <v>307</v>
      </c>
      <c r="C103" s="16">
        <v>4001</v>
      </c>
      <c r="D103" s="17" t="s">
        <v>265</v>
      </c>
    </row>
    <row r="104" spans="1:4" x14ac:dyDescent="0.2">
      <c r="A104" s="14" t="s">
        <v>1279</v>
      </c>
      <c r="B104" s="15" t="s">
        <v>464</v>
      </c>
      <c r="C104" s="16" t="s">
        <v>463</v>
      </c>
      <c r="D104" s="17" t="s">
        <v>265</v>
      </c>
    </row>
    <row r="105" spans="1:4" x14ac:dyDescent="0.2">
      <c r="A105" s="18" t="s">
        <v>270</v>
      </c>
      <c r="B105" s="15" t="s">
        <v>271</v>
      </c>
      <c r="C105" s="16">
        <v>1055</v>
      </c>
      <c r="D105" s="17" t="s">
        <v>265</v>
      </c>
    </row>
    <row r="106" spans="1:4" x14ac:dyDescent="0.2">
      <c r="A106" s="14" t="s">
        <v>308</v>
      </c>
      <c r="B106" s="15" t="s">
        <v>309</v>
      </c>
      <c r="C106" s="16">
        <v>4001</v>
      </c>
      <c r="D106" s="17" t="s">
        <v>265</v>
      </c>
    </row>
    <row r="107" spans="1:4" x14ac:dyDescent="0.2">
      <c r="A107" s="14" t="s">
        <v>372</v>
      </c>
      <c r="B107" s="15" t="s">
        <v>373</v>
      </c>
      <c r="C107" s="16">
        <v>1001</v>
      </c>
      <c r="D107" s="17" t="s">
        <v>265</v>
      </c>
    </row>
    <row r="108" spans="1:4" s="7" customFormat="1" x14ac:dyDescent="0.2">
      <c r="A108" s="18" t="s">
        <v>1280</v>
      </c>
      <c r="B108" s="15" t="s">
        <v>184</v>
      </c>
      <c r="C108" s="16" t="s">
        <v>463</v>
      </c>
      <c r="D108" s="17" t="s">
        <v>265</v>
      </c>
    </row>
    <row r="109" spans="1:4" x14ac:dyDescent="0.2">
      <c r="A109" s="18" t="s">
        <v>465</v>
      </c>
      <c r="B109" s="15" t="s">
        <v>466</v>
      </c>
      <c r="C109" s="16" t="s">
        <v>463</v>
      </c>
      <c r="D109" s="17" t="s">
        <v>265</v>
      </c>
    </row>
    <row r="110" spans="1:4" x14ac:dyDescent="0.2">
      <c r="A110" s="14" t="s">
        <v>576</v>
      </c>
      <c r="B110" s="15" t="s">
        <v>577</v>
      </c>
      <c r="C110" s="16">
        <v>6001</v>
      </c>
      <c r="D110" s="17" t="s">
        <v>265</v>
      </c>
    </row>
    <row r="111" spans="1:4" x14ac:dyDescent="0.2">
      <c r="A111" s="18" t="s">
        <v>408</v>
      </c>
      <c r="B111" s="15" t="s">
        <v>409</v>
      </c>
      <c r="C111" s="16">
        <v>1001</v>
      </c>
      <c r="D111" s="17" t="s">
        <v>265</v>
      </c>
    </row>
    <row r="112" spans="1:4" x14ac:dyDescent="0.2">
      <c r="A112" s="14" t="s">
        <v>374</v>
      </c>
      <c r="B112" s="15" t="s">
        <v>375</v>
      </c>
      <c r="C112" s="16">
        <v>1001</v>
      </c>
      <c r="D112" s="17" t="s">
        <v>265</v>
      </c>
    </row>
    <row r="113" spans="1:4" x14ac:dyDescent="0.2">
      <c r="A113" s="14" t="s">
        <v>442</v>
      </c>
      <c r="B113" s="15" t="s">
        <v>443</v>
      </c>
      <c r="C113" s="16">
        <v>1001</v>
      </c>
      <c r="D113" s="17" t="s">
        <v>265</v>
      </c>
    </row>
    <row r="114" spans="1:4" x14ac:dyDescent="0.2">
      <c r="A114" s="18" t="s">
        <v>1281</v>
      </c>
      <c r="B114" s="15" t="s">
        <v>1282</v>
      </c>
      <c r="C114" s="16">
        <v>6001</v>
      </c>
      <c r="D114" s="17" t="s">
        <v>265</v>
      </c>
    </row>
    <row r="115" spans="1:4" x14ac:dyDescent="0.2">
      <c r="A115" s="14" t="s">
        <v>578</v>
      </c>
      <c r="B115" s="15" t="s">
        <v>579</v>
      </c>
      <c r="C115" s="16">
        <v>6001</v>
      </c>
      <c r="D115" s="17" t="s">
        <v>265</v>
      </c>
    </row>
    <row r="116" spans="1:4" x14ac:dyDescent="0.2">
      <c r="A116" s="14" t="s">
        <v>430</v>
      </c>
      <c r="B116" s="15" t="s">
        <v>431</v>
      </c>
      <c r="C116" s="16">
        <v>1001</v>
      </c>
      <c r="D116" s="17" t="s">
        <v>265</v>
      </c>
    </row>
    <row r="117" spans="1:4" s="7" customFormat="1" x14ac:dyDescent="0.2">
      <c r="A117" s="14" t="s">
        <v>452</v>
      </c>
      <c r="B117" s="15" t="s">
        <v>453</v>
      </c>
      <c r="C117" s="16">
        <v>1001</v>
      </c>
      <c r="D117" s="17" t="s">
        <v>265</v>
      </c>
    </row>
    <row r="118" spans="1:4" x14ac:dyDescent="0.2">
      <c r="A118" s="18" t="s">
        <v>310</v>
      </c>
      <c r="B118" s="15" t="s">
        <v>311</v>
      </c>
      <c r="C118" s="16">
        <v>4001</v>
      </c>
      <c r="D118" s="17" t="s">
        <v>265</v>
      </c>
    </row>
    <row r="119" spans="1:4" x14ac:dyDescent="0.2">
      <c r="A119" s="14" t="s">
        <v>272</v>
      </c>
      <c r="B119" s="15" t="s">
        <v>273</v>
      </c>
      <c r="C119" s="16">
        <v>1055</v>
      </c>
      <c r="D119" s="17" t="s">
        <v>265</v>
      </c>
    </row>
    <row r="120" spans="1:4" x14ac:dyDescent="0.2">
      <c r="A120" s="14" t="s">
        <v>312</v>
      </c>
      <c r="B120" s="22" t="s">
        <v>313</v>
      </c>
      <c r="C120" s="16">
        <v>7500</v>
      </c>
      <c r="D120" s="23" t="s">
        <v>171</v>
      </c>
    </row>
    <row r="121" spans="1:4" x14ac:dyDescent="0.2">
      <c r="A121" s="14" t="s">
        <v>314</v>
      </c>
      <c r="B121" s="22" t="s">
        <v>315</v>
      </c>
      <c r="C121" s="16">
        <v>7500</v>
      </c>
      <c r="D121" s="23" t="s">
        <v>171</v>
      </c>
    </row>
    <row r="122" spans="1:4" x14ac:dyDescent="0.2">
      <c r="A122" s="14" t="s">
        <v>316</v>
      </c>
      <c r="B122" s="22" t="s">
        <v>317</v>
      </c>
      <c r="C122" s="16">
        <v>7500</v>
      </c>
      <c r="D122" s="23" t="s">
        <v>171</v>
      </c>
    </row>
    <row r="123" spans="1:4" x14ac:dyDescent="0.2">
      <c r="A123" s="18" t="s">
        <v>318</v>
      </c>
      <c r="B123" s="22" t="s">
        <v>319</v>
      </c>
      <c r="C123" s="16">
        <v>7500</v>
      </c>
      <c r="D123" s="23" t="s">
        <v>171</v>
      </c>
    </row>
    <row r="124" spans="1:4" x14ac:dyDescent="0.2">
      <c r="A124" s="18" t="s">
        <v>1283</v>
      </c>
      <c r="B124" s="15" t="s">
        <v>1284</v>
      </c>
      <c r="C124" s="16">
        <v>7500</v>
      </c>
      <c r="D124" s="23" t="s">
        <v>171</v>
      </c>
    </row>
    <row r="125" spans="1:4" x14ac:dyDescent="0.2">
      <c r="A125" s="14" t="s">
        <v>320</v>
      </c>
      <c r="B125" s="22" t="s">
        <v>321</v>
      </c>
      <c r="C125" s="16">
        <v>7500</v>
      </c>
      <c r="D125" s="23" t="s">
        <v>171</v>
      </c>
    </row>
    <row r="126" spans="1:4" x14ac:dyDescent="0.2">
      <c r="A126" s="14" t="s">
        <v>322</v>
      </c>
      <c r="B126" s="22" t="s">
        <v>323</v>
      </c>
      <c r="C126" s="16">
        <v>7500</v>
      </c>
      <c r="D126" s="23" t="s">
        <v>171</v>
      </c>
    </row>
    <row r="127" spans="1:4" x14ac:dyDescent="0.2">
      <c r="A127" s="14" t="s">
        <v>324</v>
      </c>
      <c r="B127" s="22" t="s">
        <v>325</v>
      </c>
      <c r="C127" s="16">
        <v>7500</v>
      </c>
      <c r="D127" s="23" t="s">
        <v>171</v>
      </c>
    </row>
    <row r="128" spans="1:4" x14ac:dyDescent="0.2">
      <c r="A128" s="18" t="s">
        <v>326</v>
      </c>
      <c r="B128" s="15" t="s">
        <v>327</v>
      </c>
      <c r="C128" s="16">
        <v>7500</v>
      </c>
      <c r="D128" s="23" t="s">
        <v>171</v>
      </c>
    </row>
    <row r="129" spans="1:4" x14ac:dyDescent="0.2">
      <c r="A129" s="14" t="s">
        <v>328</v>
      </c>
      <c r="B129" s="22" t="s">
        <v>329</v>
      </c>
      <c r="C129" s="16">
        <v>7500</v>
      </c>
      <c r="D129" s="23" t="s">
        <v>171</v>
      </c>
    </row>
    <row r="130" spans="1:4" x14ac:dyDescent="0.2">
      <c r="A130" s="14" t="s">
        <v>330</v>
      </c>
      <c r="B130" s="22" t="s">
        <v>331</v>
      </c>
      <c r="C130" s="16">
        <v>7500</v>
      </c>
      <c r="D130" s="23" t="s">
        <v>171</v>
      </c>
    </row>
    <row r="131" spans="1:4" x14ac:dyDescent="0.2">
      <c r="A131" s="18" t="s">
        <v>1285</v>
      </c>
      <c r="B131" s="15" t="s">
        <v>332</v>
      </c>
      <c r="C131" s="16">
        <v>7500</v>
      </c>
      <c r="D131" s="23" t="s">
        <v>171</v>
      </c>
    </row>
    <row r="132" spans="1:4" x14ac:dyDescent="0.2">
      <c r="A132" s="14" t="s">
        <v>333</v>
      </c>
      <c r="B132" s="22" t="s">
        <v>172</v>
      </c>
      <c r="C132" s="16">
        <v>7500</v>
      </c>
      <c r="D132" s="23" t="s">
        <v>171</v>
      </c>
    </row>
    <row r="133" spans="1:4" x14ac:dyDescent="0.2">
      <c r="A133" s="14" t="s">
        <v>334</v>
      </c>
      <c r="B133" s="22" t="s">
        <v>335</v>
      </c>
      <c r="C133" s="16">
        <v>7500</v>
      </c>
      <c r="D133" s="23" t="s">
        <v>171</v>
      </c>
    </row>
    <row r="134" spans="1:4" ht="14.25" customHeight="1" x14ac:dyDescent="0.2">
      <c r="A134" s="18" t="s">
        <v>336</v>
      </c>
      <c r="B134" s="22" t="s">
        <v>337</v>
      </c>
      <c r="C134" s="16">
        <v>7500</v>
      </c>
      <c r="D134" s="23" t="s">
        <v>171</v>
      </c>
    </row>
    <row r="135" spans="1:4" x14ac:dyDescent="0.2">
      <c r="A135" s="14" t="s">
        <v>338</v>
      </c>
      <c r="B135" s="22" t="s">
        <v>339</v>
      </c>
      <c r="C135" s="16">
        <v>7500</v>
      </c>
      <c r="D135" s="23" t="s">
        <v>171</v>
      </c>
    </row>
    <row r="136" spans="1:4" x14ac:dyDescent="0.2">
      <c r="A136" s="18" t="s">
        <v>340</v>
      </c>
      <c r="B136" s="22" t="s">
        <v>341</v>
      </c>
      <c r="C136" s="16">
        <v>7500</v>
      </c>
      <c r="D136" s="23" t="s">
        <v>171</v>
      </c>
    </row>
    <row r="137" spans="1:4" x14ac:dyDescent="0.2">
      <c r="A137" s="18" t="s">
        <v>342</v>
      </c>
      <c r="B137" s="15" t="s">
        <v>343</v>
      </c>
      <c r="C137" s="16">
        <v>7500</v>
      </c>
      <c r="D137" s="23" t="s">
        <v>171</v>
      </c>
    </row>
    <row r="138" spans="1:4" x14ac:dyDescent="0.2">
      <c r="A138" s="14" t="s">
        <v>344</v>
      </c>
      <c r="B138" s="22" t="s">
        <v>345</v>
      </c>
      <c r="C138" s="16">
        <v>7500</v>
      </c>
      <c r="D138" s="23" t="s">
        <v>171</v>
      </c>
    </row>
    <row r="139" spans="1:4" x14ac:dyDescent="0.2">
      <c r="A139" s="14" t="s">
        <v>346</v>
      </c>
      <c r="B139" s="15" t="s">
        <v>347</v>
      </c>
      <c r="C139" s="16">
        <v>7500</v>
      </c>
      <c r="D139" s="23" t="s">
        <v>171</v>
      </c>
    </row>
    <row r="140" spans="1:4" x14ac:dyDescent="0.2">
      <c r="A140" s="14" t="s">
        <v>348</v>
      </c>
      <c r="B140" s="22" t="s">
        <v>349</v>
      </c>
      <c r="C140" s="16">
        <v>7500</v>
      </c>
      <c r="D140" s="23" t="s">
        <v>171</v>
      </c>
    </row>
    <row r="141" spans="1:4" x14ac:dyDescent="0.2">
      <c r="A141" s="14" t="s">
        <v>350</v>
      </c>
      <c r="B141" s="22" t="s">
        <v>351</v>
      </c>
      <c r="C141" s="16">
        <v>7500</v>
      </c>
      <c r="D141" s="23" t="s">
        <v>171</v>
      </c>
    </row>
    <row r="142" spans="1:4" x14ac:dyDescent="0.2">
      <c r="A142" s="14" t="s">
        <v>352</v>
      </c>
      <c r="B142" s="22" t="s">
        <v>353</v>
      </c>
      <c r="C142" s="16">
        <v>7500</v>
      </c>
      <c r="D142" s="23" t="s">
        <v>171</v>
      </c>
    </row>
    <row r="143" spans="1:4" x14ac:dyDescent="0.2">
      <c r="A143" s="14" t="s">
        <v>354</v>
      </c>
      <c r="B143" s="22" t="s">
        <v>355</v>
      </c>
      <c r="C143" s="16">
        <v>7500</v>
      </c>
      <c r="D143" s="23" t="s">
        <v>171</v>
      </c>
    </row>
    <row r="144" spans="1:4" s="9" customFormat="1" x14ac:dyDescent="0.2">
      <c r="A144" s="19" t="s">
        <v>356</v>
      </c>
      <c r="B144" s="20" t="s">
        <v>357</v>
      </c>
      <c r="C144" s="21">
        <v>7500</v>
      </c>
      <c r="D144" s="24" t="s">
        <v>171</v>
      </c>
    </row>
    <row r="145" spans="1:4" x14ac:dyDescent="0.2">
      <c r="A145" s="14" t="s">
        <v>3639</v>
      </c>
      <c r="B145" s="15" t="s">
        <v>3638</v>
      </c>
      <c r="C145" s="16">
        <v>1110</v>
      </c>
      <c r="D145" s="23" t="s">
        <v>18</v>
      </c>
    </row>
    <row r="146" spans="1:4" ht="14.25" customHeight="1" x14ac:dyDescent="0.2">
      <c r="A146" s="14" t="s">
        <v>3640</v>
      </c>
      <c r="B146" s="15" t="s">
        <v>3637</v>
      </c>
      <c r="C146" s="16">
        <v>1110</v>
      </c>
      <c r="D146" s="23" t="s">
        <v>18</v>
      </c>
    </row>
    <row r="147" spans="1:4" x14ac:dyDescent="0.2">
      <c r="A147" s="14" t="s">
        <v>376</v>
      </c>
      <c r="B147" s="22" t="s">
        <v>137</v>
      </c>
      <c r="C147" s="16">
        <v>1105</v>
      </c>
      <c r="D147" s="23" t="s">
        <v>18</v>
      </c>
    </row>
    <row r="148" spans="1:4" x14ac:dyDescent="0.2">
      <c r="A148" s="14" t="s">
        <v>377</v>
      </c>
      <c r="B148" s="15" t="s">
        <v>123</v>
      </c>
      <c r="C148" s="16">
        <v>1105</v>
      </c>
      <c r="D148" s="23" t="s">
        <v>18</v>
      </c>
    </row>
    <row r="149" spans="1:4" x14ac:dyDescent="0.2">
      <c r="A149" s="27" t="s">
        <v>2234</v>
      </c>
      <c r="B149" s="15" t="s">
        <v>2235</v>
      </c>
      <c r="C149" s="16">
        <v>1105</v>
      </c>
      <c r="D149" s="23" t="s">
        <v>18</v>
      </c>
    </row>
    <row r="150" spans="1:4" x14ac:dyDescent="0.2">
      <c r="A150" s="14" t="s">
        <v>378</v>
      </c>
      <c r="B150" s="15" t="s">
        <v>19</v>
      </c>
      <c r="C150" s="16">
        <v>1105</v>
      </c>
      <c r="D150" s="23" t="s">
        <v>18</v>
      </c>
    </row>
    <row r="151" spans="1:4" x14ac:dyDescent="0.2">
      <c r="A151" s="14" t="s">
        <v>379</v>
      </c>
      <c r="B151" s="15" t="s">
        <v>380</v>
      </c>
      <c r="C151" s="16">
        <v>1105</v>
      </c>
      <c r="D151" s="23" t="s">
        <v>18</v>
      </c>
    </row>
    <row r="152" spans="1:4" x14ac:dyDescent="0.2">
      <c r="A152" s="18" t="s">
        <v>381</v>
      </c>
      <c r="B152" s="15" t="s">
        <v>382</v>
      </c>
      <c r="C152" s="16">
        <v>1105</v>
      </c>
      <c r="D152" s="23" t="s">
        <v>18</v>
      </c>
    </row>
    <row r="153" spans="1:4" x14ac:dyDescent="0.2">
      <c r="A153" s="18" t="s">
        <v>1286</v>
      </c>
      <c r="B153" s="15" t="s">
        <v>1287</v>
      </c>
      <c r="C153" s="16">
        <v>1110</v>
      </c>
      <c r="D153" s="23" t="s">
        <v>18</v>
      </c>
    </row>
    <row r="154" spans="1:4" x14ac:dyDescent="0.2">
      <c r="A154" s="14" t="s">
        <v>383</v>
      </c>
      <c r="B154" s="22" t="s">
        <v>384</v>
      </c>
      <c r="C154" s="16">
        <v>1105</v>
      </c>
      <c r="D154" s="23" t="s">
        <v>18</v>
      </c>
    </row>
    <row r="155" spans="1:4" x14ac:dyDescent="0.2">
      <c r="A155" s="14" t="s">
        <v>385</v>
      </c>
      <c r="B155" s="15" t="s">
        <v>212</v>
      </c>
      <c r="C155" s="16">
        <v>1105</v>
      </c>
      <c r="D155" s="23" t="s">
        <v>18</v>
      </c>
    </row>
    <row r="156" spans="1:4" x14ac:dyDescent="0.2">
      <c r="A156" s="14" t="s">
        <v>386</v>
      </c>
      <c r="B156" s="22" t="s">
        <v>387</v>
      </c>
      <c r="C156" s="16">
        <v>1105</v>
      </c>
      <c r="D156" s="23" t="s">
        <v>18</v>
      </c>
    </row>
    <row r="157" spans="1:4" x14ac:dyDescent="0.2">
      <c r="A157" s="14" t="s">
        <v>388</v>
      </c>
      <c r="B157" s="15" t="s">
        <v>125</v>
      </c>
      <c r="C157" s="16">
        <v>1105</v>
      </c>
      <c r="D157" s="23" t="s">
        <v>18</v>
      </c>
    </row>
    <row r="158" spans="1:4" s="7" customFormat="1" x14ac:dyDescent="0.2">
      <c r="A158" s="18" t="s">
        <v>389</v>
      </c>
      <c r="B158" s="15" t="s">
        <v>390</v>
      </c>
      <c r="C158" s="16">
        <v>1105</v>
      </c>
      <c r="D158" s="23" t="s">
        <v>18</v>
      </c>
    </row>
    <row r="159" spans="1:4" s="7" customFormat="1" x14ac:dyDescent="0.2">
      <c r="A159" s="14" t="s">
        <v>391</v>
      </c>
      <c r="B159" s="15" t="s">
        <v>133</v>
      </c>
      <c r="C159" s="16">
        <v>1105</v>
      </c>
      <c r="D159" s="23" t="s">
        <v>18</v>
      </c>
    </row>
    <row r="160" spans="1:4" x14ac:dyDescent="0.2">
      <c r="A160" s="14" t="s">
        <v>392</v>
      </c>
      <c r="B160" s="15" t="s">
        <v>393</v>
      </c>
      <c r="C160" s="16">
        <v>1105</v>
      </c>
      <c r="D160" s="23" t="s">
        <v>18</v>
      </c>
    </row>
    <row r="161" spans="1:4" ht="14.25" customHeight="1" x14ac:dyDescent="0.2">
      <c r="A161" s="18" t="s">
        <v>2518</v>
      </c>
      <c r="B161" s="15" t="s">
        <v>2519</v>
      </c>
      <c r="C161" s="16">
        <v>1105</v>
      </c>
      <c r="D161" s="23" t="s">
        <v>18</v>
      </c>
    </row>
    <row r="162" spans="1:4" x14ac:dyDescent="0.2">
      <c r="A162" s="14" t="s">
        <v>467</v>
      </c>
      <c r="B162" s="22" t="s">
        <v>468</v>
      </c>
      <c r="C162" s="16">
        <v>3500</v>
      </c>
      <c r="D162" s="23" t="s">
        <v>34</v>
      </c>
    </row>
    <row r="163" spans="1:4" x14ac:dyDescent="0.2">
      <c r="A163" s="18" t="s">
        <v>1288</v>
      </c>
      <c r="B163" s="15" t="s">
        <v>1227</v>
      </c>
      <c r="C163" s="16">
        <v>3500</v>
      </c>
      <c r="D163" s="23" t="s">
        <v>34</v>
      </c>
    </row>
    <row r="164" spans="1:4" x14ac:dyDescent="0.2">
      <c r="A164" s="14" t="s">
        <v>469</v>
      </c>
      <c r="B164" s="15" t="s">
        <v>102</v>
      </c>
      <c r="C164" s="16">
        <v>3500</v>
      </c>
      <c r="D164" s="23" t="s">
        <v>34</v>
      </c>
    </row>
    <row r="165" spans="1:4" x14ac:dyDescent="0.2">
      <c r="A165" s="14" t="s">
        <v>470</v>
      </c>
      <c r="B165" s="15" t="s">
        <v>215</v>
      </c>
      <c r="C165" s="16">
        <v>3500</v>
      </c>
      <c r="D165" s="23" t="s">
        <v>34</v>
      </c>
    </row>
    <row r="166" spans="1:4" x14ac:dyDescent="0.2">
      <c r="A166" s="19" t="s">
        <v>471</v>
      </c>
      <c r="B166" s="20" t="s">
        <v>190</v>
      </c>
      <c r="C166" s="21">
        <v>3500</v>
      </c>
      <c r="D166" s="23" t="s">
        <v>34</v>
      </c>
    </row>
    <row r="167" spans="1:4" x14ac:dyDescent="0.2">
      <c r="A167" s="14" t="s">
        <v>472</v>
      </c>
      <c r="B167" s="15" t="s">
        <v>473</v>
      </c>
      <c r="C167" s="16">
        <v>3500</v>
      </c>
      <c r="D167" s="23" t="s">
        <v>34</v>
      </c>
    </row>
    <row r="168" spans="1:4" x14ac:dyDescent="0.2">
      <c r="A168" s="14" t="s">
        <v>474</v>
      </c>
      <c r="B168" s="15" t="s">
        <v>475</v>
      </c>
      <c r="C168" s="16">
        <v>3500</v>
      </c>
      <c r="D168" s="23" t="s">
        <v>34</v>
      </c>
    </row>
    <row r="169" spans="1:4" s="7" customFormat="1" x14ac:dyDescent="0.2">
      <c r="A169" s="14" t="s">
        <v>476</v>
      </c>
      <c r="B169" s="15" t="s">
        <v>477</v>
      </c>
      <c r="C169" s="16">
        <v>3500</v>
      </c>
      <c r="D169" s="23" t="s">
        <v>34</v>
      </c>
    </row>
    <row r="170" spans="1:4" x14ac:dyDescent="0.2">
      <c r="A170" s="14" t="s">
        <v>478</v>
      </c>
      <c r="B170" s="15" t="s">
        <v>152</v>
      </c>
      <c r="C170" s="16">
        <v>3500</v>
      </c>
      <c r="D170" s="23" t="s">
        <v>34</v>
      </c>
    </row>
    <row r="171" spans="1:4" x14ac:dyDescent="0.2">
      <c r="A171" s="18" t="s">
        <v>479</v>
      </c>
      <c r="B171" s="15" t="s">
        <v>480</v>
      </c>
      <c r="C171" s="16">
        <v>3500</v>
      </c>
      <c r="D171" s="23" t="s">
        <v>34</v>
      </c>
    </row>
    <row r="172" spans="1:4" ht="14.25" customHeight="1" x14ac:dyDescent="0.2">
      <c r="A172" s="14" t="s">
        <v>481</v>
      </c>
      <c r="B172" s="15" t="s">
        <v>217</v>
      </c>
      <c r="C172" s="16">
        <v>3500</v>
      </c>
      <c r="D172" s="23" t="s">
        <v>34</v>
      </c>
    </row>
    <row r="173" spans="1:4" x14ac:dyDescent="0.2">
      <c r="A173" s="14" t="s">
        <v>482</v>
      </c>
      <c r="B173" s="15" t="s">
        <v>483</v>
      </c>
      <c r="C173" s="16">
        <v>3500</v>
      </c>
      <c r="D173" s="23" t="s">
        <v>34</v>
      </c>
    </row>
    <row r="174" spans="1:4" ht="14.25" customHeight="1" x14ac:dyDescent="0.2">
      <c r="A174" s="14" t="s">
        <v>484</v>
      </c>
      <c r="B174" s="15" t="s">
        <v>222</v>
      </c>
      <c r="C174" s="16">
        <v>3500</v>
      </c>
      <c r="D174" s="23" t="s">
        <v>34</v>
      </c>
    </row>
    <row r="175" spans="1:4" x14ac:dyDescent="0.2">
      <c r="A175" s="14" t="s">
        <v>485</v>
      </c>
      <c r="B175" s="15" t="s">
        <v>202</v>
      </c>
      <c r="C175" s="16">
        <v>3500</v>
      </c>
      <c r="D175" s="23" t="s">
        <v>34</v>
      </c>
    </row>
    <row r="176" spans="1:4" x14ac:dyDescent="0.2">
      <c r="A176" s="14" t="s">
        <v>486</v>
      </c>
      <c r="B176" s="22" t="s">
        <v>487</v>
      </c>
      <c r="C176" s="16">
        <v>3500</v>
      </c>
      <c r="D176" s="23" t="s">
        <v>34</v>
      </c>
    </row>
    <row r="177" spans="1:4" ht="14.25" customHeight="1" x14ac:dyDescent="0.2">
      <c r="A177" s="18" t="s">
        <v>1289</v>
      </c>
      <c r="B177" s="15" t="s">
        <v>1290</v>
      </c>
      <c r="C177" s="16">
        <v>3500</v>
      </c>
      <c r="D177" s="23" t="s">
        <v>34</v>
      </c>
    </row>
    <row r="178" spans="1:4" ht="15.2" customHeight="1" x14ac:dyDescent="0.2">
      <c r="A178" s="14" t="s">
        <v>488</v>
      </c>
      <c r="B178" s="15" t="s">
        <v>80</v>
      </c>
      <c r="C178" s="16">
        <v>3500</v>
      </c>
      <c r="D178" s="23" t="s">
        <v>34</v>
      </c>
    </row>
    <row r="179" spans="1:4" x14ac:dyDescent="0.2">
      <c r="A179" s="18" t="s">
        <v>489</v>
      </c>
      <c r="B179" s="15" t="s">
        <v>191</v>
      </c>
      <c r="C179" s="16">
        <v>3500</v>
      </c>
      <c r="D179" s="23" t="s">
        <v>34</v>
      </c>
    </row>
    <row r="180" spans="1:4" s="10" customFormat="1" ht="12.75" x14ac:dyDescent="0.2">
      <c r="A180" s="14" t="s">
        <v>490</v>
      </c>
      <c r="B180" s="15" t="s">
        <v>53</v>
      </c>
      <c r="C180" s="16">
        <v>3500</v>
      </c>
      <c r="D180" s="23" t="s">
        <v>34</v>
      </c>
    </row>
    <row r="181" spans="1:4" s="10" customFormat="1" ht="12.75" x14ac:dyDescent="0.2">
      <c r="A181" s="18" t="s">
        <v>1291</v>
      </c>
      <c r="B181" s="15" t="s">
        <v>1228</v>
      </c>
      <c r="C181" s="16">
        <v>3500</v>
      </c>
      <c r="D181" s="23" t="s">
        <v>34</v>
      </c>
    </row>
    <row r="182" spans="1:4" s="10" customFormat="1" ht="12.75" x14ac:dyDescent="0.2">
      <c r="A182" s="14" t="s">
        <v>491</v>
      </c>
      <c r="B182" s="15" t="s">
        <v>492</v>
      </c>
      <c r="C182" s="16">
        <v>3500</v>
      </c>
      <c r="D182" s="23" t="s">
        <v>34</v>
      </c>
    </row>
    <row r="183" spans="1:4" s="10" customFormat="1" ht="12.75" x14ac:dyDescent="0.2">
      <c r="A183" s="19" t="s">
        <v>493</v>
      </c>
      <c r="B183" s="20" t="s">
        <v>494</v>
      </c>
      <c r="C183" s="21">
        <v>3500</v>
      </c>
      <c r="D183" s="23" t="s">
        <v>34</v>
      </c>
    </row>
    <row r="184" spans="1:4" s="10" customFormat="1" ht="12.75" x14ac:dyDescent="0.2">
      <c r="A184" s="18" t="s">
        <v>495</v>
      </c>
      <c r="B184" s="15" t="s">
        <v>192</v>
      </c>
      <c r="C184" s="16">
        <v>3500</v>
      </c>
      <c r="D184" s="23" t="s">
        <v>34</v>
      </c>
    </row>
    <row r="185" spans="1:4" s="10" customFormat="1" ht="12.75" x14ac:dyDescent="0.2">
      <c r="A185" s="18" t="s">
        <v>1292</v>
      </c>
      <c r="B185" s="15" t="s">
        <v>1229</v>
      </c>
      <c r="C185" s="16">
        <v>3500</v>
      </c>
      <c r="D185" s="23" t="s">
        <v>34</v>
      </c>
    </row>
    <row r="186" spans="1:4" s="10" customFormat="1" ht="12.75" x14ac:dyDescent="0.2">
      <c r="A186" s="14" t="s">
        <v>496</v>
      </c>
      <c r="B186" s="15" t="s">
        <v>497</v>
      </c>
      <c r="C186" s="16">
        <v>3500</v>
      </c>
      <c r="D186" s="23" t="s">
        <v>34</v>
      </c>
    </row>
    <row r="187" spans="1:4" s="10" customFormat="1" ht="12.75" x14ac:dyDescent="0.2">
      <c r="A187" s="18" t="s">
        <v>498</v>
      </c>
      <c r="B187" s="15" t="s">
        <v>35</v>
      </c>
      <c r="C187" s="16">
        <v>3500</v>
      </c>
      <c r="D187" s="23" t="s">
        <v>34</v>
      </c>
    </row>
    <row r="188" spans="1:4" s="10" customFormat="1" ht="12.75" x14ac:dyDescent="0.2">
      <c r="A188" s="26" t="s">
        <v>499</v>
      </c>
      <c r="B188" s="15" t="s">
        <v>500</v>
      </c>
      <c r="C188" s="16">
        <v>3500</v>
      </c>
      <c r="D188" s="23" t="s">
        <v>34</v>
      </c>
    </row>
    <row r="189" spans="1:4" s="10" customFormat="1" ht="12.75" x14ac:dyDescent="0.2">
      <c r="A189" s="14" t="s">
        <v>501</v>
      </c>
      <c r="B189" s="15" t="s">
        <v>121</v>
      </c>
      <c r="C189" s="16">
        <v>3500</v>
      </c>
      <c r="D189" s="23" t="s">
        <v>34</v>
      </c>
    </row>
    <row r="190" spans="1:4" s="10" customFormat="1" ht="12.75" x14ac:dyDescent="0.2">
      <c r="A190" s="14" t="s">
        <v>502</v>
      </c>
      <c r="B190" s="15" t="s">
        <v>503</v>
      </c>
      <c r="C190" s="16">
        <v>3500</v>
      </c>
      <c r="D190" s="23" t="s">
        <v>34</v>
      </c>
    </row>
    <row r="191" spans="1:4" s="10" customFormat="1" ht="12.75" x14ac:dyDescent="0.2">
      <c r="A191" s="18" t="s">
        <v>1293</v>
      </c>
      <c r="B191" s="15" t="s">
        <v>1230</v>
      </c>
      <c r="C191" s="16">
        <v>3500</v>
      </c>
      <c r="D191" s="23" t="s">
        <v>34</v>
      </c>
    </row>
    <row r="192" spans="1:4" s="10" customFormat="1" ht="12.75" x14ac:dyDescent="0.2">
      <c r="A192" s="14" t="s">
        <v>504</v>
      </c>
      <c r="B192" s="22" t="s">
        <v>505</v>
      </c>
      <c r="C192" s="16">
        <v>3500</v>
      </c>
      <c r="D192" s="23" t="s">
        <v>34</v>
      </c>
    </row>
    <row r="193" spans="1:4" s="10" customFormat="1" ht="12.75" x14ac:dyDescent="0.2">
      <c r="A193" s="19" t="s">
        <v>506</v>
      </c>
      <c r="B193" s="20" t="s">
        <v>507</v>
      </c>
      <c r="C193" s="21">
        <v>3500</v>
      </c>
      <c r="D193" s="23" t="s">
        <v>34</v>
      </c>
    </row>
    <row r="194" spans="1:4" s="10" customFormat="1" ht="12.75" x14ac:dyDescent="0.2">
      <c r="A194" s="14" t="s">
        <v>508</v>
      </c>
      <c r="B194" s="22" t="s">
        <v>74</v>
      </c>
      <c r="C194" s="16">
        <v>3500</v>
      </c>
      <c r="D194" s="23" t="s">
        <v>34</v>
      </c>
    </row>
    <row r="195" spans="1:4" s="10" customFormat="1" ht="12.75" x14ac:dyDescent="0.2">
      <c r="A195" s="14" t="s">
        <v>509</v>
      </c>
      <c r="B195" s="15" t="s">
        <v>112</v>
      </c>
      <c r="C195" s="16">
        <v>3500</v>
      </c>
      <c r="D195" s="23" t="s">
        <v>34</v>
      </c>
    </row>
    <row r="196" spans="1:4" s="10" customFormat="1" ht="12.75" x14ac:dyDescent="0.2">
      <c r="A196" s="14" t="s">
        <v>510</v>
      </c>
      <c r="B196" s="15" t="s">
        <v>511</v>
      </c>
      <c r="C196" s="16">
        <v>3500</v>
      </c>
      <c r="D196" s="23" t="s">
        <v>34</v>
      </c>
    </row>
    <row r="197" spans="1:4" s="10" customFormat="1" ht="12.75" x14ac:dyDescent="0.2">
      <c r="A197" s="14" t="s">
        <v>512</v>
      </c>
      <c r="B197" s="15" t="s">
        <v>513</v>
      </c>
      <c r="C197" s="16">
        <v>3500</v>
      </c>
      <c r="D197" s="23" t="s">
        <v>34</v>
      </c>
    </row>
    <row r="198" spans="1:4" s="10" customFormat="1" ht="12.75" x14ac:dyDescent="0.2"/>
    <row r="199" spans="1:4" s="10" customFormat="1" ht="12.75" x14ac:dyDescent="0.2"/>
    <row r="200" spans="1:4" s="10" customFormat="1" ht="12.75" x14ac:dyDescent="0.2"/>
    <row r="201" spans="1:4" s="10" customFormat="1" ht="12.75" x14ac:dyDescent="0.2"/>
    <row r="202" spans="1:4" s="10" customFormat="1" ht="12.75" x14ac:dyDescent="0.2"/>
    <row r="203" spans="1:4" s="10" customFormat="1" ht="12.75" x14ac:dyDescent="0.2"/>
    <row r="204" spans="1:4" s="10" customFormat="1" ht="12.75" x14ac:dyDescent="0.2"/>
    <row r="205" spans="1:4" s="10" customFormat="1" ht="12.75" x14ac:dyDescent="0.2"/>
    <row r="206" spans="1:4" s="10" customFormat="1" ht="12.75" x14ac:dyDescent="0.2"/>
    <row r="207" spans="1:4" s="10" customFormat="1" ht="12.75" x14ac:dyDescent="0.2"/>
    <row r="208" spans="1:4" s="10" customFormat="1" ht="12.75" x14ac:dyDescent="0.2"/>
    <row r="209" s="10" customFormat="1" ht="12.75" x14ac:dyDescent="0.2"/>
    <row r="210" s="10" customFormat="1" ht="12.75" x14ac:dyDescent="0.2"/>
    <row r="211" s="10" customFormat="1" ht="12.75" x14ac:dyDescent="0.2"/>
    <row r="212" s="10" customFormat="1" ht="12.75" x14ac:dyDescent="0.2"/>
    <row r="213" s="10" customFormat="1" ht="12.75" x14ac:dyDescent="0.2"/>
    <row r="214" s="10" customFormat="1" ht="12.75" x14ac:dyDescent="0.2"/>
    <row r="215" s="10" customFormat="1" ht="12.75" x14ac:dyDescent="0.2"/>
    <row r="216" s="10" customFormat="1" ht="12.75" x14ac:dyDescent="0.2"/>
    <row r="217" s="10" customFormat="1" ht="12.75" x14ac:dyDescent="0.2"/>
    <row r="218" s="10" customFormat="1" ht="12.75" x14ac:dyDescent="0.2"/>
    <row r="219" s="10" customFormat="1" ht="12.75" x14ac:dyDescent="0.2"/>
    <row r="220" s="10" customFormat="1" ht="12.75" x14ac:dyDescent="0.2"/>
    <row r="221" s="10" customFormat="1" ht="12.75" x14ac:dyDescent="0.2"/>
  </sheetData>
  <sheetProtection selectLockedCells="1" selectUnlockedCells="1"/>
  <sortState xmlns:xlrd2="http://schemas.microsoft.com/office/spreadsheetml/2017/richdata2" ref="A2:D197">
    <sortCondition ref="D2:D197"/>
    <sortCondition ref="A2:A197"/>
  </sortState>
  <conditionalFormatting sqref="B1">
    <cfRule type="duplicateValues" dxfId="6" priority="6"/>
  </conditionalFormatting>
  <conditionalFormatting sqref="B17">
    <cfRule type="duplicateValues" dxfId="5" priority="4"/>
  </conditionalFormatting>
  <conditionalFormatting sqref="B38">
    <cfRule type="duplicateValues" dxfId="4" priority="3"/>
  </conditionalFormatting>
  <conditionalFormatting sqref="B58">
    <cfRule type="duplicateValues" dxfId="3" priority="2"/>
  </conditionalFormatting>
  <conditionalFormatting sqref="B222:B1048576">
    <cfRule type="duplicateValues" dxfId="2" priority="12"/>
  </conditionalFormatting>
  <conditionalFormatting sqref="B194 B141:B142 B22:B30 B32:B33 B174:B185 B2:B15 B187:B192 B168:B172 B163:B166 B103:B108 B118:B119 B151:B158 B18:B19 B147 B160:B161">
    <cfRule type="duplicateValues" dxfId="1" priority="14"/>
  </conditionalFormatting>
  <conditionalFormatting sqref="B159">
    <cfRule type="duplicateValues" dxfId="0" priority="1"/>
  </conditionalFormatting>
  <printOptions horizontalCentered="1" gridLines="1"/>
  <pageMargins left="0.25" right="0.25" top="0.25" bottom="0.15" header="0.25" footer="0.5"/>
  <pageSetup scale="6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6E015-C4F8-429B-B05B-E0F366DE36AF}">
  <sheetPr codeName="Sheet3"/>
  <dimension ref="A1:B1985"/>
  <sheetViews>
    <sheetView workbookViewId="0">
      <selection activeCell="B1985" sqref="B1985"/>
    </sheetView>
  </sheetViews>
  <sheetFormatPr defaultColWidth="9.140625" defaultRowHeight="15" x14ac:dyDescent="0.25"/>
  <cols>
    <col min="1" max="1" width="43.85546875" style="31" bestFit="1" customWidth="1"/>
    <col min="2" max="2" width="31" style="31" customWidth="1"/>
    <col min="3" max="16384" width="9.140625" style="29"/>
  </cols>
  <sheetData>
    <row r="1" spans="1:2" x14ac:dyDescent="0.25">
      <c r="A1" s="25" t="s">
        <v>580</v>
      </c>
      <c r="B1" s="25" t="s">
        <v>581</v>
      </c>
    </row>
    <row r="2" spans="1:2" x14ac:dyDescent="0.25">
      <c r="A2" s="31" t="s">
        <v>4338</v>
      </c>
      <c r="B2" s="31" t="s">
        <v>2572</v>
      </c>
    </row>
    <row r="3" spans="1:2" x14ac:dyDescent="0.25">
      <c r="A3" s="31" t="s">
        <v>2532</v>
      </c>
      <c r="B3" s="31" t="s">
        <v>2572</v>
      </c>
    </row>
    <row r="4" spans="1:2" x14ac:dyDescent="0.25">
      <c r="A4" s="29" t="s">
        <v>1394</v>
      </c>
      <c r="B4" t="s">
        <v>1395</v>
      </c>
    </row>
    <row r="5" spans="1:2" x14ac:dyDescent="0.25">
      <c r="A5" s="29" t="s">
        <v>1686</v>
      </c>
      <c r="B5" s="29" t="s">
        <v>2036</v>
      </c>
    </row>
    <row r="6" spans="1:2" x14ac:dyDescent="0.25">
      <c r="A6" s="31" t="s">
        <v>4339</v>
      </c>
      <c r="B6" s="31" t="s">
        <v>4340</v>
      </c>
    </row>
    <row r="7" spans="1:2" x14ac:dyDescent="0.25">
      <c r="A7" s="31" t="s">
        <v>3156</v>
      </c>
      <c r="B7" s="31" t="s">
        <v>1756</v>
      </c>
    </row>
    <row r="8" spans="1:2" x14ac:dyDescent="0.25">
      <c r="A8" s="31" t="s">
        <v>3031</v>
      </c>
      <c r="B8" s="31" t="s">
        <v>678</v>
      </c>
    </row>
    <row r="9" spans="1:2" x14ac:dyDescent="0.25">
      <c r="A9" s="31" t="s">
        <v>2677</v>
      </c>
      <c r="B9" s="31" t="s">
        <v>1756</v>
      </c>
    </row>
    <row r="10" spans="1:2" x14ac:dyDescent="0.25">
      <c r="A10" s="29" t="s">
        <v>2459</v>
      </c>
      <c r="B10" s="29" t="s">
        <v>678</v>
      </c>
    </row>
    <row r="11" spans="1:2" x14ac:dyDescent="0.25">
      <c r="A11" s="29" t="s">
        <v>132</v>
      </c>
      <c r="B11" s="29" t="s">
        <v>678</v>
      </c>
    </row>
    <row r="12" spans="1:2" x14ac:dyDescent="0.25">
      <c r="A12" s="29" t="s">
        <v>697</v>
      </c>
      <c r="B12" s="29" t="s">
        <v>698</v>
      </c>
    </row>
    <row r="13" spans="1:2" x14ac:dyDescent="0.25">
      <c r="A13" t="s">
        <v>1755</v>
      </c>
      <c r="B13" s="32" t="s">
        <v>1756</v>
      </c>
    </row>
    <row r="14" spans="1:2" x14ac:dyDescent="0.25">
      <c r="A14" s="31" t="s">
        <v>2678</v>
      </c>
      <c r="B14" s="31" t="s">
        <v>1756</v>
      </c>
    </row>
    <row r="15" spans="1:2" x14ac:dyDescent="0.25">
      <c r="A15" s="29" t="s">
        <v>1197</v>
      </c>
      <c r="B15" t="s">
        <v>1231</v>
      </c>
    </row>
    <row r="16" spans="1:2" x14ac:dyDescent="0.25">
      <c r="A16" s="31" t="s">
        <v>2627</v>
      </c>
      <c r="B16" s="31" t="s">
        <v>2679</v>
      </c>
    </row>
    <row r="17" spans="1:2" x14ac:dyDescent="0.25">
      <c r="A17" s="29" t="s">
        <v>1889</v>
      </c>
      <c r="B17" s="29" t="s">
        <v>1890</v>
      </c>
    </row>
    <row r="18" spans="1:2" x14ac:dyDescent="0.25">
      <c r="A18" s="31" t="s">
        <v>3337</v>
      </c>
      <c r="B18" s="31" t="s">
        <v>3338</v>
      </c>
    </row>
    <row r="19" spans="1:2" x14ac:dyDescent="0.25">
      <c r="A19" s="29" t="s">
        <v>943</v>
      </c>
      <c r="B19" s="29" t="s">
        <v>944</v>
      </c>
    </row>
    <row r="20" spans="1:2" x14ac:dyDescent="0.25">
      <c r="A20" t="s">
        <v>1714</v>
      </c>
      <c r="B20" s="32" t="s">
        <v>1715</v>
      </c>
    </row>
    <row r="21" spans="1:2" x14ac:dyDescent="0.25">
      <c r="A21" s="29" t="s">
        <v>2466</v>
      </c>
      <c r="B21" s="29" t="s">
        <v>2503</v>
      </c>
    </row>
    <row r="22" spans="1:2" x14ac:dyDescent="0.25">
      <c r="A22" s="29" t="s">
        <v>1077</v>
      </c>
      <c r="B22" s="29" t="s">
        <v>1078</v>
      </c>
    </row>
    <row r="23" spans="1:2" x14ac:dyDescent="0.25">
      <c r="A23" s="29" t="s">
        <v>1125</v>
      </c>
      <c r="B23" s="29" t="s">
        <v>1126</v>
      </c>
    </row>
    <row r="24" spans="1:2" x14ac:dyDescent="0.25">
      <c r="A24" s="31" t="s">
        <v>4049</v>
      </c>
      <c r="B24" s="31" t="s">
        <v>4341</v>
      </c>
    </row>
    <row r="25" spans="1:2" x14ac:dyDescent="0.25">
      <c r="A25" s="31" t="s">
        <v>2680</v>
      </c>
      <c r="B25" s="31" t="s">
        <v>2681</v>
      </c>
    </row>
    <row r="26" spans="1:2" x14ac:dyDescent="0.25">
      <c r="A26" s="29" t="s">
        <v>205</v>
      </c>
      <c r="B26" s="29" t="s">
        <v>848</v>
      </c>
    </row>
    <row r="27" spans="1:2" x14ac:dyDescent="0.25">
      <c r="A27" s="31" t="s">
        <v>2896</v>
      </c>
      <c r="B27" s="31" t="s">
        <v>2953</v>
      </c>
    </row>
    <row r="28" spans="1:2" x14ac:dyDescent="0.25">
      <c r="A28" s="31" t="s">
        <v>3118</v>
      </c>
      <c r="B28" s="31" t="s">
        <v>698</v>
      </c>
    </row>
    <row r="29" spans="1:2" x14ac:dyDescent="0.25">
      <c r="A29" s="29" t="s">
        <v>1643</v>
      </c>
      <c r="B29" s="29" t="s">
        <v>2026</v>
      </c>
    </row>
    <row r="30" spans="1:2" x14ac:dyDescent="0.25">
      <c r="A30" t="s">
        <v>1904</v>
      </c>
      <c r="B30" s="32" t="s">
        <v>1905</v>
      </c>
    </row>
    <row r="31" spans="1:2" x14ac:dyDescent="0.25">
      <c r="A31" s="31" t="s">
        <v>2682</v>
      </c>
      <c r="B31" s="31" t="s">
        <v>2683</v>
      </c>
    </row>
    <row r="32" spans="1:2" x14ac:dyDescent="0.25">
      <c r="A32" s="31" t="s">
        <v>3082</v>
      </c>
      <c r="B32" s="31" t="s">
        <v>3083</v>
      </c>
    </row>
    <row r="33" spans="1:2" x14ac:dyDescent="0.25">
      <c r="A33" s="31" t="s">
        <v>3645</v>
      </c>
      <c r="B33" s="31" t="s">
        <v>3083</v>
      </c>
    </row>
    <row r="34" spans="1:2" x14ac:dyDescent="0.25">
      <c r="A34" s="31" t="s">
        <v>3263</v>
      </c>
      <c r="B34" s="31" t="s">
        <v>3280</v>
      </c>
    </row>
    <row r="35" spans="1:2" x14ac:dyDescent="0.25">
      <c r="A35" s="31" t="s">
        <v>2655</v>
      </c>
      <c r="B35" s="31" t="s">
        <v>2684</v>
      </c>
    </row>
    <row r="36" spans="1:2" x14ac:dyDescent="0.25">
      <c r="A36" s="31" t="s">
        <v>2551</v>
      </c>
      <c r="B36" s="31" t="s">
        <v>2573</v>
      </c>
    </row>
    <row r="37" spans="1:2" x14ac:dyDescent="0.25">
      <c r="A37" s="31" t="s">
        <v>3054</v>
      </c>
      <c r="B37" s="31" t="s">
        <v>3081</v>
      </c>
    </row>
    <row r="38" spans="1:2" x14ac:dyDescent="0.25">
      <c r="A38" s="31" t="s">
        <v>4306</v>
      </c>
      <c r="B38" s="31" t="s">
        <v>3081</v>
      </c>
    </row>
    <row r="39" spans="1:2" x14ac:dyDescent="0.25">
      <c r="A39" s="29" t="s">
        <v>92</v>
      </c>
      <c r="B39" s="29" t="s">
        <v>647</v>
      </c>
    </row>
    <row r="40" spans="1:2" x14ac:dyDescent="0.25">
      <c r="A40" s="29" t="s">
        <v>1396</v>
      </c>
      <c r="B40" t="s">
        <v>736</v>
      </c>
    </row>
    <row r="41" spans="1:2" x14ac:dyDescent="0.25">
      <c r="A41" s="29" t="s">
        <v>1651</v>
      </c>
      <c r="B41" s="29" t="s">
        <v>1963</v>
      </c>
    </row>
    <row r="42" spans="1:2" x14ac:dyDescent="0.25">
      <c r="A42" s="29" t="s">
        <v>1397</v>
      </c>
      <c r="B42" t="s">
        <v>1398</v>
      </c>
    </row>
    <row r="43" spans="1:2" x14ac:dyDescent="0.25">
      <c r="A43" s="29" t="s">
        <v>1144</v>
      </c>
      <c r="B43" s="29" t="s">
        <v>1145</v>
      </c>
    </row>
    <row r="44" spans="1:2" x14ac:dyDescent="0.25">
      <c r="A44" s="29" t="s">
        <v>2300</v>
      </c>
      <c r="B44" s="29" t="s">
        <v>2301</v>
      </c>
    </row>
    <row r="45" spans="1:2" x14ac:dyDescent="0.25">
      <c r="A45" s="31" t="s">
        <v>3871</v>
      </c>
      <c r="B45" s="31" t="s">
        <v>4342</v>
      </c>
    </row>
    <row r="46" spans="1:2" x14ac:dyDescent="0.25">
      <c r="A46" s="31" t="s">
        <v>4255</v>
      </c>
      <c r="B46" s="31" t="s">
        <v>4343</v>
      </c>
    </row>
    <row r="47" spans="1:2" x14ac:dyDescent="0.25">
      <c r="A47" s="29" t="s">
        <v>582</v>
      </c>
      <c r="B47" s="29" t="s">
        <v>583</v>
      </c>
    </row>
    <row r="48" spans="1:2" x14ac:dyDescent="0.25">
      <c r="A48" s="29" t="s">
        <v>904</v>
      </c>
      <c r="B48" s="29" t="s">
        <v>905</v>
      </c>
    </row>
    <row r="49" spans="1:2" x14ac:dyDescent="0.25">
      <c r="A49" s="31" t="s">
        <v>2918</v>
      </c>
      <c r="B49" s="31" t="s">
        <v>2954</v>
      </c>
    </row>
    <row r="50" spans="1:2" x14ac:dyDescent="0.25">
      <c r="A50" s="29" t="s">
        <v>1399</v>
      </c>
      <c r="B50" t="s">
        <v>1400</v>
      </c>
    </row>
    <row r="51" spans="1:2" x14ac:dyDescent="0.25">
      <c r="A51" s="29" t="s">
        <v>1949</v>
      </c>
      <c r="B51" s="29" t="s">
        <v>1950</v>
      </c>
    </row>
    <row r="52" spans="1:2" x14ac:dyDescent="0.25">
      <c r="A52" s="29" t="s">
        <v>27</v>
      </c>
      <c r="B52" s="29" t="s">
        <v>1051</v>
      </c>
    </row>
    <row r="53" spans="1:2" x14ac:dyDescent="0.25">
      <c r="A53" s="29" t="s">
        <v>52</v>
      </c>
      <c r="B53" s="29" t="s">
        <v>618</v>
      </c>
    </row>
    <row r="54" spans="1:2" x14ac:dyDescent="0.25">
      <c r="A54" s="29" t="s">
        <v>1401</v>
      </c>
      <c r="B54" t="s">
        <v>1402</v>
      </c>
    </row>
    <row r="55" spans="1:2" x14ac:dyDescent="0.25">
      <c r="A55" s="29" t="s">
        <v>728</v>
      </c>
      <c r="B55" s="29" t="s">
        <v>729</v>
      </c>
    </row>
    <row r="56" spans="1:2" x14ac:dyDescent="0.25">
      <c r="A56" s="29" t="s">
        <v>869</v>
      </c>
      <c r="B56" s="29" t="s">
        <v>870</v>
      </c>
    </row>
    <row r="57" spans="1:2" x14ac:dyDescent="0.25">
      <c r="A57" s="29" t="s">
        <v>136</v>
      </c>
      <c r="B57" s="29" t="s">
        <v>1073</v>
      </c>
    </row>
    <row r="58" spans="1:2" x14ac:dyDescent="0.25">
      <c r="A58" s="29" t="s">
        <v>2171</v>
      </c>
      <c r="B58" s="29" t="s">
        <v>2172</v>
      </c>
    </row>
    <row r="59" spans="1:2" x14ac:dyDescent="0.25">
      <c r="A59" s="29" t="s">
        <v>897</v>
      </c>
      <c r="B59" s="29" t="s">
        <v>898</v>
      </c>
    </row>
    <row r="60" spans="1:2" x14ac:dyDescent="0.25">
      <c r="A60" s="29" t="s">
        <v>1158</v>
      </c>
      <c r="B60" s="29" t="s">
        <v>1159</v>
      </c>
    </row>
    <row r="61" spans="1:2" x14ac:dyDescent="0.25">
      <c r="A61" s="31" t="s">
        <v>2626</v>
      </c>
      <c r="B61" s="31" t="s">
        <v>1163</v>
      </c>
    </row>
    <row r="62" spans="1:2" x14ac:dyDescent="0.25">
      <c r="A62" s="29" t="s">
        <v>1162</v>
      </c>
      <c r="B62" s="29" t="s">
        <v>1163</v>
      </c>
    </row>
    <row r="63" spans="1:2" x14ac:dyDescent="0.25">
      <c r="A63" s="29" t="s">
        <v>24</v>
      </c>
      <c r="B63" s="29" t="s">
        <v>584</v>
      </c>
    </row>
    <row r="64" spans="1:2" x14ac:dyDescent="0.25">
      <c r="A64" s="31" t="s">
        <v>3326</v>
      </c>
      <c r="B64" s="31" t="s">
        <v>1717</v>
      </c>
    </row>
    <row r="65" spans="1:2" x14ac:dyDescent="0.25">
      <c r="A65" t="s">
        <v>1716</v>
      </c>
      <c r="B65" s="32" t="s">
        <v>1717</v>
      </c>
    </row>
    <row r="66" spans="1:2" x14ac:dyDescent="0.25">
      <c r="A66" s="31" t="s">
        <v>3328</v>
      </c>
      <c r="B66" s="31" t="s">
        <v>1717</v>
      </c>
    </row>
    <row r="67" spans="1:2" x14ac:dyDescent="0.25">
      <c r="A67" s="31" t="s">
        <v>3548</v>
      </c>
      <c r="B67" s="31" t="s">
        <v>3565</v>
      </c>
    </row>
    <row r="68" spans="1:2" x14ac:dyDescent="0.25">
      <c r="A68" s="29" t="s">
        <v>1683</v>
      </c>
      <c r="B68" s="29" t="s">
        <v>2035</v>
      </c>
    </row>
    <row r="69" spans="1:2" x14ac:dyDescent="0.25">
      <c r="A69" s="29" t="s">
        <v>585</v>
      </c>
      <c r="B69" s="29" t="s">
        <v>586</v>
      </c>
    </row>
    <row r="70" spans="1:2" x14ac:dyDescent="0.25">
      <c r="A70" s="31" t="s">
        <v>2621</v>
      </c>
      <c r="B70" s="31" t="s">
        <v>1232</v>
      </c>
    </row>
    <row r="71" spans="1:2" x14ac:dyDescent="0.25">
      <c r="A71" s="29" t="s">
        <v>1212</v>
      </c>
      <c r="B71" s="29" t="s">
        <v>1232</v>
      </c>
    </row>
    <row r="72" spans="1:2" x14ac:dyDescent="0.25">
      <c r="A72" t="s">
        <v>1848</v>
      </c>
      <c r="B72" s="32" t="s">
        <v>918</v>
      </c>
    </row>
    <row r="73" spans="1:2" x14ac:dyDescent="0.25">
      <c r="A73" s="31" t="s">
        <v>2617</v>
      </c>
      <c r="B73" s="31" t="s">
        <v>1232</v>
      </c>
    </row>
    <row r="74" spans="1:2" x14ac:dyDescent="0.25">
      <c r="A74" s="29" t="s">
        <v>165</v>
      </c>
      <c r="B74" s="29" t="s">
        <v>251</v>
      </c>
    </row>
    <row r="75" spans="1:2" x14ac:dyDescent="0.25">
      <c r="A75" t="s">
        <v>1720</v>
      </c>
      <c r="B75" s="32" t="s">
        <v>1721</v>
      </c>
    </row>
    <row r="76" spans="1:2" x14ac:dyDescent="0.25">
      <c r="A76" s="31" t="s">
        <v>2685</v>
      </c>
      <c r="B76" s="31" t="s">
        <v>2685</v>
      </c>
    </row>
    <row r="77" spans="1:2" x14ac:dyDescent="0.25">
      <c r="A77" s="31" t="s">
        <v>2887</v>
      </c>
      <c r="B77" s="31" t="s">
        <v>2955</v>
      </c>
    </row>
    <row r="78" spans="1:2" x14ac:dyDescent="0.25">
      <c r="A78" s="29" t="s">
        <v>1700</v>
      </c>
      <c r="B78" s="29" t="s">
        <v>2034</v>
      </c>
    </row>
    <row r="79" spans="1:2" x14ac:dyDescent="0.25">
      <c r="A79" t="s">
        <v>1722</v>
      </c>
      <c r="B79" s="32" t="s">
        <v>1723</v>
      </c>
    </row>
    <row r="80" spans="1:2" x14ac:dyDescent="0.25">
      <c r="A80" s="31" t="s">
        <v>3479</v>
      </c>
      <c r="B80" s="31" t="s">
        <v>3500</v>
      </c>
    </row>
    <row r="81" spans="1:2" x14ac:dyDescent="0.25">
      <c r="A81" s="31" t="s">
        <v>2675</v>
      </c>
      <c r="B81" s="31" t="s">
        <v>2686</v>
      </c>
    </row>
    <row r="82" spans="1:2" x14ac:dyDescent="0.25">
      <c r="A82" s="31" t="s">
        <v>2876</v>
      </c>
      <c r="B82" s="31" t="s">
        <v>2956</v>
      </c>
    </row>
    <row r="83" spans="1:2" x14ac:dyDescent="0.25">
      <c r="A83" t="s">
        <v>1724</v>
      </c>
      <c r="B83" s="32" t="s">
        <v>1725</v>
      </c>
    </row>
    <row r="84" spans="1:2" x14ac:dyDescent="0.25">
      <c r="A84" s="29" t="s">
        <v>1726</v>
      </c>
      <c r="B84" s="29" t="s">
        <v>1726</v>
      </c>
    </row>
    <row r="85" spans="1:2" x14ac:dyDescent="0.25">
      <c r="A85" s="29" t="s">
        <v>2080</v>
      </c>
      <c r="B85" s="29" t="s">
        <v>2081</v>
      </c>
    </row>
    <row r="86" spans="1:2" x14ac:dyDescent="0.25">
      <c r="A86" s="29" t="s">
        <v>2465</v>
      </c>
      <c r="B86" s="29" t="s">
        <v>2502</v>
      </c>
    </row>
    <row r="87" spans="1:2" x14ac:dyDescent="0.25">
      <c r="A87" s="29" t="s">
        <v>589</v>
      </c>
      <c r="B87" s="29" t="s">
        <v>590</v>
      </c>
    </row>
    <row r="88" spans="1:2" x14ac:dyDescent="0.25">
      <c r="A88" s="31" t="s">
        <v>3696</v>
      </c>
      <c r="B88" s="31" t="s">
        <v>3697</v>
      </c>
    </row>
    <row r="89" spans="1:2" x14ac:dyDescent="0.25">
      <c r="A89" s="31" t="s">
        <v>3339</v>
      </c>
      <c r="B89" s="31" t="s">
        <v>3340</v>
      </c>
    </row>
    <row r="90" spans="1:2" x14ac:dyDescent="0.25">
      <c r="A90" s="29" t="s">
        <v>243</v>
      </c>
      <c r="B90" s="29" t="s">
        <v>591</v>
      </c>
    </row>
    <row r="91" spans="1:2" x14ac:dyDescent="0.25">
      <c r="A91" s="29" t="s">
        <v>592</v>
      </c>
      <c r="B91" s="29" t="s">
        <v>593</v>
      </c>
    </row>
    <row r="92" spans="1:2" x14ac:dyDescent="0.25">
      <c r="A92" s="31" t="s">
        <v>2687</v>
      </c>
      <c r="B92" s="31" t="s">
        <v>595</v>
      </c>
    </row>
    <row r="93" spans="1:2" x14ac:dyDescent="0.25">
      <c r="A93" s="31" t="s">
        <v>3844</v>
      </c>
      <c r="B93" s="31" t="s">
        <v>595</v>
      </c>
    </row>
    <row r="94" spans="1:2" x14ac:dyDescent="0.25">
      <c r="A94" s="29" t="s">
        <v>594</v>
      </c>
      <c r="B94" s="29" t="s">
        <v>595</v>
      </c>
    </row>
    <row r="95" spans="1:2" x14ac:dyDescent="0.25">
      <c r="A95" s="31" t="s">
        <v>3470</v>
      </c>
      <c r="B95" s="31" t="s">
        <v>3501</v>
      </c>
    </row>
    <row r="96" spans="1:2" x14ac:dyDescent="0.25">
      <c r="A96" s="31" t="s">
        <v>3680</v>
      </c>
      <c r="B96" s="31" t="s">
        <v>3698</v>
      </c>
    </row>
    <row r="97" spans="1:2" x14ac:dyDescent="0.25">
      <c r="A97" s="29" t="s">
        <v>596</v>
      </c>
      <c r="B97" s="29" t="s">
        <v>597</v>
      </c>
    </row>
    <row r="98" spans="1:2" x14ac:dyDescent="0.25">
      <c r="A98" s="29" t="s">
        <v>1727</v>
      </c>
      <c r="B98" s="29" t="s">
        <v>597</v>
      </c>
    </row>
    <row r="99" spans="1:2" x14ac:dyDescent="0.25">
      <c r="A99" s="29" t="s">
        <v>1727</v>
      </c>
      <c r="B99" s="29" t="s">
        <v>597</v>
      </c>
    </row>
    <row r="100" spans="1:2" x14ac:dyDescent="0.25">
      <c r="A100" s="31" t="s">
        <v>3562</v>
      </c>
      <c r="B100" s="31" t="s">
        <v>3566</v>
      </c>
    </row>
    <row r="101" spans="1:2" x14ac:dyDescent="0.25">
      <c r="A101" s="29" t="s">
        <v>1634</v>
      </c>
      <c r="B101" s="29" t="s">
        <v>2033</v>
      </c>
    </row>
    <row r="102" spans="1:2" x14ac:dyDescent="0.25">
      <c r="A102" s="31" t="s">
        <v>3139</v>
      </c>
      <c r="B102" s="31" t="s">
        <v>3181</v>
      </c>
    </row>
    <row r="103" spans="1:2" x14ac:dyDescent="0.25">
      <c r="A103" s="31" t="s">
        <v>3327</v>
      </c>
      <c r="B103" s="31" t="s">
        <v>3341</v>
      </c>
    </row>
    <row r="104" spans="1:2" x14ac:dyDescent="0.25">
      <c r="A104" s="29" t="s">
        <v>138</v>
      </c>
      <c r="B104" s="29" t="s">
        <v>598</v>
      </c>
    </row>
    <row r="105" spans="1:2" x14ac:dyDescent="0.25">
      <c r="A105" s="29" t="s">
        <v>599</v>
      </c>
      <c r="B105" s="29" t="s">
        <v>598</v>
      </c>
    </row>
    <row r="106" spans="1:2" x14ac:dyDescent="0.25">
      <c r="A106" s="29" t="s">
        <v>600</v>
      </c>
      <c r="B106" s="29" t="s">
        <v>598</v>
      </c>
    </row>
    <row r="107" spans="1:2" x14ac:dyDescent="0.25">
      <c r="A107" s="29" t="s">
        <v>70</v>
      </c>
      <c r="B107" s="29" t="s">
        <v>601</v>
      </c>
    </row>
    <row r="108" spans="1:2" x14ac:dyDescent="0.25">
      <c r="A108" s="31" t="s">
        <v>2652</v>
      </c>
      <c r="B108" s="31" t="s">
        <v>2688</v>
      </c>
    </row>
    <row r="109" spans="1:2" x14ac:dyDescent="0.25">
      <c r="A109" s="29" t="s">
        <v>1225</v>
      </c>
      <c r="B109" t="s">
        <v>227</v>
      </c>
    </row>
    <row r="110" spans="1:2" x14ac:dyDescent="0.25">
      <c r="A110" t="s">
        <v>1728</v>
      </c>
      <c r="B110" s="32" t="s">
        <v>601</v>
      </c>
    </row>
    <row r="111" spans="1:2" x14ac:dyDescent="0.25">
      <c r="A111" s="29" t="s">
        <v>1635</v>
      </c>
      <c r="B111" s="29" t="s">
        <v>2032</v>
      </c>
    </row>
    <row r="112" spans="1:2" x14ac:dyDescent="0.25">
      <c r="A112" t="s">
        <v>1729</v>
      </c>
      <c r="B112" s="32" t="s">
        <v>3055</v>
      </c>
    </row>
    <row r="113" spans="1:2" x14ac:dyDescent="0.25">
      <c r="A113" s="29" t="s">
        <v>2072</v>
      </c>
      <c r="B113" s="29" t="s">
        <v>2073</v>
      </c>
    </row>
    <row r="114" spans="1:2" x14ac:dyDescent="0.25">
      <c r="A114" s="31" t="s">
        <v>3147</v>
      </c>
      <c r="B114" s="31" t="s">
        <v>3182</v>
      </c>
    </row>
    <row r="115" spans="1:2" x14ac:dyDescent="0.25">
      <c r="A115" s="29" t="s">
        <v>2131</v>
      </c>
      <c r="B115" s="29" t="s">
        <v>2132</v>
      </c>
    </row>
    <row r="116" spans="1:2" x14ac:dyDescent="0.25">
      <c r="A116" s="29" t="s">
        <v>2447</v>
      </c>
      <c r="B116" s="29" t="s">
        <v>2488</v>
      </c>
    </row>
    <row r="117" spans="1:2" x14ac:dyDescent="0.25">
      <c r="A117" s="29" t="s">
        <v>1207</v>
      </c>
      <c r="B117" s="29" t="s">
        <v>1233</v>
      </c>
    </row>
    <row r="118" spans="1:2" x14ac:dyDescent="0.25">
      <c r="A118" s="29" t="s">
        <v>57</v>
      </c>
      <c r="B118" s="29" t="s">
        <v>603</v>
      </c>
    </row>
    <row r="119" spans="1:2" x14ac:dyDescent="0.25">
      <c r="A119" s="29" t="s">
        <v>1188</v>
      </c>
      <c r="B119" s="29" t="s">
        <v>1234</v>
      </c>
    </row>
    <row r="120" spans="1:2" x14ac:dyDescent="0.25">
      <c r="A120" s="29" t="s">
        <v>120</v>
      </c>
      <c r="B120" s="29" t="s">
        <v>604</v>
      </c>
    </row>
    <row r="121" spans="1:2" x14ac:dyDescent="0.25">
      <c r="A121" s="29" t="s">
        <v>605</v>
      </c>
      <c r="B121" s="29" t="s">
        <v>604</v>
      </c>
    </row>
    <row r="122" spans="1:2" x14ac:dyDescent="0.25">
      <c r="A122" s="29" t="s">
        <v>606</v>
      </c>
      <c r="B122" s="29" t="s">
        <v>604</v>
      </c>
    </row>
    <row r="123" spans="1:2" x14ac:dyDescent="0.25">
      <c r="A123" s="29" t="s">
        <v>607</v>
      </c>
      <c r="B123" s="29" t="s">
        <v>604</v>
      </c>
    </row>
    <row r="124" spans="1:2" x14ac:dyDescent="0.25">
      <c r="A124" s="29" t="s">
        <v>103</v>
      </c>
      <c r="B124" s="29" t="s">
        <v>604</v>
      </c>
    </row>
    <row r="125" spans="1:2" x14ac:dyDescent="0.25">
      <c r="A125" s="31" t="s">
        <v>3590</v>
      </c>
      <c r="B125" s="31" t="s">
        <v>3613</v>
      </c>
    </row>
    <row r="126" spans="1:2" x14ac:dyDescent="0.25">
      <c r="A126" s="29" t="s">
        <v>877</v>
      </c>
      <c r="B126" s="29" t="s">
        <v>878</v>
      </c>
    </row>
    <row r="127" spans="1:2" x14ac:dyDescent="0.25">
      <c r="A127" s="31" t="s">
        <v>2689</v>
      </c>
      <c r="B127" s="31" t="s">
        <v>2690</v>
      </c>
    </row>
    <row r="128" spans="1:2" x14ac:dyDescent="0.25">
      <c r="A128" s="31" t="s">
        <v>4344</v>
      </c>
      <c r="B128" s="31" t="s">
        <v>4345</v>
      </c>
    </row>
    <row r="129" spans="1:2" x14ac:dyDescent="0.25">
      <c r="A129" s="31" t="s">
        <v>4034</v>
      </c>
      <c r="B129" s="31" t="s">
        <v>4346</v>
      </c>
    </row>
    <row r="130" spans="1:2" x14ac:dyDescent="0.25">
      <c r="A130" s="31" t="s">
        <v>3949</v>
      </c>
      <c r="B130" s="31" t="s">
        <v>4347</v>
      </c>
    </row>
    <row r="131" spans="1:2" x14ac:dyDescent="0.25">
      <c r="A131" s="29" t="s">
        <v>608</v>
      </c>
      <c r="B131" s="29" t="s">
        <v>609</v>
      </c>
    </row>
    <row r="132" spans="1:2" x14ac:dyDescent="0.25">
      <c r="A132" s="31" t="s">
        <v>4348</v>
      </c>
      <c r="B132" s="31" t="s">
        <v>4349</v>
      </c>
    </row>
    <row r="133" spans="1:2" x14ac:dyDescent="0.25">
      <c r="A133" s="31" t="s">
        <v>3438</v>
      </c>
      <c r="B133" s="31" t="s">
        <v>3443</v>
      </c>
    </row>
    <row r="134" spans="1:2" x14ac:dyDescent="0.25">
      <c r="A134" s="31" t="s">
        <v>3281</v>
      </c>
      <c r="B134" s="31" t="s">
        <v>3282</v>
      </c>
    </row>
    <row r="135" spans="1:2" x14ac:dyDescent="0.25">
      <c r="A135" s="29" t="s">
        <v>610</v>
      </c>
      <c r="B135" s="29" t="s">
        <v>611</v>
      </c>
    </row>
    <row r="136" spans="1:2" x14ac:dyDescent="0.25">
      <c r="A136" s="29" t="s">
        <v>612</v>
      </c>
      <c r="B136" s="29" t="s">
        <v>611</v>
      </c>
    </row>
    <row r="137" spans="1:2" x14ac:dyDescent="0.25">
      <c r="A137" s="31" t="s">
        <v>3041</v>
      </c>
      <c r="B137" s="31" t="s">
        <v>3070</v>
      </c>
    </row>
    <row r="138" spans="1:2" x14ac:dyDescent="0.25">
      <c r="A138" s="29" t="s">
        <v>17</v>
      </c>
      <c r="B138" s="29" t="s">
        <v>613</v>
      </c>
    </row>
    <row r="139" spans="1:2" x14ac:dyDescent="0.25">
      <c r="A139" s="29" t="s">
        <v>1703</v>
      </c>
      <c r="B139" s="29" t="s">
        <v>2031</v>
      </c>
    </row>
    <row r="140" spans="1:2" x14ac:dyDescent="0.25">
      <c r="A140" s="31" t="s">
        <v>4264</v>
      </c>
      <c r="B140" s="31" t="s">
        <v>4350</v>
      </c>
    </row>
    <row r="141" spans="1:2" x14ac:dyDescent="0.25">
      <c r="A141" s="29" t="s">
        <v>1692</v>
      </c>
      <c r="B141" s="29" t="s">
        <v>2030</v>
      </c>
    </row>
    <row r="142" spans="1:2" x14ac:dyDescent="0.25">
      <c r="A142" s="29" t="s">
        <v>2342</v>
      </c>
      <c r="B142" s="29" t="s">
        <v>2343</v>
      </c>
    </row>
    <row r="143" spans="1:2" x14ac:dyDescent="0.25">
      <c r="A143" s="31" t="s">
        <v>3119</v>
      </c>
      <c r="B143" s="31" t="s">
        <v>3183</v>
      </c>
    </row>
    <row r="144" spans="1:2" x14ac:dyDescent="0.25">
      <c r="A144" s="31" t="s">
        <v>2633</v>
      </c>
      <c r="B144" s="31" t="s">
        <v>2691</v>
      </c>
    </row>
    <row r="145" spans="1:2" x14ac:dyDescent="0.25">
      <c r="A145" s="31" t="s">
        <v>3342</v>
      </c>
      <c r="B145" s="31" t="s">
        <v>3183</v>
      </c>
    </row>
    <row r="146" spans="1:2" x14ac:dyDescent="0.25">
      <c r="A146" s="29" t="s">
        <v>2439</v>
      </c>
      <c r="B146" s="29" t="s">
        <v>2440</v>
      </c>
    </row>
    <row r="147" spans="1:2" x14ac:dyDescent="0.25">
      <c r="A147" s="31" t="s">
        <v>2618</v>
      </c>
      <c r="B147" s="31" t="s">
        <v>2692</v>
      </c>
    </row>
    <row r="148" spans="1:2" x14ac:dyDescent="0.25">
      <c r="A148" s="31" t="s">
        <v>3543</v>
      </c>
      <c r="B148" s="31" t="s">
        <v>3567</v>
      </c>
    </row>
    <row r="149" spans="1:2" x14ac:dyDescent="0.25">
      <c r="A149" s="31" t="s">
        <v>2883</v>
      </c>
      <c r="B149" s="31" t="s">
        <v>2957</v>
      </c>
    </row>
    <row r="150" spans="1:2" x14ac:dyDescent="0.25">
      <c r="A150" s="29" t="s">
        <v>614</v>
      </c>
      <c r="B150" s="29" t="s">
        <v>615</v>
      </c>
    </row>
    <row r="151" spans="1:2" x14ac:dyDescent="0.25">
      <c r="A151" t="s">
        <v>1730</v>
      </c>
      <c r="B151" s="32" t="s">
        <v>1731</v>
      </c>
    </row>
    <row r="152" spans="1:2" x14ac:dyDescent="0.25">
      <c r="A152" s="31" t="s">
        <v>3329</v>
      </c>
      <c r="B152" s="31" t="s">
        <v>2273</v>
      </c>
    </row>
    <row r="153" spans="1:2" x14ac:dyDescent="0.25">
      <c r="A153" s="31" t="s">
        <v>2693</v>
      </c>
      <c r="B153" s="31" t="s">
        <v>2273</v>
      </c>
    </row>
    <row r="154" spans="1:2" x14ac:dyDescent="0.25">
      <c r="A154" s="29" t="s">
        <v>2272</v>
      </c>
      <c r="B154" s="29" t="s">
        <v>2273</v>
      </c>
    </row>
    <row r="155" spans="1:2" x14ac:dyDescent="0.25">
      <c r="A155" t="s">
        <v>1732</v>
      </c>
      <c r="B155" s="32" t="s">
        <v>1733</v>
      </c>
    </row>
    <row r="156" spans="1:2" x14ac:dyDescent="0.25">
      <c r="A156" s="31" t="s">
        <v>3486</v>
      </c>
      <c r="B156" s="31" t="s">
        <v>3502</v>
      </c>
    </row>
    <row r="157" spans="1:2" x14ac:dyDescent="0.25">
      <c r="A157" s="29" t="s">
        <v>616</v>
      </c>
      <c r="B157" s="29" t="s">
        <v>617</v>
      </c>
    </row>
    <row r="158" spans="1:2" x14ac:dyDescent="0.25">
      <c r="A158" s="31" t="s">
        <v>3343</v>
      </c>
      <c r="B158" s="31" t="s">
        <v>3344</v>
      </c>
    </row>
    <row r="159" spans="1:2" x14ac:dyDescent="0.25">
      <c r="A159" s="29" t="s">
        <v>2334</v>
      </c>
      <c r="B159" s="29" t="s">
        <v>2335</v>
      </c>
    </row>
    <row r="160" spans="1:2" x14ac:dyDescent="0.25">
      <c r="A160" s="29" t="s">
        <v>221</v>
      </c>
      <c r="B160" s="29" t="s">
        <v>1019</v>
      </c>
    </row>
    <row r="161" spans="1:2" x14ac:dyDescent="0.25">
      <c r="A161" s="31" t="s">
        <v>3253</v>
      </c>
      <c r="B161" s="31" t="s">
        <v>3283</v>
      </c>
    </row>
    <row r="162" spans="1:2" x14ac:dyDescent="0.25">
      <c r="A162" s="31" t="s">
        <v>3679</v>
      </c>
      <c r="B162" s="31" t="s">
        <v>2483</v>
      </c>
    </row>
    <row r="163" spans="1:2" x14ac:dyDescent="0.25">
      <c r="A163" s="31" t="s">
        <v>3053</v>
      </c>
      <c r="B163" s="31" t="s">
        <v>3080</v>
      </c>
    </row>
    <row r="164" spans="1:2" x14ac:dyDescent="0.25">
      <c r="A164" s="31" t="s">
        <v>3699</v>
      </c>
      <c r="B164" s="31" t="s">
        <v>918</v>
      </c>
    </row>
    <row r="165" spans="1:2" x14ac:dyDescent="0.25">
      <c r="A165" s="29" t="s">
        <v>619</v>
      </c>
      <c r="B165" s="29" t="s">
        <v>618</v>
      </c>
    </row>
    <row r="166" spans="1:2" x14ac:dyDescent="0.25">
      <c r="A166" s="29" t="s">
        <v>620</v>
      </c>
      <c r="B166" s="29" t="s">
        <v>618</v>
      </c>
    </row>
    <row r="167" spans="1:2" x14ac:dyDescent="0.25">
      <c r="A167" s="31" t="s">
        <v>3345</v>
      </c>
      <c r="B167" s="31" t="s">
        <v>3346</v>
      </c>
    </row>
    <row r="168" spans="1:2" x14ac:dyDescent="0.25">
      <c r="A168" s="31" t="s">
        <v>3084</v>
      </c>
      <c r="B168" s="31" t="s">
        <v>3085</v>
      </c>
    </row>
    <row r="169" spans="1:2" x14ac:dyDescent="0.25">
      <c r="A169" s="29" t="s">
        <v>621</v>
      </c>
      <c r="B169" s="29" t="s">
        <v>622</v>
      </c>
    </row>
    <row r="170" spans="1:2" x14ac:dyDescent="0.25">
      <c r="A170" s="31" t="s">
        <v>3347</v>
      </c>
      <c r="B170" s="31" t="s">
        <v>3348</v>
      </c>
    </row>
    <row r="171" spans="1:2" x14ac:dyDescent="0.25">
      <c r="A171" t="s">
        <v>1295</v>
      </c>
      <c r="B171" t="s">
        <v>690</v>
      </c>
    </row>
    <row r="172" spans="1:2" x14ac:dyDescent="0.25">
      <c r="A172" s="29" t="s">
        <v>2141</v>
      </c>
      <c r="B172" s="29" t="s">
        <v>2142</v>
      </c>
    </row>
    <row r="173" spans="1:2" x14ac:dyDescent="0.25">
      <c r="A173" s="31" t="s">
        <v>3611</v>
      </c>
      <c r="B173" s="31" t="s">
        <v>3614</v>
      </c>
    </row>
    <row r="174" spans="1:2" x14ac:dyDescent="0.25">
      <c r="A174" s="31" t="s">
        <v>1735</v>
      </c>
      <c r="B174" s="31" t="s">
        <v>1735</v>
      </c>
    </row>
    <row r="175" spans="1:2" x14ac:dyDescent="0.25">
      <c r="A175" t="s">
        <v>1734</v>
      </c>
      <c r="B175" s="32" t="s">
        <v>1735</v>
      </c>
    </row>
    <row r="176" spans="1:2" x14ac:dyDescent="0.25">
      <c r="A176" s="29" t="s">
        <v>73</v>
      </c>
      <c r="B176" s="29" t="s">
        <v>235</v>
      </c>
    </row>
    <row r="177" spans="1:2" x14ac:dyDescent="0.25">
      <c r="A177" s="29" t="s">
        <v>1642</v>
      </c>
      <c r="B177" s="29" t="s">
        <v>2029</v>
      </c>
    </row>
    <row r="178" spans="1:2" x14ac:dyDescent="0.25">
      <c r="A178" s="31" t="s">
        <v>3673</v>
      </c>
      <c r="B178" s="31" t="s">
        <v>3700</v>
      </c>
    </row>
    <row r="179" spans="1:2" x14ac:dyDescent="0.25">
      <c r="A179" s="29" t="s">
        <v>1013</v>
      </c>
      <c r="B179" s="29" t="s">
        <v>1014</v>
      </c>
    </row>
    <row r="180" spans="1:2" x14ac:dyDescent="0.25">
      <c r="A180" s="31" t="s">
        <v>2533</v>
      </c>
      <c r="B180" s="31" t="s">
        <v>2574</v>
      </c>
    </row>
    <row r="181" spans="1:2" x14ac:dyDescent="0.25">
      <c r="A181" s="29" t="s">
        <v>2390</v>
      </c>
      <c r="B181" s="29" t="s">
        <v>2391</v>
      </c>
    </row>
    <row r="182" spans="1:2" x14ac:dyDescent="0.25">
      <c r="A182" s="29" t="s">
        <v>2218</v>
      </c>
      <c r="B182" s="29" t="s">
        <v>2219</v>
      </c>
    </row>
    <row r="183" spans="1:2" x14ac:dyDescent="0.25">
      <c r="A183" t="s">
        <v>1297</v>
      </c>
      <c r="B183" s="32" t="s">
        <v>1297</v>
      </c>
    </row>
    <row r="184" spans="1:2" x14ac:dyDescent="0.25">
      <c r="A184" t="s">
        <v>1296</v>
      </c>
      <c r="B184" t="s">
        <v>1297</v>
      </c>
    </row>
    <row r="185" spans="1:2" x14ac:dyDescent="0.25">
      <c r="A185" t="s">
        <v>1736</v>
      </c>
      <c r="B185" s="32" t="s">
        <v>1297</v>
      </c>
    </row>
    <row r="186" spans="1:2" x14ac:dyDescent="0.25">
      <c r="A186" s="31" t="s">
        <v>3701</v>
      </c>
      <c r="B186" s="31" t="s">
        <v>3702</v>
      </c>
    </row>
    <row r="187" spans="1:2" x14ac:dyDescent="0.25">
      <c r="A187" s="29" t="s">
        <v>2230</v>
      </c>
      <c r="B187" s="29" t="s">
        <v>2091</v>
      </c>
    </row>
    <row r="188" spans="1:2" x14ac:dyDescent="0.25">
      <c r="A188" s="29" t="s">
        <v>2090</v>
      </c>
      <c r="B188" s="29" t="s">
        <v>2091</v>
      </c>
    </row>
    <row r="189" spans="1:2" x14ac:dyDescent="0.25">
      <c r="A189" s="29" t="s">
        <v>210</v>
      </c>
      <c r="B189" s="29" t="s">
        <v>256</v>
      </c>
    </row>
    <row r="190" spans="1:2" x14ac:dyDescent="0.25">
      <c r="A190" s="31" t="s">
        <v>3437</v>
      </c>
      <c r="B190" s="31" t="s">
        <v>3444</v>
      </c>
    </row>
    <row r="191" spans="1:2" x14ac:dyDescent="0.25">
      <c r="A191" s="29" t="s">
        <v>1198</v>
      </c>
      <c r="B191" s="29" t="s">
        <v>1235</v>
      </c>
    </row>
    <row r="192" spans="1:2" x14ac:dyDescent="0.25">
      <c r="A192" s="31" t="s">
        <v>2901</v>
      </c>
      <c r="B192" s="31" t="s">
        <v>2958</v>
      </c>
    </row>
    <row r="193" spans="1:2" x14ac:dyDescent="0.25">
      <c r="A193" s="31" t="s">
        <v>2694</v>
      </c>
      <c r="B193" s="31" t="s">
        <v>2695</v>
      </c>
    </row>
    <row r="194" spans="1:2" x14ac:dyDescent="0.25">
      <c r="A194" s="31" t="s">
        <v>3158</v>
      </c>
      <c r="B194" s="31" t="s">
        <v>3184</v>
      </c>
    </row>
    <row r="195" spans="1:2" x14ac:dyDescent="0.25">
      <c r="A195" t="s">
        <v>1737</v>
      </c>
      <c r="B195" s="32" t="s">
        <v>1738</v>
      </c>
    </row>
    <row r="196" spans="1:2" x14ac:dyDescent="0.25">
      <c r="A196" s="29" t="s">
        <v>1739</v>
      </c>
      <c r="B196" s="29" t="s">
        <v>1740</v>
      </c>
    </row>
    <row r="197" spans="1:2" x14ac:dyDescent="0.25">
      <c r="A197" s="29" t="s">
        <v>623</v>
      </c>
      <c r="B197" s="29" t="s">
        <v>624</v>
      </c>
    </row>
    <row r="198" spans="1:2" x14ac:dyDescent="0.25">
      <c r="A198" s="29" t="s">
        <v>1704</v>
      </c>
      <c r="B198" s="29" t="s">
        <v>2028</v>
      </c>
    </row>
    <row r="199" spans="1:2" x14ac:dyDescent="0.25">
      <c r="A199" s="31" t="s">
        <v>3554</v>
      </c>
      <c r="B199" s="31" t="s">
        <v>3568</v>
      </c>
    </row>
    <row r="200" spans="1:2" x14ac:dyDescent="0.25">
      <c r="A200" s="31" t="s">
        <v>4140</v>
      </c>
      <c r="B200" s="31" t="s">
        <v>4351</v>
      </c>
    </row>
    <row r="201" spans="1:2" x14ac:dyDescent="0.25">
      <c r="A201" s="31" t="s">
        <v>3703</v>
      </c>
      <c r="B201" s="31" t="s">
        <v>3704</v>
      </c>
    </row>
    <row r="202" spans="1:2" x14ac:dyDescent="0.25">
      <c r="A202" s="31" t="s">
        <v>2696</v>
      </c>
      <c r="B202" s="31" t="s">
        <v>2697</v>
      </c>
    </row>
    <row r="203" spans="1:2" x14ac:dyDescent="0.25">
      <c r="A203" s="29" t="s">
        <v>2348</v>
      </c>
      <c r="B203" s="29" t="s">
        <v>2349</v>
      </c>
    </row>
    <row r="204" spans="1:2" x14ac:dyDescent="0.25">
      <c r="A204" s="29" t="s">
        <v>1403</v>
      </c>
      <c r="B204" t="s">
        <v>1404</v>
      </c>
    </row>
    <row r="205" spans="1:2" x14ac:dyDescent="0.25">
      <c r="A205" s="29" t="s">
        <v>2302</v>
      </c>
      <c r="B205" s="29" t="s">
        <v>2303</v>
      </c>
    </row>
    <row r="206" spans="1:2" x14ac:dyDescent="0.25">
      <c r="A206" s="31" t="s">
        <v>3146</v>
      </c>
      <c r="B206" s="31" t="s">
        <v>2602</v>
      </c>
    </row>
    <row r="207" spans="1:2" x14ac:dyDescent="0.25">
      <c r="A207" s="31" t="s">
        <v>2919</v>
      </c>
      <c r="B207" s="31" t="s">
        <v>2959</v>
      </c>
    </row>
    <row r="208" spans="1:2" x14ac:dyDescent="0.25">
      <c r="A208" s="31" t="s">
        <v>3086</v>
      </c>
      <c r="B208" s="31" t="s">
        <v>3087</v>
      </c>
    </row>
    <row r="209" spans="1:2" x14ac:dyDescent="0.25">
      <c r="A209" s="31" t="s">
        <v>3463</v>
      </c>
      <c r="B209" s="31" t="s">
        <v>3503</v>
      </c>
    </row>
    <row r="210" spans="1:2" x14ac:dyDescent="0.25">
      <c r="A210" s="29" t="s">
        <v>629</v>
      </c>
      <c r="B210" s="29" t="s">
        <v>630</v>
      </c>
    </row>
    <row r="211" spans="1:2" x14ac:dyDescent="0.25">
      <c r="A211" s="28" t="s">
        <v>2158</v>
      </c>
      <c r="B211" s="28" t="s">
        <v>2177</v>
      </c>
    </row>
    <row r="212" spans="1:2" x14ac:dyDescent="0.25">
      <c r="A212" s="29" t="s">
        <v>631</v>
      </c>
      <c r="B212" s="29" t="s">
        <v>632</v>
      </c>
    </row>
    <row r="213" spans="1:2" x14ac:dyDescent="0.25">
      <c r="A213" s="29" t="s">
        <v>85</v>
      </c>
      <c r="B213" s="29" t="s">
        <v>633</v>
      </c>
    </row>
    <row r="214" spans="1:2" x14ac:dyDescent="0.25">
      <c r="A214" s="29" t="s">
        <v>1655</v>
      </c>
      <c r="B214" s="29" t="s">
        <v>2027</v>
      </c>
    </row>
    <row r="215" spans="1:2" x14ac:dyDescent="0.25">
      <c r="A215" s="29" t="s">
        <v>1741</v>
      </c>
      <c r="B215" s="29" t="s">
        <v>635</v>
      </c>
    </row>
    <row r="216" spans="1:2" x14ac:dyDescent="0.25">
      <c r="A216" s="29" t="s">
        <v>634</v>
      </c>
      <c r="B216" s="29" t="s">
        <v>635</v>
      </c>
    </row>
    <row r="217" spans="1:2" x14ac:dyDescent="0.25">
      <c r="A217" s="29" t="s">
        <v>1742</v>
      </c>
      <c r="B217" s="29" t="s">
        <v>635</v>
      </c>
    </row>
    <row r="218" spans="1:2" x14ac:dyDescent="0.25">
      <c r="A218" s="29" t="s">
        <v>2051</v>
      </c>
      <c r="B218" s="29" t="s">
        <v>2052</v>
      </c>
    </row>
    <row r="219" spans="1:2" x14ac:dyDescent="0.25">
      <c r="A219" s="29" t="s">
        <v>654</v>
      </c>
      <c r="B219" s="29" t="s">
        <v>655</v>
      </c>
    </row>
    <row r="220" spans="1:2" x14ac:dyDescent="0.25">
      <c r="A220" s="29" t="s">
        <v>2178</v>
      </c>
      <c r="B220" s="29" t="s">
        <v>2179</v>
      </c>
    </row>
    <row r="221" spans="1:2" x14ac:dyDescent="0.25">
      <c r="A221" s="31" t="s">
        <v>2547</v>
      </c>
      <c r="B221" s="31" t="s">
        <v>2575</v>
      </c>
    </row>
    <row r="222" spans="1:2" x14ac:dyDescent="0.25">
      <c r="A222" t="s">
        <v>1298</v>
      </c>
      <c r="B222" t="s">
        <v>1299</v>
      </c>
    </row>
    <row r="223" spans="1:2" x14ac:dyDescent="0.25">
      <c r="A223" s="29" t="s">
        <v>637</v>
      </c>
      <c r="B223" s="29" t="s">
        <v>638</v>
      </c>
    </row>
    <row r="224" spans="1:2" x14ac:dyDescent="0.25">
      <c r="A224" s="29" t="s">
        <v>639</v>
      </c>
      <c r="B224" s="29" t="s">
        <v>640</v>
      </c>
    </row>
    <row r="225" spans="1:2" x14ac:dyDescent="0.25">
      <c r="A225" s="31" t="s">
        <v>2960</v>
      </c>
      <c r="B225" s="31" t="s">
        <v>2961</v>
      </c>
    </row>
    <row r="226" spans="1:2" x14ac:dyDescent="0.25">
      <c r="A226" s="29" t="s">
        <v>2350</v>
      </c>
      <c r="B226" s="29" t="s">
        <v>2351</v>
      </c>
    </row>
    <row r="227" spans="1:2" x14ac:dyDescent="0.25">
      <c r="A227" s="29" t="s">
        <v>49</v>
      </c>
      <c r="B227" s="29" t="s">
        <v>641</v>
      </c>
    </row>
    <row r="228" spans="1:2" x14ac:dyDescent="0.25">
      <c r="A228" s="31" t="s">
        <v>3491</v>
      </c>
      <c r="B228" s="31" t="s">
        <v>3504</v>
      </c>
    </row>
    <row r="229" spans="1:2" x14ac:dyDescent="0.25">
      <c r="A229" s="29" t="s">
        <v>2482</v>
      </c>
      <c r="B229" s="29" t="s">
        <v>2516</v>
      </c>
    </row>
    <row r="230" spans="1:2" x14ac:dyDescent="0.25">
      <c r="A230" s="31" t="s">
        <v>3705</v>
      </c>
      <c r="B230" s="31" t="s">
        <v>3706</v>
      </c>
    </row>
    <row r="231" spans="1:2" x14ac:dyDescent="0.25">
      <c r="A231" s="29" t="s">
        <v>62</v>
      </c>
      <c r="B231" s="29" t="s">
        <v>776</v>
      </c>
    </row>
    <row r="232" spans="1:2" x14ac:dyDescent="0.25">
      <c r="A232" s="31" t="s">
        <v>3690</v>
      </c>
      <c r="B232" s="31" t="s">
        <v>3707</v>
      </c>
    </row>
    <row r="233" spans="1:2" x14ac:dyDescent="0.25">
      <c r="A233" s="29" t="s">
        <v>153</v>
      </c>
      <c r="B233" s="29" t="s">
        <v>247</v>
      </c>
    </row>
    <row r="234" spans="1:2" x14ac:dyDescent="0.25">
      <c r="A234" s="29" t="s">
        <v>642</v>
      </c>
      <c r="B234" s="29" t="s">
        <v>643</v>
      </c>
    </row>
    <row r="235" spans="1:2" x14ac:dyDescent="0.25">
      <c r="A235" s="29" t="s">
        <v>644</v>
      </c>
      <c r="B235" s="29" t="s">
        <v>643</v>
      </c>
    </row>
    <row r="236" spans="1:2" x14ac:dyDescent="0.25">
      <c r="A236" s="31" t="s">
        <v>3671</v>
      </c>
      <c r="B236" s="31" t="s">
        <v>3708</v>
      </c>
    </row>
    <row r="237" spans="1:2" x14ac:dyDescent="0.25">
      <c r="A237" s="31" t="s">
        <v>3154</v>
      </c>
      <c r="B237" s="31" t="s">
        <v>3185</v>
      </c>
    </row>
    <row r="238" spans="1:2" x14ac:dyDescent="0.25">
      <c r="A238" s="29" t="s">
        <v>1666</v>
      </c>
      <c r="B238" s="29" t="s">
        <v>2025</v>
      </c>
    </row>
    <row r="239" spans="1:2" x14ac:dyDescent="0.25">
      <c r="A239" s="29" t="s">
        <v>89</v>
      </c>
      <c r="B239" s="29" t="s">
        <v>645</v>
      </c>
    </row>
    <row r="240" spans="1:2" x14ac:dyDescent="0.25">
      <c r="A240" s="29" t="s">
        <v>2088</v>
      </c>
      <c r="B240" s="29" t="s">
        <v>2089</v>
      </c>
    </row>
    <row r="241" spans="1:2" x14ac:dyDescent="0.25">
      <c r="A241" s="29" t="s">
        <v>216</v>
      </c>
      <c r="B241" s="29" t="s">
        <v>257</v>
      </c>
    </row>
    <row r="242" spans="1:2" x14ac:dyDescent="0.25">
      <c r="A242" s="31" t="s">
        <v>2933</v>
      </c>
      <c r="B242" s="31" t="s">
        <v>2962</v>
      </c>
    </row>
    <row r="243" spans="1:2" x14ac:dyDescent="0.25">
      <c r="A243" s="29" t="s">
        <v>646</v>
      </c>
      <c r="B243" s="29" t="s">
        <v>647</v>
      </c>
    </row>
    <row r="244" spans="1:2" x14ac:dyDescent="0.25">
      <c r="A244" s="29" t="s">
        <v>2458</v>
      </c>
      <c r="B244" s="29" t="s">
        <v>2497</v>
      </c>
    </row>
    <row r="245" spans="1:2" x14ac:dyDescent="0.25">
      <c r="A245" s="31" t="s">
        <v>4221</v>
      </c>
      <c r="B245" s="31" t="s">
        <v>4352</v>
      </c>
    </row>
    <row r="246" spans="1:2" x14ac:dyDescent="0.25">
      <c r="A246" s="29" t="s">
        <v>648</v>
      </c>
      <c r="B246" s="29" t="s">
        <v>649</v>
      </c>
    </row>
    <row r="247" spans="1:2" x14ac:dyDescent="0.25">
      <c r="A247" s="29" t="s">
        <v>194</v>
      </c>
      <c r="B247" s="29" t="s">
        <v>650</v>
      </c>
    </row>
    <row r="248" spans="1:2" x14ac:dyDescent="0.25">
      <c r="A248" s="29" t="s">
        <v>1405</v>
      </c>
      <c r="B248" t="s">
        <v>1406</v>
      </c>
    </row>
    <row r="249" spans="1:2" x14ac:dyDescent="0.25">
      <c r="A249" s="31" t="s">
        <v>4353</v>
      </c>
      <c r="B249" s="31" t="s">
        <v>4354</v>
      </c>
    </row>
    <row r="250" spans="1:2" x14ac:dyDescent="0.25">
      <c r="A250" s="31" t="s">
        <v>2885</v>
      </c>
      <c r="B250" s="31" t="s">
        <v>2963</v>
      </c>
    </row>
    <row r="251" spans="1:2" x14ac:dyDescent="0.25">
      <c r="A251" s="31" t="s">
        <v>2890</v>
      </c>
      <c r="B251" s="31" t="s">
        <v>2964</v>
      </c>
    </row>
    <row r="252" spans="1:2" x14ac:dyDescent="0.25">
      <c r="A252" s="31" t="s">
        <v>3636</v>
      </c>
      <c r="B252" s="31" t="s">
        <v>3709</v>
      </c>
    </row>
    <row r="253" spans="1:2" x14ac:dyDescent="0.25">
      <c r="A253" s="31" t="s">
        <v>3636</v>
      </c>
      <c r="B253" s="31" t="s">
        <v>3709</v>
      </c>
    </row>
    <row r="254" spans="1:2" x14ac:dyDescent="0.25">
      <c r="A254" s="29" t="s">
        <v>1407</v>
      </c>
      <c r="B254" t="s">
        <v>1408</v>
      </c>
    </row>
    <row r="255" spans="1:2" x14ac:dyDescent="0.25">
      <c r="A255" s="29" t="s">
        <v>87</v>
      </c>
      <c r="B255" s="29" t="s">
        <v>651</v>
      </c>
    </row>
    <row r="256" spans="1:2" x14ac:dyDescent="0.25">
      <c r="A256" s="31" t="s">
        <v>2698</v>
      </c>
      <c r="B256" s="31" t="s">
        <v>2699</v>
      </c>
    </row>
    <row r="257" spans="1:2" x14ac:dyDescent="0.25">
      <c r="A257" s="31" t="s">
        <v>3349</v>
      </c>
      <c r="B257" s="31" t="s">
        <v>3350</v>
      </c>
    </row>
    <row r="258" spans="1:2" x14ac:dyDescent="0.25">
      <c r="A258" s="29" t="s">
        <v>1409</v>
      </c>
      <c r="B258" t="s">
        <v>1410</v>
      </c>
    </row>
    <row r="259" spans="1:2" x14ac:dyDescent="0.25">
      <c r="A259" s="31" t="s">
        <v>3136</v>
      </c>
      <c r="B259" s="31" t="s">
        <v>3186</v>
      </c>
    </row>
    <row r="260" spans="1:2" x14ac:dyDescent="0.25">
      <c r="A260" s="29" t="s">
        <v>1745</v>
      </c>
      <c r="B260" s="29" t="s">
        <v>1746</v>
      </c>
    </row>
    <row r="261" spans="1:2" x14ac:dyDescent="0.25">
      <c r="A261" s="31" t="s">
        <v>2926</v>
      </c>
      <c r="B261" s="31" t="s">
        <v>2965</v>
      </c>
    </row>
    <row r="262" spans="1:2" x14ac:dyDescent="0.25">
      <c r="A262" s="29" t="s">
        <v>2444</v>
      </c>
      <c r="B262" s="29" t="s">
        <v>2485</v>
      </c>
    </row>
    <row r="263" spans="1:2" x14ac:dyDescent="0.25">
      <c r="A263" s="31" t="s">
        <v>4355</v>
      </c>
      <c r="B263" s="31" t="s">
        <v>4356</v>
      </c>
    </row>
    <row r="264" spans="1:2" x14ac:dyDescent="0.25">
      <c r="A264" s="29" t="s">
        <v>68</v>
      </c>
      <c r="B264" s="29" t="s">
        <v>656</v>
      </c>
    </row>
    <row r="265" spans="1:2" x14ac:dyDescent="0.25">
      <c r="A265" s="31" t="s">
        <v>4357</v>
      </c>
      <c r="B265" s="31" t="s">
        <v>4358</v>
      </c>
    </row>
    <row r="266" spans="1:2" x14ac:dyDescent="0.25">
      <c r="A266" t="s">
        <v>1300</v>
      </c>
      <c r="B266" t="s">
        <v>1301</v>
      </c>
    </row>
    <row r="267" spans="1:2" x14ac:dyDescent="0.25">
      <c r="A267" s="29" t="s">
        <v>151</v>
      </c>
      <c r="B267" s="29" t="s">
        <v>657</v>
      </c>
    </row>
    <row r="268" spans="1:2" x14ac:dyDescent="0.25">
      <c r="A268" s="29" t="s">
        <v>109</v>
      </c>
      <c r="B268" s="29" t="s">
        <v>238</v>
      </c>
    </row>
    <row r="269" spans="1:2" x14ac:dyDescent="0.25">
      <c r="A269" s="29" t="s">
        <v>1633</v>
      </c>
      <c r="B269" s="29" t="s">
        <v>2024</v>
      </c>
    </row>
    <row r="270" spans="1:2" x14ac:dyDescent="0.25">
      <c r="A270" s="29" t="s">
        <v>1650</v>
      </c>
      <c r="B270" s="29" t="s">
        <v>2023</v>
      </c>
    </row>
    <row r="271" spans="1:2" x14ac:dyDescent="0.25">
      <c r="A271" s="31" t="s">
        <v>3248</v>
      </c>
      <c r="B271" s="31" t="s">
        <v>3284</v>
      </c>
    </row>
    <row r="272" spans="1:2" x14ac:dyDescent="0.25">
      <c r="A272" s="31" t="s">
        <v>3710</v>
      </c>
      <c r="B272" s="31" t="s">
        <v>3711</v>
      </c>
    </row>
    <row r="273" spans="1:2" x14ac:dyDescent="0.25">
      <c r="A273" s="29" t="s">
        <v>25</v>
      </c>
      <c r="B273" s="29" t="s">
        <v>660</v>
      </c>
    </row>
    <row r="274" spans="1:2" x14ac:dyDescent="0.25">
      <c r="A274" s="29" t="s">
        <v>96</v>
      </c>
      <c r="B274" s="29" t="s">
        <v>661</v>
      </c>
    </row>
    <row r="275" spans="1:2" x14ac:dyDescent="0.25">
      <c r="A275" s="31" t="s">
        <v>3088</v>
      </c>
      <c r="B275" s="31" t="s">
        <v>2966</v>
      </c>
    </row>
    <row r="276" spans="1:2" x14ac:dyDescent="0.25">
      <c r="A276" s="31" t="s">
        <v>2923</v>
      </c>
      <c r="B276" s="31" t="s">
        <v>2966</v>
      </c>
    </row>
    <row r="277" spans="1:2" x14ac:dyDescent="0.25">
      <c r="A277" s="31" t="s">
        <v>4062</v>
      </c>
      <c r="B277" s="31" t="s">
        <v>4359</v>
      </c>
    </row>
    <row r="278" spans="1:2" x14ac:dyDescent="0.25">
      <c r="A278" s="29" t="s">
        <v>2106</v>
      </c>
      <c r="B278" s="29" t="s">
        <v>2107</v>
      </c>
    </row>
    <row r="279" spans="1:2" x14ac:dyDescent="0.25">
      <c r="A279" s="31" t="s">
        <v>4132</v>
      </c>
      <c r="B279" s="31" t="s">
        <v>4360</v>
      </c>
    </row>
    <row r="280" spans="1:2" x14ac:dyDescent="0.25">
      <c r="A280" s="29" t="s">
        <v>2435</v>
      </c>
      <c r="B280" s="29" t="s">
        <v>2436</v>
      </c>
    </row>
    <row r="281" spans="1:2" x14ac:dyDescent="0.25">
      <c r="A281" s="29" t="s">
        <v>662</v>
      </c>
      <c r="B281" s="29" t="s">
        <v>663</v>
      </c>
    </row>
    <row r="282" spans="1:2" x14ac:dyDescent="0.25">
      <c r="A282" s="29" t="s">
        <v>1204</v>
      </c>
      <c r="B282" t="s">
        <v>1236</v>
      </c>
    </row>
    <row r="283" spans="1:2" x14ac:dyDescent="0.25">
      <c r="A283" s="29" t="s">
        <v>225</v>
      </c>
      <c r="B283" s="29" t="s">
        <v>1093</v>
      </c>
    </row>
    <row r="284" spans="1:2" x14ac:dyDescent="0.25">
      <c r="A284" s="29" t="s">
        <v>689</v>
      </c>
      <c r="B284" s="29" t="s">
        <v>690</v>
      </c>
    </row>
    <row r="285" spans="1:2" x14ac:dyDescent="0.25">
      <c r="A285" s="31" t="s">
        <v>2638</v>
      </c>
      <c r="B285" s="31" t="s">
        <v>2700</v>
      </c>
    </row>
    <row r="286" spans="1:2" x14ac:dyDescent="0.25">
      <c r="A286" s="29" t="s">
        <v>2274</v>
      </c>
      <c r="B286" s="29" t="s">
        <v>2275</v>
      </c>
    </row>
    <row r="287" spans="1:2" x14ac:dyDescent="0.25">
      <c r="A287" t="s">
        <v>1302</v>
      </c>
      <c r="B287" t="s">
        <v>1303</v>
      </c>
    </row>
    <row r="288" spans="1:2" x14ac:dyDescent="0.25">
      <c r="A288" t="s">
        <v>1951</v>
      </c>
      <c r="B288" s="32" t="s">
        <v>1952</v>
      </c>
    </row>
    <row r="289" spans="1:2" x14ac:dyDescent="0.25">
      <c r="A289" s="31" t="s">
        <v>3607</v>
      </c>
      <c r="B289" s="31" t="s">
        <v>3615</v>
      </c>
    </row>
    <row r="290" spans="1:2" x14ac:dyDescent="0.25">
      <c r="A290" s="31" t="s">
        <v>3481</v>
      </c>
      <c r="B290" s="31" t="s">
        <v>3505</v>
      </c>
    </row>
    <row r="291" spans="1:2" x14ac:dyDescent="0.25">
      <c r="A291" t="s">
        <v>1747</v>
      </c>
      <c r="B291" s="32" t="s">
        <v>1748</v>
      </c>
    </row>
    <row r="292" spans="1:2" x14ac:dyDescent="0.25">
      <c r="A292" s="29" t="s">
        <v>1219</v>
      </c>
      <c r="B292" t="s">
        <v>1237</v>
      </c>
    </row>
    <row r="293" spans="1:2" x14ac:dyDescent="0.25">
      <c r="A293" s="31" t="s">
        <v>4361</v>
      </c>
      <c r="B293" s="31" t="s">
        <v>4362</v>
      </c>
    </row>
    <row r="294" spans="1:2" x14ac:dyDescent="0.25">
      <c r="A294" s="29" t="s">
        <v>1749</v>
      </c>
      <c r="B294" s="29" t="s">
        <v>1750</v>
      </c>
    </row>
    <row r="295" spans="1:2" x14ac:dyDescent="0.25">
      <c r="A295" s="29" t="s">
        <v>1224</v>
      </c>
      <c r="B295" t="s">
        <v>1238</v>
      </c>
    </row>
    <row r="296" spans="1:2" x14ac:dyDescent="0.25">
      <c r="A296" s="31" t="s">
        <v>2934</v>
      </c>
      <c r="B296" s="31" t="s">
        <v>2967</v>
      </c>
    </row>
    <row r="297" spans="1:2" x14ac:dyDescent="0.25">
      <c r="A297" t="s">
        <v>1751</v>
      </c>
      <c r="B297" s="32" t="s">
        <v>1752</v>
      </c>
    </row>
    <row r="298" spans="1:2" x14ac:dyDescent="0.25">
      <c r="A298" s="31" t="s">
        <v>3249</v>
      </c>
      <c r="B298" s="31" t="s">
        <v>3285</v>
      </c>
    </row>
    <row r="299" spans="1:2" x14ac:dyDescent="0.25">
      <c r="A299" s="29" t="s">
        <v>139</v>
      </c>
      <c r="B299" s="29" t="s">
        <v>664</v>
      </c>
    </row>
    <row r="300" spans="1:2" x14ac:dyDescent="0.25">
      <c r="A300" s="31" t="s">
        <v>2940</v>
      </c>
      <c r="B300" s="31" t="s">
        <v>2968</v>
      </c>
    </row>
    <row r="301" spans="1:2" x14ac:dyDescent="0.25">
      <c r="A301" t="s">
        <v>1304</v>
      </c>
      <c r="B301" t="s">
        <v>1305</v>
      </c>
    </row>
    <row r="302" spans="1:2" x14ac:dyDescent="0.25">
      <c r="A302" s="29" t="s">
        <v>1753</v>
      </c>
      <c r="B302" s="29" t="s">
        <v>1754</v>
      </c>
    </row>
    <row r="303" spans="1:2" x14ac:dyDescent="0.25">
      <c r="A303" s="31" t="s">
        <v>3037</v>
      </c>
      <c r="B303" s="31" t="s">
        <v>1756</v>
      </c>
    </row>
    <row r="304" spans="1:2" x14ac:dyDescent="0.25">
      <c r="A304" s="31" t="s">
        <v>3595</v>
      </c>
      <c r="B304" s="31" t="s">
        <v>1756</v>
      </c>
    </row>
    <row r="305" spans="1:2" x14ac:dyDescent="0.25">
      <c r="A305" t="s">
        <v>1306</v>
      </c>
      <c r="B305" t="s">
        <v>1307</v>
      </c>
    </row>
    <row r="306" spans="1:2" x14ac:dyDescent="0.25">
      <c r="A306" s="29" t="s">
        <v>2092</v>
      </c>
      <c r="B306" s="29" t="s">
        <v>2093</v>
      </c>
    </row>
    <row r="307" spans="1:2" x14ac:dyDescent="0.25">
      <c r="A307" s="31" t="s">
        <v>2656</v>
      </c>
      <c r="B307" s="31" t="s">
        <v>2701</v>
      </c>
    </row>
    <row r="308" spans="1:2" x14ac:dyDescent="0.25">
      <c r="A308" s="29" t="s">
        <v>665</v>
      </c>
      <c r="B308" s="29" t="s">
        <v>666</v>
      </c>
    </row>
    <row r="309" spans="1:2" x14ac:dyDescent="0.25">
      <c r="A309" s="29" t="s">
        <v>1200</v>
      </c>
      <c r="B309" t="s">
        <v>819</v>
      </c>
    </row>
    <row r="310" spans="1:2" x14ac:dyDescent="0.25">
      <c r="A310" s="29" t="s">
        <v>667</v>
      </c>
      <c r="B310" s="29" t="s">
        <v>668</v>
      </c>
    </row>
    <row r="311" spans="1:2" x14ac:dyDescent="0.25">
      <c r="A311" s="31" t="s">
        <v>3599</v>
      </c>
      <c r="B311" s="31" t="s">
        <v>1412</v>
      </c>
    </row>
    <row r="312" spans="1:2" x14ac:dyDescent="0.25">
      <c r="A312" s="29" t="s">
        <v>1411</v>
      </c>
      <c r="B312" t="s">
        <v>1412</v>
      </c>
    </row>
    <row r="313" spans="1:2" x14ac:dyDescent="0.25">
      <c r="A313" s="31" t="s">
        <v>2670</v>
      </c>
      <c r="B313" s="31" t="s">
        <v>2702</v>
      </c>
    </row>
    <row r="314" spans="1:2" x14ac:dyDescent="0.25">
      <c r="A314" s="29" t="s">
        <v>2112</v>
      </c>
      <c r="B314" s="29" t="s">
        <v>2113</v>
      </c>
    </row>
    <row r="315" spans="1:2" x14ac:dyDescent="0.25">
      <c r="A315" s="31" t="s">
        <v>3941</v>
      </c>
      <c r="B315" s="31" t="s">
        <v>2691</v>
      </c>
    </row>
    <row r="316" spans="1:2" x14ac:dyDescent="0.25">
      <c r="A316" s="29" t="s">
        <v>178</v>
      </c>
      <c r="B316" s="29" t="s">
        <v>669</v>
      </c>
    </row>
    <row r="317" spans="1:2" x14ac:dyDescent="0.25">
      <c r="A317" s="29" t="s">
        <v>670</v>
      </c>
      <c r="B317" s="29" t="s">
        <v>669</v>
      </c>
    </row>
    <row r="318" spans="1:2" x14ac:dyDescent="0.25">
      <c r="A318" s="31" t="s">
        <v>2928</v>
      </c>
      <c r="B318" s="31" t="s">
        <v>2969</v>
      </c>
    </row>
    <row r="319" spans="1:2" x14ac:dyDescent="0.25">
      <c r="A319" s="31" t="s">
        <v>3712</v>
      </c>
      <c r="B319" s="31" t="s">
        <v>3713</v>
      </c>
    </row>
    <row r="320" spans="1:2" x14ac:dyDescent="0.25">
      <c r="A320" s="29" t="s">
        <v>40</v>
      </c>
      <c r="B320" s="29" t="s">
        <v>671</v>
      </c>
    </row>
    <row r="321" spans="1:2" x14ac:dyDescent="0.25">
      <c r="A321" s="29" t="s">
        <v>208</v>
      </c>
      <c r="B321" s="29" t="s">
        <v>671</v>
      </c>
    </row>
    <row r="322" spans="1:2" x14ac:dyDescent="0.25">
      <c r="A322" s="29" t="s">
        <v>672</v>
      </c>
      <c r="B322" s="29" t="s">
        <v>673</v>
      </c>
    </row>
    <row r="323" spans="1:2" x14ac:dyDescent="0.25">
      <c r="A323" t="s">
        <v>1757</v>
      </c>
      <c r="B323" s="32" t="s">
        <v>1758</v>
      </c>
    </row>
    <row r="324" spans="1:2" x14ac:dyDescent="0.25">
      <c r="A324" s="31" t="s">
        <v>2703</v>
      </c>
      <c r="B324" s="31" t="s">
        <v>2704</v>
      </c>
    </row>
    <row r="325" spans="1:2" x14ac:dyDescent="0.25">
      <c r="A325" t="s">
        <v>1759</v>
      </c>
      <c r="B325" s="32" t="s">
        <v>1760</v>
      </c>
    </row>
    <row r="326" spans="1:2" x14ac:dyDescent="0.25">
      <c r="A326" s="29" t="s">
        <v>674</v>
      </c>
      <c r="B326" s="29" t="s">
        <v>675</v>
      </c>
    </row>
    <row r="327" spans="1:2" x14ac:dyDescent="0.25">
      <c r="A327" s="29" t="s">
        <v>1413</v>
      </c>
      <c r="B327" t="s">
        <v>1414</v>
      </c>
    </row>
    <row r="328" spans="1:2" x14ac:dyDescent="0.25">
      <c r="A328" s="29" t="s">
        <v>2328</v>
      </c>
      <c r="B328" s="29" t="s">
        <v>2329</v>
      </c>
    </row>
    <row r="329" spans="1:2" x14ac:dyDescent="0.25">
      <c r="A329" s="29" t="s">
        <v>676</v>
      </c>
      <c r="B329" s="29" t="s">
        <v>677</v>
      </c>
    </row>
    <row r="330" spans="1:2" x14ac:dyDescent="0.25">
      <c r="A330" s="29" t="s">
        <v>2480</v>
      </c>
      <c r="B330" s="29" t="s">
        <v>678</v>
      </c>
    </row>
    <row r="331" spans="1:2" x14ac:dyDescent="0.25">
      <c r="A331" t="s">
        <v>1308</v>
      </c>
      <c r="B331" t="s">
        <v>1309</v>
      </c>
    </row>
    <row r="332" spans="1:2" x14ac:dyDescent="0.25">
      <c r="A332" s="31" t="s">
        <v>2536</v>
      </c>
      <c r="B332" s="31" t="s">
        <v>2576</v>
      </c>
    </row>
    <row r="333" spans="1:2" x14ac:dyDescent="0.25">
      <c r="A333" s="29" t="s">
        <v>1415</v>
      </c>
      <c r="B333" t="s">
        <v>1416</v>
      </c>
    </row>
    <row r="334" spans="1:2" x14ac:dyDescent="0.25">
      <c r="A334" t="s">
        <v>1310</v>
      </c>
      <c r="B334" t="s">
        <v>1311</v>
      </c>
    </row>
    <row r="335" spans="1:2" x14ac:dyDescent="0.25">
      <c r="A335" s="29" t="s">
        <v>679</v>
      </c>
      <c r="B335" s="29" t="s">
        <v>680</v>
      </c>
    </row>
    <row r="336" spans="1:2" x14ac:dyDescent="0.25">
      <c r="A336" s="29" t="s">
        <v>1417</v>
      </c>
      <c r="B336" t="s">
        <v>1418</v>
      </c>
    </row>
    <row r="337" spans="1:2" x14ac:dyDescent="0.25">
      <c r="A337" s="29" t="s">
        <v>681</v>
      </c>
      <c r="B337" s="29" t="s">
        <v>682</v>
      </c>
    </row>
    <row r="338" spans="1:2" x14ac:dyDescent="0.25">
      <c r="A338" t="s">
        <v>1761</v>
      </c>
      <c r="B338" s="32" t="s">
        <v>1762</v>
      </c>
    </row>
    <row r="339" spans="1:2" x14ac:dyDescent="0.25">
      <c r="A339" s="29" t="s">
        <v>1626</v>
      </c>
      <c r="B339" s="29" t="s">
        <v>2022</v>
      </c>
    </row>
    <row r="340" spans="1:2" x14ac:dyDescent="0.25">
      <c r="A340" s="31" t="s">
        <v>3262</v>
      </c>
      <c r="B340" s="31" t="s">
        <v>3286</v>
      </c>
    </row>
    <row r="341" spans="1:2" x14ac:dyDescent="0.25">
      <c r="A341" s="31" t="s">
        <v>3494</v>
      </c>
      <c r="B341" s="31" t="s">
        <v>3506</v>
      </c>
    </row>
    <row r="342" spans="1:2" x14ac:dyDescent="0.25">
      <c r="A342" s="31" t="s">
        <v>2665</v>
      </c>
      <c r="B342" s="31" t="s">
        <v>2705</v>
      </c>
    </row>
    <row r="343" spans="1:2" x14ac:dyDescent="0.25">
      <c r="A343" s="29" t="s">
        <v>2452</v>
      </c>
      <c r="B343" s="29" t="s">
        <v>2492</v>
      </c>
    </row>
    <row r="344" spans="1:2" x14ac:dyDescent="0.25">
      <c r="A344" s="31" t="s">
        <v>3257</v>
      </c>
      <c r="B344" s="31" t="s">
        <v>3287</v>
      </c>
    </row>
    <row r="345" spans="1:2" x14ac:dyDescent="0.25">
      <c r="A345" s="31" t="s">
        <v>2909</v>
      </c>
      <c r="B345" s="31" t="s">
        <v>2970</v>
      </c>
    </row>
    <row r="346" spans="1:2" x14ac:dyDescent="0.25">
      <c r="A346" t="s">
        <v>1763</v>
      </c>
      <c r="B346" s="32" t="s">
        <v>1764</v>
      </c>
    </row>
    <row r="347" spans="1:2" x14ac:dyDescent="0.25">
      <c r="A347" s="29" t="s">
        <v>1419</v>
      </c>
      <c r="B347" t="s">
        <v>1420</v>
      </c>
    </row>
    <row r="348" spans="1:2" x14ac:dyDescent="0.25">
      <c r="A348" s="29" t="s">
        <v>2104</v>
      </c>
      <c r="B348" s="29" t="s">
        <v>2105</v>
      </c>
    </row>
    <row r="349" spans="1:2" x14ac:dyDescent="0.25">
      <c r="A349" s="31" t="s">
        <v>2897</v>
      </c>
      <c r="B349" s="31" t="s">
        <v>2971</v>
      </c>
    </row>
    <row r="350" spans="1:2" x14ac:dyDescent="0.25">
      <c r="A350" s="29" t="s">
        <v>1202</v>
      </c>
      <c r="B350" s="29" t="s">
        <v>683</v>
      </c>
    </row>
    <row r="351" spans="1:2" x14ac:dyDescent="0.25">
      <c r="A351" t="s">
        <v>1765</v>
      </c>
      <c r="B351" t="s">
        <v>683</v>
      </c>
    </row>
    <row r="352" spans="1:2" x14ac:dyDescent="0.25">
      <c r="A352" s="29" t="s">
        <v>186</v>
      </c>
      <c r="B352" s="29" t="s">
        <v>683</v>
      </c>
    </row>
    <row r="353" spans="1:2" x14ac:dyDescent="0.25">
      <c r="A353" s="31" t="s">
        <v>2706</v>
      </c>
      <c r="B353" s="31" t="s">
        <v>2707</v>
      </c>
    </row>
    <row r="354" spans="1:2" x14ac:dyDescent="0.25">
      <c r="A354" s="29" t="s">
        <v>1656</v>
      </c>
      <c r="B354" s="29" t="s">
        <v>2021</v>
      </c>
    </row>
    <row r="355" spans="1:2" x14ac:dyDescent="0.25">
      <c r="A355" s="29" t="s">
        <v>1421</v>
      </c>
      <c r="B355" t="s">
        <v>683</v>
      </c>
    </row>
    <row r="356" spans="1:2" x14ac:dyDescent="0.25">
      <c r="A356" s="31" t="s">
        <v>2567</v>
      </c>
      <c r="B356" s="31" t="s">
        <v>683</v>
      </c>
    </row>
    <row r="357" spans="1:2" x14ac:dyDescent="0.25">
      <c r="A357" s="31" t="s">
        <v>4363</v>
      </c>
      <c r="B357" s="31" t="s">
        <v>685</v>
      </c>
    </row>
    <row r="358" spans="1:2" x14ac:dyDescent="0.25">
      <c r="A358" t="s">
        <v>1766</v>
      </c>
      <c r="B358" s="32" t="s">
        <v>685</v>
      </c>
    </row>
    <row r="359" spans="1:2" x14ac:dyDescent="0.25">
      <c r="A359" s="29" t="s">
        <v>684</v>
      </c>
      <c r="B359" s="29" t="s">
        <v>685</v>
      </c>
    </row>
    <row r="360" spans="1:2" x14ac:dyDescent="0.25">
      <c r="A360" s="31" t="s">
        <v>3089</v>
      </c>
      <c r="B360" s="31" t="s">
        <v>685</v>
      </c>
    </row>
    <row r="361" spans="1:2" x14ac:dyDescent="0.25">
      <c r="A361" s="29" t="s">
        <v>2412</v>
      </c>
      <c r="B361" s="29" t="s">
        <v>685</v>
      </c>
    </row>
    <row r="362" spans="1:2" x14ac:dyDescent="0.25">
      <c r="A362" s="31" t="s">
        <v>3675</v>
      </c>
      <c r="B362" s="31" t="s">
        <v>3714</v>
      </c>
    </row>
    <row r="363" spans="1:2" x14ac:dyDescent="0.25">
      <c r="A363" s="29" t="s">
        <v>2413</v>
      </c>
      <c r="B363" s="29" t="s">
        <v>2414</v>
      </c>
    </row>
    <row r="364" spans="1:2" x14ac:dyDescent="0.25">
      <c r="A364" t="s">
        <v>686</v>
      </c>
      <c r="B364" t="s">
        <v>686</v>
      </c>
    </row>
    <row r="365" spans="1:2" x14ac:dyDescent="0.25">
      <c r="A365" s="29" t="s">
        <v>42</v>
      </c>
      <c r="B365" s="29" t="s">
        <v>686</v>
      </c>
    </row>
    <row r="366" spans="1:2" x14ac:dyDescent="0.25">
      <c r="A366" s="29" t="s">
        <v>33</v>
      </c>
      <c r="B366" s="29" t="s">
        <v>686</v>
      </c>
    </row>
    <row r="367" spans="1:2" x14ac:dyDescent="0.25">
      <c r="A367" s="29" t="s">
        <v>2202</v>
      </c>
      <c r="B367" s="29" t="s">
        <v>2203</v>
      </c>
    </row>
    <row r="368" spans="1:2" x14ac:dyDescent="0.25">
      <c r="A368" s="31" t="s">
        <v>2931</v>
      </c>
      <c r="B368" s="31" t="s">
        <v>3056</v>
      </c>
    </row>
    <row r="369" spans="1:2" x14ac:dyDescent="0.25">
      <c r="A369" s="29" t="s">
        <v>1422</v>
      </c>
      <c r="B369" t="s">
        <v>688</v>
      </c>
    </row>
    <row r="370" spans="1:2" x14ac:dyDescent="0.25">
      <c r="A370" s="29" t="s">
        <v>687</v>
      </c>
      <c r="B370" s="29" t="s">
        <v>688</v>
      </c>
    </row>
    <row r="371" spans="1:2" x14ac:dyDescent="0.25">
      <c r="A371" t="s">
        <v>1312</v>
      </c>
      <c r="B371" t="s">
        <v>688</v>
      </c>
    </row>
    <row r="372" spans="1:2" x14ac:dyDescent="0.25">
      <c r="A372" s="29" t="s">
        <v>2346</v>
      </c>
      <c r="B372" s="29" t="s">
        <v>2347</v>
      </c>
    </row>
    <row r="373" spans="1:2" x14ac:dyDescent="0.25">
      <c r="A373" s="29" t="s">
        <v>2123</v>
      </c>
      <c r="B373" s="29" t="s">
        <v>2124</v>
      </c>
    </row>
    <row r="374" spans="1:2" x14ac:dyDescent="0.25">
      <c r="A374" s="31" t="s">
        <v>2911</v>
      </c>
      <c r="B374" s="31" t="s">
        <v>2972</v>
      </c>
    </row>
    <row r="375" spans="1:2" x14ac:dyDescent="0.25">
      <c r="A375" s="31" t="s">
        <v>4151</v>
      </c>
      <c r="B375" s="31" t="s">
        <v>2972</v>
      </c>
    </row>
    <row r="376" spans="1:2" x14ac:dyDescent="0.25">
      <c r="A376" s="31" t="s">
        <v>4364</v>
      </c>
      <c r="B376" s="31" t="s">
        <v>2972</v>
      </c>
    </row>
    <row r="377" spans="1:2" x14ac:dyDescent="0.25">
      <c r="A377" s="29" t="s">
        <v>2361</v>
      </c>
      <c r="B377" s="29" t="s">
        <v>2362</v>
      </c>
    </row>
    <row r="378" spans="1:2" x14ac:dyDescent="0.25">
      <c r="A378" s="29" t="s">
        <v>1624</v>
      </c>
      <c r="B378" s="29" t="s">
        <v>2020</v>
      </c>
    </row>
    <row r="379" spans="1:2" x14ac:dyDescent="0.25">
      <c r="A379" t="s">
        <v>1768</v>
      </c>
      <c r="B379" s="32" t="s">
        <v>1769</v>
      </c>
    </row>
    <row r="380" spans="1:2" x14ac:dyDescent="0.25">
      <c r="A380" s="29" t="s">
        <v>1697</v>
      </c>
      <c r="B380" s="29" t="s">
        <v>2019</v>
      </c>
    </row>
    <row r="381" spans="1:2" x14ac:dyDescent="0.25">
      <c r="A381" s="29" t="s">
        <v>691</v>
      </c>
      <c r="B381" s="29" t="s">
        <v>692</v>
      </c>
    </row>
    <row r="382" spans="1:2" x14ac:dyDescent="0.25">
      <c r="A382" s="29" t="s">
        <v>2330</v>
      </c>
      <c r="B382" s="29" t="s">
        <v>2331</v>
      </c>
    </row>
    <row r="383" spans="1:2" x14ac:dyDescent="0.25">
      <c r="A383" s="31" t="s">
        <v>3678</v>
      </c>
      <c r="B383" s="31" t="s">
        <v>3715</v>
      </c>
    </row>
    <row r="384" spans="1:2" x14ac:dyDescent="0.25">
      <c r="A384" s="29" t="s">
        <v>693</v>
      </c>
      <c r="B384" s="29" t="s">
        <v>694</v>
      </c>
    </row>
    <row r="385" spans="1:2" x14ac:dyDescent="0.25">
      <c r="A385" s="31" t="s">
        <v>2895</v>
      </c>
      <c r="B385" s="31" t="s">
        <v>2973</v>
      </c>
    </row>
    <row r="386" spans="1:2" x14ac:dyDescent="0.25">
      <c r="A386" s="29" t="s">
        <v>1214</v>
      </c>
      <c r="B386" s="29" t="s">
        <v>1239</v>
      </c>
    </row>
    <row r="387" spans="1:2" x14ac:dyDescent="0.25">
      <c r="A387" s="31" t="s">
        <v>3245</v>
      </c>
      <c r="B387" s="31" t="s">
        <v>3288</v>
      </c>
    </row>
    <row r="388" spans="1:2" x14ac:dyDescent="0.25">
      <c r="A388" s="31" t="s">
        <v>3090</v>
      </c>
      <c r="B388" s="31" t="s">
        <v>3091</v>
      </c>
    </row>
    <row r="389" spans="1:2" x14ac:dyDescent="0.25">
      <c r="A389" s="31" t="s">
        <v>3332</v>
      </c>
      <c r="B389" s="31" t="s">
        <v>3351</v>
      </c>
    </row>
    <row r="390" spans="1:2" x14ac:dyDescent="0.25">
      <c r="A390" s="29" t="s">
        <v>695</v>
      </c>
      <c r="B390" s="29" t="s">
        <v>696</v>
      </c>
    </row>
    <row r="391" spans="1:2" x14ac:dyDescent="0.25">
      <c r="A391" s="31" t="s">
        <v>3352</v>
      </c>
      <c r="B391" s="31" t="s">
        <v>3353</v>
      </c>
    </row>
    <row r="392" spans="1:2" x14ac:dyDescent="0.25">
      <c r="A392" s="29" t="s">
        <v>1423</v>
      </c>
      <c r="B392" t="s">
        <v>1423</v>
      </c>
    </row>
    <row r="393" spans="1:2" x14ac:dyDescent="0.25">
      <c r="A393" t="s">
        <v>1770</v>
      </c>
      <c r="B393" s="32" t="s">
        <v>1771</v>
      </c>
    </row>
    <row r="394" spans="1:2" x14ac:dyDescent="0.25">
      <c r="A394" s="29" t="s">
        <v>2298</v>
      </c>
      <c r="B394" s="29" t="s">
        <v>2299</v>
      </c>
    </row>
    <row r="395" spans="1:2" x14ac:dyDescent="0.25">
      <c r="A395" s="31" t="s">
        <v>4018</v>
      </c>
      <c r="B395" s="31" t="s">
        <v>4365</v>
      </c>
    </row>
    <row r="396" spans="1:2" x14ac:dyDescent="0.25">
      <c r="A396" s="31" t="s">
        <v>2878</v>
      </c>
      <c r="B396" s="31" t="s">
        <v>2974</v>
      </c>
    </row>
    <row r="397" spans="1:2" x14ac:dyDescent="0.25">
      <c r="A397" t="s">
        <v>1313</v>
      </c>
      <c r="B397" t="s">
        <v>1314</v>
      </c>
    </row>
    <row r="398" spans="1:2" x14ac:dyDescent="0.25">
      <c r="A398" s="29" t="s">
        <v>2161</v>
      </c>
      <c r="B398" s="29" t="s">
        <v>2162</v>
      </c>
    </row>
    <row r="399" spans="1:2" x14ac:dyDescent="0.25">
      <c r="A399" s="29" t="s">
        <v>1424</v>
      </c>
      <c r="B399" t="s">
        <v>1425</v>
      </c>
    </row>
    <row r="400" spans="1:2" x14ac:dyDescent="0.25">
      <c r="A400" s="31" t="s">
        <v>2660</v>
      </c>
      <c r="B400" s="31" t="s">
        <v>685</v>
      </c>
    </row>
    <row r="401" spans="1:2" x14ac:dyDescent="0.25">
      <c r="A401" s="31" t="s">
        <v>4141</v>
      </c>
      <c r="B401" s="31" t="s">
        <v>917</v>
      </c>
    </row>
    <row r="402" spans="1:2" x14ac:dyDescent="0.25">
      <c r="A402" t="s">
        <v>1893</v>
      </c>
      <c r="B402" s="32" t="s">
        <v>1894</v>
      </c>
    </row>
    <row r="403" spans="1:2" x14ac:dyDescent="0.25">
      <c r="A403" s="29" t="s">
        <v>1216</v>
      </c>
      <c r="B403" s="29" t="s">
        <v>1240</v>
      </c>
    </row>
    <row r="404" spans="1:2" x14ac:dyDescent="0.25">
      <c r="A404" s="31" t="s">
        <v>2631</v>
      </c>
      <c r="B404" s="31" t="s">
        <v>2708</v>
      </c>
    </row>
    <row r="405" spans="1:2" x14ac:dyDescent="0.25">
      <c r="A405" s="31" t="s">
        <v>3143</v>
      </c>
      <c r="B405" s="31" t="s">
        <v>3187</v>
      </c>
    </row>
    <row r="406" spans="1:2" x14ac:dyDescent="0.25">
      <c r="A406" s="29" t="s">
        <v>699</v>
      </c>
      <c r="B406" s="29" t="s">
        <v>700</v>
      </c>
    </row>
    <row r="407" spans="1:2" x14ac:dyDescent="0.25">
      <c r="A407" t="s">
        <v>1772</v>
      </c>
      <c r="B407" s="32" t="s">
        <v>1773</v>
      </c>
    </row>
    <row r="408" spans="1:2" x14ac:dyDescent="0.25">
      <c r="A408" s="29" t="s">
        <v>1426</v>
      </c>
      <c r="B408" t="s">
        <v>1427</v>
      </c>
    </row>
    <row r="409" spans="1:2" x14ac:dyDescent="0.25">
      <c r="A409" s="31" t="s">
        <v>4005</v>
      </c>
      <c r="B409" s="31" t="s">
        <v>4366</v>
      </c>
    </row>
    <row r="410" spans="1:2" x14ac:dyDescent="0.25">
      <c r="A410" s="29" t="s">
        <v>1428</v>
      </c>
      <c r="B410" t="s">
        <v>1429</v>
      </c>
    </row>
    <row r="411" spans="1:2" x14ac:dyDescent="0.25">
      <c r="A411" s="29" t="s">
        <v>2392</v>
      </c>
      <c r="B411" s="29" t="s">
        <v>2393</v>
      </c>
    </row>
    <row r="412" spans="1:2" x14ac:dyDescent="0.25">
      <c r="A412" s="31" t="s">
        <v>2948</v>
      </c>
      <c r="B412" s="31" t="s">
        <v>2975</v>
      </c>
    </row>
    <row r="413" spans="1:2" x14ac:dyDescent="0.25">
      <c r="A413" s="31" t="s">
        <v>3134</v>
      </c>
      <c r="B413" s="31" t="s">
        <v>3188</v>
      </c>
    </row>
    <row r="414" spans="1:2" x14ac:dyDescent="0.25">
      <c r="A414" s="29" t="s">
        <v>1622</v>
      </c>
      <c r="B414" s="29" t="s">
        <v>2018</v>
      </c>
    </row>
    <row r="415" spans="1:2" x14ac:dyDescent="0.25">
      <c r="A415" s="31" t="s">
        <v>3716</v>
      </c>
      <c r="B415" s="31" t="s">
        <v>3717</v>
      </c>
    </row>
    <row r="416" spans="1:2" x14ac:dyDescent="0.25">
      <c r="A416" s="31" t="s">
        <v>2889</v>
      </c>
      <c r="B416" s="31" t="s">
        <v>3812</v>
      </c>
    </row>
    <row r="417" spans="1:2" x14ac:dyDescent="0.25">
      <c r="A417" s="29" t="s">
        <v>701</v>
      </c>
      <c r="B417" s="29" t="s">
        <v>702</v>
      </c>
    </row>
    <row r="418" spans="1:2" x14ac:dyDescent="0.25">
      <c r="A418" s="31" t="s">
        <v>3658</v>
      </c>
      <c r="B418" s="31" t="s">
        <v>2709</v>
      </c>
    </row>
    <row r="419" spans="1:2" x14ac:dyDescent="0.25">
      <c r="A419" s="31" t="s">
        <v>2657</v>
      </c>
      <c r="B419" s="31" t="s">
        <v>2709</v>
      </c>
    </row>
    <row r="420" spans="1:2" x14ac:dyDescent="0.25">
      <c r="A420" s="31" t="s">
        <v>3125</v>
      </c>
      <c r="B420" s="31" t="s">
        <v>3189</v>
      </c>
    </row>
    <row r="421" spans="1:2" x14ac:dyDescent="0.25">
      <c r="A421" s="31" t="s">
        <v>3718</v>
      </c>
      <c r="B421" s="31" t="s">
        <v>3189</v>
      </c>
    </row>
    <row r="422" spans="1:2" x14ac:dyDescent="0.25">
      <c r="A422" s="31" t="s">
        <v>3635</v>
      </c>
      <c r="B422" s="31" t="s">
        <v>3189</v>
      </c>
    </row>
    <row r="423" spans="1:2" x14ac:dyDescent="0.25">
      <c r="A423" s="31" t="s">
        <v>3635</v>
      </c>
      <c r="B423" s="31" t="s">
        <v>3189</v>
      </c>
    </row>
    <row r="424" spans="1:2" x14ac:dyDescent="0.25">
      <c r="A424" t="s">
        <v>1774</v>
      </c>
      <c r="B424" s="32" t="s">
        <v>1775</v>
      </c>
    </row>
    <row r="425" spans="1:2" x14ac:dyDescent="0.25">
      <c r="A425" s="29" t="s">
        <v>1776</v>
      </c>
      <c r="B425" s="29" t="s">
        <v>1777</v>
      </c>
    </row>
    <row r="426" spans="1:2" x14ac:dyDescent="0.25">
      <c r="A426" s="29" t="s">
        <v>2216</v>
      </c>
      <c r="B426" s="29" t="s">
        <v>2217</v>
      </c>
    </row>
    <row r="427" spans="1:2" x14ac:dyDescent="0.25">
      <c r="A427" s="29" t="s">
        <v>72</v>
      </c>
      <c r="B427" s="29" t="s">
        <v>705</v>
      </c>
    </row>
    <row r="428" spans="1:2" x14ac:dyDescent="0.25">
      <c r="A428" s="29" t="s">
        <v>2084</v>
      </c>
      <c r="B428" s="29" t="s">
        <v>2085</v>
      </c>
    </row>
    <row r="429" spans="1:2" x14ac:dyDescent="0.25">
      <c r="A429" s="31" t="s">
        <v>2634</v>
      </c>
      <c r="B429" s="31" t="s">
        <v>2710</v>
      </c>
    </row>
    <row r="430" spans="1:2" x14ac:dyDescent="0.25">
      <c r="A430" s="29" t="s">
        <v>1658</v>
      </c>
      <c r="B430" s="29" t="s">
        <v>2017</v>
      </c>
    </row>
    <row r="431" spans="1:2" x14ac:dyDescent="0.25">
      <c r="A431" s="31" t="s">
        <v>2635</v>
      </c>
      <c r="B431" s="31" t="s">
        <v>2711</v>
      </c>
    </row>
    <row r="432" spans="1:2" x14ac:dyDescent="0.25">
      <c r="A432" s="31" t="s">
        <v>3719</v>
      </c>
      <c r="B432" s="31" t="s">
        <v>3720</v>
      </c>
    </row>
    <row r="433" spans="1:2" x14ac:dyDescent="0.25">
      <c r="A433" s="29" t="s">
        <v>108</v>
      </c>
      <c r="B433" s="29" t="s">
        <v>918</v>
      </c>
    </row>
    <row r="434" spans="1:2" x14ac:dyDescent="0.25">
      <c r="A434" s="29" t="s">
        <v>107</v>
      </c>
      <c r="B434" s="29" t="s">
        <v>706</v>
      </c>
    </row>
    <row r="435" spans="1:2" x14ac:dyDescent="0.25">
      <c r="A435" s="29" t="s">
        <v>707</v>
      </c>
      <c r="B435" s="29" t="s">
        <v>706</v>
      </c>
    </row>
    <row r="436" spans="1:2" x14ac:dyDescent="0.25">
      <c r="A436" s="29" t="s">
        <v>2043</v>
      </c>
      <c r="B436" s="29" t="s">
        <v>2044</v>
      </c>
    </row>
    <row r="437" spans="1:2" x14ac:dyDescent="0.25">
      <c r="A437" s="29" t="s">
        <v>1430</v>
      </c>
      <c r="B437" t="s">
        <v>1431</v>
      </c>
    </row>
    <row r="438" spans="1:2" x14ac:dyDescent="0.25">
      <c r="A438" s="31" t="s">
        <v>3721</v>
      </c>
      <c r="B438" s="31" t="s">
        <v>3722</v>
      </c>
    </row>
    <row r="439" spans="1:2" x14ac:dyDescent="0.25">
      <c r="A439" s="31" t="s">
        <v>2641</v>
      </c>
      <c r="B439" s="31" t="s">
        <v>2712</v>
      </c>
    </row>
    <row r="440" spans="1:2" x14ac:dyDescent="0.25">
      <c r="A440" s="29" t="s">
        <v>2314</v>
      </c>
      <c r="B440" s="29" t="s">
        <v>2315</v>
      </c>
    </row>
    <row r="441" spans="1:2" x14ac:dyDescent="0.25">
      <c r="A441" s="29" t="s">
        <v>82</v>
      </c>
      <c r="B441" s="29" t="s">
        <v>709</v>
      </c>
    </row>
    <row r="442" spans="1:2" x14ac:dyDescent="0.25">
      <c r="A442" s="29" t="s">
        <v>1209</v>
      </c>
      <c r="B442" s="29" t="s">
        <v>1241</v>
      </c>
    </row>
    <row r="443" spans="1:2" x14ac:dyDescent="0.25">
      <c r="A443" s="29" t="s">
        <v>1695</v>
      </c>
      <c r="B443" s="29" t="s">
        <v>2016</v>
      </c>
    </row>
    <row r="444" spans="1:2" x14ac:dyDescent="0.25">
      <c r="A444" s="29" t="s">
        <v>2082</v>
      </c>
      <c r="B444" s="29" t="s">
        <v>2083</v>
      </c>
    </row>
    <row r="445" spans="1:2" x14ac:dyDescent="0.25">
      <c r="A445" s="29" t="s">
        <v>2210</v>
      </c>
      <c r="B445" s="29" t="s">
        <v>2211</v>
      </c>
    </row>
    <row r="446" spans="1:2" x14ac:dyDescent="0.25">
      <c r="A446" s="29" t="s">
        <v>1782</v>
      </c>
      <c r="B446" s="29" t="s">
        <v>1783</v>
      </c>
    </row>
    <row r="447" spans="1:2" x14ac:dyDescent="0.25">
      <c r="A447" s="29" t="s">
        <v>181</v>
      </c>
      <c r="B447" s="29" t="s">
        <v>708</v>
      </c>
    </row>
    <row r="448" spans="1:2" x14ac:dyDescent="0.25">
      <c r="A448" s="29" t="s">
        <v>1203</v>
      </c>
      <c r="B448" t="s">
        <v>1242</v>
      </c>
    </row>
    <row r="449" spans="1:2" x14ac:dyDescent="0.25">
      <c r="A449" s="31" t="s">
        <v>2921</v>
      </c>
      <c r="B449" s="31" t="s">
        <v>2976</v>
      </c>
    </row>
    <row r="450" spans="1:2" x14ac:dyDescent="0.25">
      <c r="A450" s="29" t="s">
        <v>2294</v>
      </c>
      <c r="B450" s="29" t="s">
        <v>2295</v>
      </c>
    </row>
    <row r="451" spans="1:2" x14ac:dyDescent="0.25">
      <c r="A451" s="31" t="s">
        <v>2713</v>
      </c>
      <c r="B451" s="31" t="s">
        <v>2714</v>
      </c>
    </row>
    <row r="452" spans="1:2" x14ac:dyDescent="0.25">
      <c r="A452" s="31" t="s">
        <v>3144</v>
      </c>
      <c r="B452" s="31" t="s">
        <v>3190</v>
      </c>
    </row>
    <row r="453" spans="1:2" x14ac:dyDescent="0.25">
      <c r="A453" s="31" t="s">
        <v>3497</v>
      </c>
      <c r="B453" s="31" t="s">
        <v>3507</v>
      </c>
    </row>
    <row r="454" spans="1:2" x14ac:dyDescent="0.25">
      <c r="A454" s="31" t="s">
        <v>3723</v>
      </c>
      <c r="B454" s="31" t="s">
        <v>3724</v>
      </c>
    </row>
    <row r="455" spans="1:2" x14ac:dyDescent="0.25">
      <c r="A455" s="31" t="s">
        <v>3325</v>
      </c>
      <c r="B455" s="31" t="s">
        <v>3354</v>
      </c>
    </row>
    <row r="456" spans="1:2" x14ac:dyDescent="0.25">
      <c r="A456" s="31" t="s">
        <v>4048</v>
      </c>
      <c r="B456" s="31" t="s">
        <v>4367</v>
      </c>
    </row>
    <row r="457" spans="1:2" x14ac:dyDescent="0.25">
      <c r="A457" s="29" t="s">
        <v>2467</v>
      </c>
      <c r="B457" s="29" t="s">
        <v>2504</v>
      </c>
    </row>
    <row r="458" spans="1:2" x14ac:dyDescent="0.25">
      <c r="A458" s="29" t="s">
        <v>710</v>
      </c>
      <c r="B458" s="29" t="s">
        <v>709</v>
      </c>
    </row>
    <row r="459" spans="1:2" x14ac:dyDescent="0.25">
      <c r="A459" s="29" t="s">
        <v>44</v>
      </c>
      <c r="B459" s="29" t="s">
        <v>709</v>
      </c>
    </row>
    <row r="460" spans="1:2" x14ac:dyDescent="0.25">
      <c r="A460" s="29" t="s">
        <v>83</v>
      </c>
      <c r="B460" s="29" t="s">
        <v>709</v>
      </c>
    </row>
    <row r="461" spans="1:2" x14ac:dyDescent="0.25">
      <c r="A461" s="29" t="s">
        <v>1671</v>
      </c>
      <c r="B461" s="29" t="s">
        <v>2014</v>
      </c>
    </row>
    <row r="462" spans="1:2" x14ac:dyDescent="0.25">
      <c r="A462" s="31" t="s">
        <v>2715</v>
      </c>
      <c r="B462" s="31" t="s">
        <v>2716</v>
      </c>
    </row>
    <row r="463" spans="1:2" x14ac:dyDescent="0.25">
      <c r="A463" s="31" t="s">
        <v>2717</v>
      </c>
      <c r="B463" s="31" t="s">
        <v>706</v>
      </c>
    </row>
    <row r="464" spans="1:2" x14ac:dyDescent="0.25">
      <c r="A464" s="29" t="s">
        <v>170</v>
      </c>
      <c r="B464" s="29" t="s">
        <v>713</v>
      </c>
    </row>
    <row r="465" spans="1:2" x14ac:dyDescent="0.25">
      <c r="A465" s="29" t="s">
        <v>714</v>
      </c>
      <c r="B465" s="29" t="s">
        <v>715</v>
      </c>
    </row>
    <row r="466" spans="1:2" x14ac:dyDescent="0.25">
      <c r="A466" s="31" t="s">
        <v>4153</v>
      </c>
      <c r="B466" s="31" t="s">
        <v>4368</v>
      </c>
    </row>
    <row r="467" spans="1:2" x14ac:dyDescent="0.25">
      <c r="A467" s="31" t="s">
        <v>2924</v>
      </c>
      <c r="B467" s="31" t="s">
        <v>2977</v>
      </c>
    </row>
    <row r="468" spans="1:2" x14ac:dyDescent="0.25">
      <c r="A468" s="31" t="s">
        <v>3355</v>
      </c>
      <c r="B468" s="31" t="s">
        <v>3356</v>
      </c>
    </row>
    <row r="469" spans="1:2" x14ac:dyDescent="0.25">
      <c r="A469" s="31" t="s">
        <v>3357</v>
      </c>
      <c r="B469" s="31" t="s">
        <v>3358</v>
      </c>
    </row>
    <row r="470" spans="1:2" x14ac:dyDescent="0.25">
      <c r="A470" s="29" t="s">
        <v>716</v>
      </c>
      <c r="B470" s="29" t="s">
        <v>715</v>
      </c>
    </row>
    <row r="471" spans="1:2" x14ac:dyDescent="0.25">
      <c r="A471" s="31" t="s">
        <v>2879</v>
      </c>
      <c r="B471" s="31" t="s">
        <v>2978</v>
      </c>
    </row>
    <row r="472" spans="1:2" x14ac:dyDescent="0.25">
      <c r="A472" s="29" t="s">
        <v>163</v>
      </c>
      <c r="B472" s="29" t="s">
        <v>717</v>
      </c>
    </row>
    <row r="473" spans="1:2" x14ac:dyDescent="0.25">
      <c r="A473" s="31" t="s">
        <v>2559</v>
      </c>
      <c r="B473" s="31" t="s">
        <v>2577</v>
      </c>
    </row>
    <row r="474" spans="1:2" x14ac:dyDescent="0.25">
      <c r="A474" s="31" t="s">
        <v>2629</v>
      </c>
      <c r="B474" s="31" t="s">
        <v>2718</v>
      </c>
    </row>
    <row r="475" spans="1:2" x14ac:dyDescent="0.25">
      <c r="A475" s="29" t="s">
        <v>1432</v>
      </c>
      <c r="B475" t="s">
        <v>1433</v>
      </c>
    </row>
    <row r="476" spans="1:2" x14ac:dyDescent="0.25">
      <c r="A476" s="29" t="s">
        <v>2115</v>
      </c>
      <c r="B476" s="29" t="s">
        <v>2116</v>
      </c>
    </row>
    <row r="477" spans="1:2" x14ac:dyDescent="0.25">
      <c r="A477" s="31" t="s">
        <v>4369</v>
      </c>
      <c r="B477" s="31" t="s">
        <v>4370</v>
      </c>
    </row>
    <row r="478" spans="1:2" x14ac:dyDescent="0.25">
      <c r="A478" s="29" t="s">
        <v>2117</v>
      </c>
      <c r="B478" s="29" t="s">
        <v>2118</v>
      </c>
    </row>
    <row r="479" spans="1:2" x14ac:dyDescent="0.25">
      <c r="A479" s="29" t="s">
        <v>1682</v>
      </c>
      <c r="B479" s="29" t="s">
        <v>2013</v>
      </c>
    </row>
    <row r="480" spans="1:2" x14ac:dyDescent="0.25">
      <c r="A480" s="31" t="s">
        <v>3684</v>
      </c>
      <c r="B480" s="31" t="s">
        <v>3725</v>
      </c>
    </row>
    <row r="481" spans="1:2" x14ac:dyDescent="0.25">
      <c r="A481" s="29" t="s">
        <v>718</v>
      </c>
      <c r="B481" s="29" t="s">
        <v>719</v>
      </c>
    </row>
    <row r="482" spans="1:2" x14ac:dyDescent="0.25">
      <c r="A482" s="29" t="s">
        <v>41</v>
      </c>
      <c r="B482" s="29" t="s">
        <v>41</v>
      </c>
    </row>
    <row r="483" spans="1:2" x14ac:dyDescent="0.25">
      <c r="A483" s="29" t="s">
        <v>47</v>
      </c>
      <c r="B483" s="29" t="s">
        <v>41</v>
      </c>
    </row>
    <row r="484" spans="1:2" x14ac:dyDescent="0.25">
      <c r="A484" s="29" t="s">
        <v>720</v>
      </c>
      <c r="B484" s="29" t="s">
        <v>721</v>
      </c>
    </row>
    <row r="485" spans="1:2" x14ac:dyDescent="0.25">
      <c r="A485" s="31" t="s">
        <v>4371</v>
      </c>
      <c r="B485" s="31" t="s">
        <v>4372</v>
      </c>
    </row>
    <row r="486" spans="1:2" x14ac:dyDescent="0.25">
      <c r="A486" s="31" t="s">
        <v>4373</v>
      </c>
      <c r="B486" s="31" t="s">
        <v>4374</v>
      </c>
    </row>
    <row r="487" spans="1:2" x14ac:dyDescent="0.25">
      <c r="A487" t="s">
        <v>1786</v>
      </c>
      <c r="B487" s="32" t="s">
        <v>1787</v>
      </c>
    </row>
    <row r="488" spans="1:2" x14ac:dyDescent="0.25">
      <c r="A488" s="31" t="s">
        <v>2538</v>
      </c>
      <c r="B488" s="31" t="s">
        <v>2578</v>
      </c>
    </row>
    <row r="489" spans="1:2" x14ac:dyDescent="0.25">
      <c r="A489" s="29" t="s">
        <v>1843</v>
      </c>
      <c r="B489" s="29" t="s">
        <v>1844</v>
      </c>
    </row>
    <row r="490" spans="1:2" x14ac:dyDescent="0.25">
      <c r="A490" s="29" t="s">
        <v>1434</v>
      </c>
      <c r="B490" t="s">
        <v>1435</v>
      </c>
    </row>
    <row r="491" spans="1:2" x14ac:dyDescent="0.25">
      <c r="A491" s="29" t="s">
        <v>724</v>
      </c>
      <c r="B491" s="29" t="s">
        <v>725</v>
      </c>
    </row>
    <row r="492" spans="1:2" x14ac:dyDescent="0.25">
      <c r="A492" s="31" t="s">
        <v>2719</v>
      </c>
      <c r="B492" s="31" t="s">
        <v>698</v>
      </c>
    </row>
    <row r="493" spans="1:2" x14ac:dyDescent="0.25">
      <c r="A493" s="29" t="s">
        <v>2086</v>
      </c>
      <c r="B493" s="29" t="s">
        <v>2087</v>
      </c>
    </row>
    <row r="494" spans="1:2" x14ac:dyDescent="0.25">
      <c r="A494" s="29" t="s">
        <v>2045</v>
      </c>
      <c r="B494" s="29" t="s">
        <v>2046</v>
      </c>
    </row>
    <row r="495" spans="1:2" x14ac:dyDescent="0.25">
      <c r="A495" s="29" t="s">
        <v>1208</v>
      </c>
      <c r="B495" s="29" t="s">
        <v>1243</v>
      </c>
    </row>
    <row r="496" spans="1:2" x14ac:dyDescent="0.25">
      <c r="A496" s="29" t="s">
        <v>816</v>
      </c>
      <c r="B496" s="29" t="s">
        <v>817</v>
      </c>
    </row>
    <row r="497" spans="1:2" x14ac:dyDescent="0.25">
      <c r="A497" s="31" t="s">
        <v>2720</v>
      </c>
      <c r="B497" s="31" t="s">
        <v>2407</v>
      </c>
    </row>
    <row r="498" spans="1:2" x14ac:dyDescent="0.25">
      <c r="A498" s="31" t="s">
        <v>2548</v>
      </c>
      <c r="B498" s="31" t="s">
        <v>2579</v>
      </c>
    </row>
    <row r="499" spans="1:2" x14ac:dyDescent="0.25">
      <c r="A499" s="31" t="s">
        <v>3359</v>
      </c>
      <c r="B499" s="31" t="s">
        <v>3360</v>
      </c>
    </row>
    <row r="500" spans="1:2" x14ac:dyDescent="0.25">
      <c r="A500" s="31" t="s">
        <v>3693</v>
      </c>
      <c r="B500" s="31" t="s">
        <v>3726</v>
      </c>
    </row>
    <row r="501" spans="1:2" x14ac:dyDescent="0.25">
      <c r="A501" s="29" t="s">
        <v>2455</v>
      </c>
      <c r="B501" s="29" t="s">
        <v>2495</v>
      </c>
    </row>
    <row r="502" spans="1:2" x14ac:dyDescent="0.25">
      <c r="A502" s="29" t="s">
        <v>726</v>
      </c>
      <c r="B502" s="29" t="s">
        <v>727</v>
      </c>
    </row>
    <row r="503" spans="1:2" x14ac:dyDescent="0.25">
      <c r="A503" s="31" t="s">
        <v>2555</v>
      </c>
      <c r="B503" s="31" t="s">
        <v>727</v>
      </c>
    </row>
    <row r="504" spans="1:2" x14ac:dyDescent="0.25">
      <c r="A504" s="29" t="s">
        <v>1436</v>
      </c>
      <c r="B504" t="s">
        <v>1437</v>
      </c>
    </row>
    <row r="505" spans="1:2" x14ac:dyDescent="0.25">
      <c r="A505" s="29" t="s">
        <v>730</v>
      </c>
      <c r="B505" s="29" t="s">
        <v>731</v>
      </c>
    </row>
    <row r="506" spans="1:2" x14ac:dyDescent="0.25">
      <c r="A506" s="29" t="s">
        <v>734</v>
      </c>
      <c r="B506" s="29" t="s">
        <v>735</v>
      </c>
    </row>
    <row r="507" spans="1:2" x14ac:dyDescent="0.25">
      <c r="A507" t="s">
        <v>1788</v>
      </c>
      <c r="B507" s="32" t="s">
        <v>1789</v>
      </c>
    </row>
    <row r="508" spans="1:2" x14ac:dyDescent="0.25">
      <c r="A508" s="29" t="s">
        <v>1628</v>
      </c>
      <c r="B508" s="29" t="s">
        <v>2012</v>
      </c>
    </row>
    <row r="509" spans="1:2" x14ac:dyDescent="0.25">
      <c r="A509" s="29" t="s">
        <v>28</v>
      </c>
      <c r="B509" s="29" t="s">
        <v>229</v>
      </c>
    </row>
    <row r="510" spans="1:2" x14ac:dyDescent="0.25">
      <c r="A510" s="29" t="s">
        <v>818</v>
      </c>
      <c r="B510" s="29" t="s">
        <v>819</v>
      </c>
    </row>
    <row r="511" spans="1:2" x14ac:dyDescent="0.25">
      <c r="A511" s="29" t="s">
        <v>130</v>
      </c>
      <c r="B511" s="29" t="s">
        <v>737</v>
      </c>
    </row>
    <row r="512" spans="1:2" x14ac:dyDescent="0.25">
      <c r="A512" s="29" t="s">
        <v>61</v>
      </c>
      <c r="B512" s="29" t="s">
        <v>737</v>
      </c>
    </row>
    <row r="513" spans="1:2" x14ac:dyDescent="0.25">
      <c r="A513" s="29" t="s">
        <v>1438</v>
      </c>
      <c r="B513" t="s">
        <v>1439</v>
      </c>
    </row>
    <row r="514" spans="1:2" x14ac:dyDescent="0.25">
      <c r="A514" s="31" t="s">
        <v>2721</v>
      </c>
      <c r="B514" s="31" t="s">
        <v>2722</v>
      </c>
    </row>
    <row r="515" spans="1:2" x14ac:dyDescent="0.25">
      <c r="A515" s="31" t="s">
        <v>3336</v>
      </c>
      <c r="B515" s="31" t="s">
        <v>3361</v>
      </c>
    </row>
    <row r="516" spans="1:2" x14ac:dyDescent="0.25">
      <c r="A516" s="29" t="s">
        <v>196</v>
      </c>
      <c r="B516" s="29" t="s">
        <v>736</v>
      </c>
    </row>
    <row r="517" spans="1:2" x14ac:dyDescent="0.25">
      <c r="A517" s="29" t="s">
        <v>1440</v>
      </c>
      <c r="B517" t="s">
        <v>1441</v>
      </c>
    </row>
    <row r="518" spans="1:2" x14ac:dyDescent="0.25">
      <c r="A518" s="29" t="s">
        <v>738</v>
      </c>
      <c r="B518" s="29" t="s">
        <v>739</v>
      </c>
    </row>
    <row r="519" spans="1:2" x14ac:dyDescent="0.25">
      <c r="A519" s="31" t="s">
        <v>3544</v>
      </c>
      <c r="B519" s="31" t="s">
        <v>3569</v>
      </c>
    </row>
    <row r="520" spans="1:2" x14ac:dyDescent="0.25">
      <c r="A520" s="31" t="s">
        <v>3362</v>
      </c>
      <c r="B520" s="31" t="s">
        <v>3363</v>
      </c>
    </row>
    <row r="521" spans="1:2" x14ac:dyDescent="0.25">
      <c r="A521" s="29" t="s">
        <v>722</v>
      </c>
      <c r="B521" s="29" t="s">
        <v>723</v>
      </c>
    </row>
    <row r="522" spans="1:2" x14ac:dyDescent="0.25">
      <c r="A522" s="29" t="s">
        <v>86</v>
      </c>
      <c r="B522" s="29" t="s">
        <v>740</v>
      </c>
    </row>
    <row r="523" spans="1:2" x14ac:dyDescent="0.25">
      <c r="A523" s="31" t="s">
        <v>2636</v>
      </c>
      <c r="B523" s="31" t="s">
        <v>2723</v>
      </c>
    </row>
    <row r="524" spans="1:2" x14ac:dyDescent="0.25">
      <c r="A524" s="31" t="s">
        <v>2645</v>
      </c>
      <c r="B524" s="31" t="s">
        <v>2724</v>
      </c>
    </row>
    <row r="525" spans="1:2" x14ac:dyDescent="0.25">
      <c r="A525" s="29" t="s">
        <v>1442</v>
      </c>
      <c r="B525" t="s">
        <v>742</v>
      </c>
    </row>
    <row r="526" spans="1:2" x14ac:dyDescent="0.25">
      <c r="A526" s="29" t="s">
        <v>741</v>
      </c>
      <c r="B526" s="29" t="s">
        <v>742</v>
      </c>
    </row>
    <row r="527" spans="1:2" x14ac:dyDescent="0.25">
      <c r="A527" s="31" t="s">
        <v>3884</v>
      </c>
      <c r="B527" s="31" t="s">
        <v>4375</v>
      </c>
    </row>
    <row r="528" spans="1:2" x14ac:dyDescent="0.25">
      <c r="A528" s="29" t="s">
        <v>743</v>
      </c>
      <c r="B528" s="29" t="s">
        <v>744</v>
      </c>
    </row>
    <row r="529" spans="1:2" x14ac:dyDescent="0.25">
      <c r="A529" t="s">
        <v>1790</v>
      </c>
      <c r="B529" s="32" t="s">
        <v>1791</v>
      </c>
    </row>
    <row r="530" spans="1:2" x14ac:dyDescent="0.25">
      <c r="A530" s="29" t="s">
        <v>1443</v>
      </c>
      <c r="B530" t="s">
        <v>1444</v>
      </c>
    </row>
    <row r="531" spans="1:2" x14ac:dyDescent="0.25">
      <c r="A531" s="29" t="s">
        <v>746</v>
      </c>
      <c r="B531" s="29" t="s">
        <v>747</v>
      </c>
    </row>
    <row r="532" spans="1:2" x14ac:dyDescent="0.25">
      <c r="A532" s="29" t="s">
        <v>1445</v>
      </c>
      <c r="B532" t="s">
        <v>1446</v>
      </c>
    </row>
    <row r="533" spans="1:2" x14ac:dyDescent="0.25">
      <c r="A533" s="29" t="s">
        <v>140</v>
      </c>
      <c r="B533" s="29" t="s">
        <v>244</v>
      </c>
    </row>
    <row r="534" spans="1:2" x14ac:dyDescent="0.25">
      <c r="A534" s="29" t="s">
        <v>2041</v>
      </c>
      <c r="B534" s="29" t="s">
        <v>2042</v>
      </c>
    </row>
    <row r="535" spans="1:2" x14ac:dyDescent="0.25">
      <c r="A535" s="29" t="s">
        <v>748</v>
      </c>
      <c r="B535" s="29" t="s">
        <v>749</v>
      </c>
    </row>
    <row r="536" spans="1:2" x14ac:dyDescent="0.25">
      <c r="A536" s="29" t="s">
        <v>2394</v>
      </c>
      <c r="B536" s="29" t="s">
        <v>2395</v>
      </c>
    </row>
    <row r="537" spans="1:2" x14ac:dyDescent="0.25">
      <c r="A537" s="29" t="s">
        <v>2156</v>
      </c>
      <c r="B537" s="29" t="s">
        <v>2157</v>
      </c>
    </row>
    <row r="538" spans="1:2" x14ac:dyDescent="0.25">
      <c r="A538" s="31" t="s">
        <v>4376</v>
      </c>
      <c r="B538" s="31" t="s">
        <v>2157</v>
      </c>
    </row>
    <row r="539" spans="1:2" x14ac:dyDescent="0.25">
      <c r="A539" s="29" t="s">
        <v>919</v>
      </c>
      <c r="B539" s="29" t="s">
        <v>918</v>
      </c>
    </row>
    <row r="540" spans="1:2" x14ac:dyDescent="0.25">
      <c r="A540" s="31" t="s">
        <v>3279</v>
      </c>
      <c r="B540" s="31" t="s">
        <v>3289</v>
      </c>
    </row>
    <row r="541" spans="1:2" x14ac:dyDescent="0.25">
      <c r="A541" s="31" t="s">
        <v>3676</v>
      </c>
      <c r="B541" s="31" t="s">
        <v>3727</v>
      </c>
    </row>
    <row r="542" spans="1:2" x14ac:dyDescent="0.25">
      <c r="A542" s="29" t="s">
        <v>2396</v>
      </c>
      <c r="B542" s="29" t="s">
        <v>2397</v>
      </c>
    </row>
    <row r="543" spans="1:2" x14ac:dyDescent="0.25">
      <c r="A543" s="29" t="s">
        <v>1672</v>
      </c>
      <c r="B543" s="29" t="s">
        <v>2011</v>
      </c>
    </row>
    <row r="544" spans="1:2" x14ac:dyDescent="0.25">
      <c r="A544" s="31" t="s">
        <v>3473</v>
      </c>
      <c r="B544" s="31" t="s">
        <v>3508</v>
      </c>
    </row>
    <row r="545" spans="1:2" x14ac:dyDescent="0.25">
      <c r="A545" s="29" t="s">
        <v>812</v>
      </c>
      <c r="B545" s="29" t="s">
        <v>813</v>
      </c>
    </row>
    <row r="546" spans="1:2" x14ac:dyDescent="0.25">
      <c r="A546" s="29" t="s">
        <v>993</v>
      </c>
      <c r="B546" s="29" t="s">
        <v>994</v>
      </c>
    </row>
    <row r="547" spans="1:2" x14ac:dyDescent="0.25">
      <c r="A547" s="31" t="s">
        <v>2625</v>
      </c>
      <c r="B547" s="31" t="s">
        <v>2725</v>
      </c>
    </row>
    <row r="548" spans="1:2" x14ac:dyDescent="0.25">
      <c r="A548" s="29" t="s">
        <v>2388</v>
      </c>
      <c r="B548" s="29" t="s">
        <v>2389</v>
      </c>
    </row>
    <row r="549" spans="1:2" x14ac:dyDescent="0.25">
      <c r="A549" s="29" t="s">
        <v>101</v>
      </c>
      <c r="B549" s="29" t="s">
        <v>750</v>
      </c>
    </row>
    <row r="550" spans="1:2" x14ac:dyDescent="0.25">
      <c r="A550" s="29" t="s">
        <v>1447</v>
      </c>
      <c r="B550" t="s">
        <v>1448</v>
      </c>
    </row>
    <row r="551" spans="1:2" x14ac:dyDescent="0.25">
      <c r="A551" s="29" t="s">
        <v>2249</v>
      </c>
      <c r="B551" s="29" t="s">
        <v>2250</v>
      </c>
    </row>
    <row r="552" spans="1:2" x14ac:dyDescent="0.25">
      <c r="A552" s="31" t="s">
        <v>2040</v>
      </c>
      <c r="B552" s="31" t="s">
        <v>2040</v>
      </c>
    </row>
    <row r="553" spans="1:2" x14ac:dyDescent="0.25">
      <c r="A553" s="29" t="s">
        <v>2039</v>
      </c>
      <c r="B553" s="29" t="s">
        <v>2040</v>
      </c>
    </row>
    <row r="554" spans="1:2" x14ac:dyDescent="0.25">
      <c r="A554" s="29" t="s">
        <v>2114</v>
      </c>
      <c r="B554" s="29" t="s">
        <v>2040</v>
      </c>
    </row>
    <row r="555" spans="1:2" x14ac:dyDescent="0.25">
      <c r="A555" s="29" t="s">
        <v>2306</v>
      </c>
      <c r="B555" s="29" t="s">
        <v>2307</v>
      </c>
    </row>
    <row r="556" spans="1:2" x14ac:dyDescent="0.25">
      <c r="A556" t="s">
        <v>1315</v>
      </c>
      <c r="B556" t="s">
        <v>1316</v>
      </c>
    </row>
    <row r="557" spans="1:2" x14ac:dyDescent="0.25">
      <c r="A557" s="29" t="s">
        <v>751</v>
      </c>
      <c r="B557" s="29" t="s">
        <v>752</v>
      </c>
    </row>
    <row r="558" spans="1:2" x14ac:dyDescent="0.25">
      <c r="A558" s="29" t="s">
        <v>753</v>
      </c>
      <c r="B558" s="29" t="s">
        <v>752</v>
      </c>
    </row>
    <row r="559" spans="1:2" x14ac:dyDescent="0.25">
      <c r="A559" s="29" t="s">
        <v>2304</v>
      </c>
      <c r="B559" s="29" t="s">
        <v>2305</v>
      </c>
    </row>
    <row r="560" spans="1:2" x14ac:dyDescent="0.25">
      <c r="A560" s="28" t="s">
        <v>2175</v>
      </c>
      <c r="B560" s="28" t="s">
        <v>2176</v>
      </c>
    </row>
    <row r="561" spans="1:2" x14ac:dyDescent="0.25">
      <c r="A561" s="31" t="s">
        <v>4377</v>
      </c>
      <c r="B561" s="31" t="s">
        <v>4378</v>
      </c>
    </row>
    <row r="562" spans="1:2" x14ac:dyDescent="0.25">
      <c r="A562" s="31" t="s">
        <v>3160</v>
      </c>
      <c r="B562" s="31" t="s">
        <v>3191</v>
      </c>
    </row>
    <row r="563" spans="1:2" x14ac:dyDescent="0.25">
      <c r="A563" t="s">
        <v>1794</v>
      </c>
      <c r="B563" s="32" t="s">
        <v>1795</v>
      </c>
    </row>
    <row r="564" spans="1:2" x14ac:dyDescent="0.25">
      <c r="A564" s="31" t="s">
        <v>3596</v>
      </c>
      <c r="B564" s="31" t="s">
        <v>3616</v>
      </c>
    </row>
    <row r="565" spans="1:2" x14ac:dyDescent="0.25">
      <c r="A565" t="s">
        <v>1317</v>
      </c>
      <c r="B565" t="s">
        <v>1318</v>
      </c>
    </row>
    <row r="566" spans="1:2" x14ac:dyDescent="0.25">
      <c r="A566" s="31" t="s">
        <v>4379</v>
      </c>
      <c r="B566" s="31" t="s">
        <v>4380</v>
      </c>
    </row>
    <row r="567" spans="1:2" x14ac:dyDescent="0.25">
      <c r="A567" s="29" t="s">
        <v>1713</v>
      </c>
      <c r="B567" s="29" t="s">
        <v>2009</v>
      </c>
    </row>
    <row r="568" spans="1:2" x14ac:dyDescent="0.25">
      <c r="A568" s="29" t="s">
        <v>2453</v>
      </c>
      <c r="B568" s="29" t="s">
        <v>2493</v>
      </c>
    </row>
    <row r="569" spans="1:2" x14ac:dyDescent="0.25">
      <c r="A569" s="29" t="s">
        <v>162</v>
      </c>
      <c r="B569" s="30" t="s">
        <v>249</v>
      </c>
    </row>
    <row r="570" spans="1:2" x14ac:dyDescent="0.25">
      <c r="A570" s="31" t="s">
        <v>4301</v>
      </c>
      <c r="B570" s="31" t="s">
        <v>4381</v>
      </c>
    </row>
    <row r="571" spans="1:2" x14ac:dyDescent="0.25">
      <c r="A571" s="31" t="s">
        <v>2620</v>
      </c>
      <c r="B571" s="31" t="s">
        <v>2726</v>
      </c>
    </row>
    <row r="572" spans="1:2" x14ac:dyDescent="0.25">
      <c r="A572" s="29" t="s">
        <v>1796</v>
      </c>
      <c r="B572" s="29" t="s">
        <v>1797</v>
      </c>
    </row>
    <row r="573" spans="1:2" x14ac:dyDescent="0.25">
      <c r="A573" s="29" t="s">
        <v>756</v>
      </c>
      <c r="B573" s="29" t="s">
        <v>757</v>
      </c>
    </row>
    <row r="574" spans="1:2" x14ac:dyDescent="0.25">
      <c r="A574" s="29" t="s">
        <v>1641</v>
      </c>
      <c r="B574" s="29" t="s">
        <v>2008</v>
      </c>
    </row>
    <row r="575" spans="1:2" x14ac:dyDescent="0.25">
      <c r="A575" s="29" t="s">
        <v>2340</v>
      </c>
      <c r="B575" s="29" t="s">
        <v>2341</v>
      </c>
    </row>
    <row r="576" spans="1:2" x14ac:dyDescent="0.25">
      <c r="A576" s="29" t="s">
        <v>2204</v>
      </c>
      <c r="B576" s="29" t="s">
        <v>2205</v>
      </c>
    </row>
    <row r="577" spans="1:2" x14ac:dyDescent="0.25">
      <c r="A577" s="31" t="s">
        <v>3728</v>
      </c>
      <c r="B577" s="31" t="s">
        <v>3729</v>
      </c>
    </row>
    <row r="578" spans="1:2" x14ac:dyDescent="0.25">
      <c r="A578" s="31" t="s">
        <v>3663</v>
      </c>
      <c r="B578" s="31" t="s">
        <v>3730</v>
      </c>
    </row>
    <row r="579" spans="1:2" x14ac:dyDescent="0.25">
      <c r="A579" s="29" t="s">
        <v>758</v>
      </c>
      <c r="B579" s="29" t="s">
        <v>759</v>
      </c>
    </row>
    <row r="580" spans="1:2" x14ac:dyDescent="0.25">
      <c r="A580" s="31" t="s">
        <v>2902</v>
      </c>
      <c r="B580" s="31" t="s">
        <v>2979</v>
      </c>
    </row>
    <row r="581" spans="1:2" x14ac:dyDescent="0.25">
      <c r="A581" s="29" t="s">
        <v>1449</v>
      </c>
      <c r="B581" t="s">
        <v>1450</v>
      </c>
    </row>
    <row r="582" spans="1:2" x14ac:dyDescent="0.25">
      <c r="A582" s="31" t="s">
        <v>3364</v>
      </c>
      <c r="B582" s="31" t="s">
        <v>1719</v>
      </c>
    </row>
    <row r="583" spans="1:2" x14ac:dyDescent="0.25">
      <c r="A583" s="31" t="s">
        <v>3039</v>
      </c>
      <c r="B583" s="31" t="s">
        <v>3068</v>
      </c>
    </row>
    <row r="584" spans="1:2" x14ac:dyDescent="0.25">
      <c r="A584" s="31" t="s">
        <v>3681</v>
      </c>
      <c r="B584" s="31" t="s">
        <v>3731</v>
      </c>
    </row>
    <row r="585" spans="1:2" x14ac:dyDescent="0.25">
      <c r="A585" s="29" t="s">
        <v>1718</v>
      </c>
      <c r="B585" s="29" t="s">
        <v>1719</v>
      </c>
    </row>
    <row r="586" spans="1:2" x14ac:dyDescent="0.25">
      <c r="A586" s="29" t="s">
        <v>1646</v>
      </c>
      <c r="B586" s="29" t="s">
        <v>2002</v>
      </c>
    </row>
    <row r="587" spans="1:2" x14ac:dyDescent="0.25">
      <c r="A587" t="s">
        <v>1767</v>
      </c>
      <c r="B587" s="32" t="s">
        <v>690</v>
      </c>
    </row>
    <row r="588" spans="1:2" x14ac:dyDescent="0.25">
      <c r="A588" s="31" t="s">
        <v>3126</v>
      </c>
      <c r="B588" s="31" t="s">
        <v>2002</v>
      </c>
    </row>
    <row r="589" spans="1:2" x14ac:dyDescent="0.25">
      <c r="A589" s="29" t="s">
        <v>1644</v>
      </c>
      <c r="B589" s="29" t="s">
        <v>1981</v>
      </c>
    </row>
    <row r="590" spans="1:2" x14ac:dyDescent="0.25">
      <c r="A590" s="29" t="s">
        <v>1451</v>
      </c>
      <c r="B590" t="s">
        <v>1452</v>
      </c>
    </row>
    <row r="591" spans="1:2" x14ac:dyDescent="0.25">
      <c r="A591" s="29" t="s">
        <v>1645</v>
      </c>
      <c r="B591" s="29" t="s">
        <v>2015</v>
      </c>
    </row>
    <row r="592" spans="1:2" x14ac:dyDescent="0.25">
      <c r="A592" s="29" t="s">
        <v>2065</v>
      </c>
      <c r="B592" s="29" t="s">
        <v>2066</v>
      </c>
    </row>
    <row r="593" spans="1:2" x14ac:dyDescent="0.25">
      <c r="A593" s="31" t="s">
        <v>2727</v>
      </c>
      <c r="B593" s="31" t="s">
        <v>2728</v>
      </c>
    </row>
    <row r="594" spans="1:2" x14ac:dyDescent="0.25">
      <c r="A594" s="29" t="s">
        <v>2110</v>
      </c>
      <c r="B594" s="29" t="s">
        <v>2111</v>
      </c>
    </row>
    <row r="595" spans="1:2" x14ac:dyDescent="0.25">
      <c r="A595" s="31" t="s">
        <v>3601</v>
      </c>
      <c r="B595" s="31" t="s">
        <v>3617</v>
      </c>
    </row>
    <row r="596" spans="1:2" x14ac:dyDescent="0.25">
      <c r="A596" s="31" t="s">
        <v>4382</v>
      </c>
      <c r="B596" s="31" t="s">
        <v>4383</v>
      </c>
    </row>
    <row r="597" spans="1:2" x14ac:dyDescent="0.25">
      <c r="A597" s="31" t="s">
        <v>2644</v>
      </c>
      <c r="B597" s="31" t="s">
        <v>2729</v>
      </c>
    </row>
    <row r="598" spans="1:2" x14ac:dyDescent="0.25">
      <c r="A598" s="31" t="s">
        <v>3677</v>
      </c>
      <c r="B598" s="31" t="s">
        <v>3732</v>
      </c>
    </row>
    <row r="599" spans="1:2" x14ac:dyDescent="0.25">
      <c r="A599" s="31" t="s">
        <v>3365</v>
      </c>
      <c r="B599" s="31" t="s">
        <v>3366</v>
      </c>
    </row>
    <row r="600" spans="1:2" x14ac:dyDescent="0.25">
      <c r="A600" s="31" t="s">
        <v>2898</v>
      </c>
      <c r="B600" s="31" t="s">
        <v>2980</v>
      </c>
    </row>
    <row r="601" spans="1:2" x14ac:dyDescent="0.25">
      <c r="A601" s="31" t="s">
        <v>3672</v>
      </c>
      <c r="B601" s="31" t="s">
        <v>3733</v>
      </c>
    </row>
    <row r="602" spans="1:2" x14ac:dyDescent="0.25">
      <c r="A602" s="31" t="s">
        <v>3116</v>
      </c>
      <c r="B602" s="31" t="s">
        <v>3192</v>
      </c>
    </row>
    <row r="603" spans="1:2" x14ac:dyDescent="0.25">
      <c r="A603" s="29" t="s">
        <v>1453</v>
      </c>
      <c r="B603" t="s">
        <v>1454</v>
      </c>
    </row>
    <row r="604" spans="1:2" x14ac:dyDescent="0.25">
      <c r="A604" s="29" t="s">
        <v>164</v>
      </c>
      <c r="B604" s="29" t="s">
        <v>250</v>
      </c>
    </row>
    <row r="605" spans="1:2" x14ac:dyDescent="0.25">
      <c r="A605" s="29" t="s">
        <v>762</v>
      </c>
      <c r="B605" s="29" t="s">
        <v>763</v>
      </c>
    </row>
    <row r="606" spans="1:2" x14ac:dyDescent="0.25">
      <c r="A606" s="29" t="s">
        <v>1455</v>
      </c>
      <c r="B606" t="s">
        <v>1456</v>
      </c>
    </row>
    <row r="607" spans="1:2" x14ac:dyDescent="0.25">
      <c r="A607" s="29" t="s">
        <v>2251</v>
      </c>
      <c r="B607" s="29" t="s">
        <v>2252</v>
      </c>
    </row>
    <row r="608" spans="1:2" x14ac:dyDescent="0.25">
      <c r="A608" s="31" t="s">
        <v>3367</v>
      </c>
      <c r="B608" s="31" t="s">
        <v>764</v>
      </c>
    </row>
    <row r="609" spans="1:2" x14ac:dyDescent="0.25">
      <c r="A609" s="31" t="s">
        <v>3612</v>
      </c>
      <c r="B609" s="31" t="s">
        <v>3618</v>
      </c>
    </row>
    <row r="610" spans="1:2" x14ac:dyDescent="0.25">
      <c r="A610" s="31" t="s">
        <v>2730</v>
      </c>
      <c r="B610" s="31" t="s">
        <v>764</v>
      </c>
    </row>
    <row r="611" spans="1:2" x14ac:dyDescent="0.25">
      <c r="A611" s="29" t="s">
        <v>174</v>
      </c>
      <c r="B611" s="29" t="s">
        <v>764</v>
      </c>
    </row>
    <row r="612" spans="1:2" x14ac:dyDescent="0.25">
      <c r="A612" s="31" t="s">
        <v>2932</v>
      </c>
      <c r="B612" s="31" t="s">
        <v>2981</v>
      </c>
    </row>
    <row r="613" spans="1:2" x14ac:dyDescent="0.25">
      <c r="A613" s="29" t="s">
        <v>1665</v>
      </c>
      <c r="B613" s="29" t="s">
        <v>2007</v>
      </c>
    </row>
    <row r="614" spans="1:2" x14ac:dyDescent="0.25">
      <c r="A614" s="29" t="s">
        <v>135</v>
      </c>
      <c r="B614" s="29" t="s">
        <v>765</v>
      </c>
    </row>
    <row r="615" spans="1:2" x14ac:dyDescent="0.25">
      <c r="A615" s="31" t="s">
        <v>2731</v>
      </c>
      <c r="B615" s="31" t="s">
        <v>2732</v>
      </c>
    </row>
    <row r="616" spans="1:2" x14ac:dyDescent="0.25">
      <c r="A616" s="31" t="s">
        <v>3734</v>
      </c>
      <c r="B616" s="31" t="s">
        <v>3735</v>
      </c>
    </row>
    <row r="617" spans="1:2" x14ac:dyDescent="0.25">
      <c r="A617" t="s">
        <v>1798</v>
      </c>
      <c r="B617" s="32" t="s">
        <v>1799</v>
      </c>
    </row>
    <row r="618" spans="1:2" x14ac:dyDescent="0.25">
      <c r="A618" s="31" t="s">
        <v>3323</v>
      </c>
      <c r="B618" s="31" t="s">
        <v>766</v>
      </c>
    </row>
    <row r="619" spans="1:2" x14ac:dyDescent="0.25">
      <c r="A619" s="29" t="s">
        <v>195</v>
      </c>
      <c r="B619" s="29" t="s">
        <v>766</v>
      </c>
    </row>
    <row r="620" spans="1:2" x14ac:dyDescent="0.25">
      <c r="A620" s="29" t="s">
        <v>767</v>
      </c>
      <c r="B620" s="29" t="s">
        <v>768</v>
      </c>
    </row>
    <row r="621" spans="1:2" x14ac:dyDescent="0.25">
      <c r="A621" s="31" t="s">
        <v>2922</v>
      </c>
      <c r="B621" s="31" t="s">
        <v>2982</v>
      </c>
    </row>
    <row r="622" spans="1:2" x14ac:dyDescent="0.25">
      <c r="A622" s="29" t="s">
        <v>769</v>
      </c>
      <c r="B622" s="29" t="s">
        <v>770</v>
      </c>
    </row>
    <row r="623" spans="1:2" x14ac:dyDescent="0.25">
      <c r="A623" s="31" t="s">
        <v>2733</v>
      </c>
      <c r="B623" s="31" t="s">
        <v>770</v>
      </c>
    </row>
    <row r="624" spans="1:2" x14ac:dyDescent="0.25">
      <c r="A624" s="31" t="s">
        <v>2939</v>
      </c>
      <c r="B624" s="31" t="s">
        <v>770</v>
      </c>
    </row>
    <row r="625" spans="1:2" x14ac:dyDescent="0.25">
      <c r="A625" s="31" t="s">
        <v>4384</v>
      </c>
      <c r="B625" s="31" t="s">
        <v>770</v>
      </c>
    </row>
    <row r="626" spans="1:2" x14ac:dyDescent="0.25">
      <c r="A626" s="31" t="s">
        <v>4385</v>
      </c>
      <c r="B626" s="31" t="s">
        <v>770</v>
      </c>
    </row>
    <row r="627" spans="1:2" x14ac:dyDescent="0.25">
      <c r="A627" s="31" t="s">
        <v>3137</v>
      </c>
      <c r="B627" s="31" t="s">
        <v>3193</v>
      </c>
    </row>
    <row r="628" spans="1:2" x14ac:dyDescent="0.25">
      <c r="A628" s="31" t="s">
        <v>2930</v>
      </c>
      <c r="B628" s="31" t="s">
        <v>2983</v>
      </c>
    </row>
    <row r="629" spans="1:2" x14ac:dyDescent="0.25">
      <c r="A629" s="31" t="s">
        <v>2569</v>
      </c>
      <c r="B629" s="31" t="s">
        <v>2580</v>
      </c>
    </row>
    <row r="630" spans="1:2" x14ac:dyDescent="0.25">
      <c r="A630" s="29" t="s">
        <v>1457</v>
      </c>
      <c r="B630" t="s">
        <v>1458</v>
      </c>
    </row>
    <row r="631" spans="1:2" x14ac:dyDescent="0.25">
      <c r="A631" s="31" t="s">
        <v>3278</v>
      </c>
      <c r="B631" s="31" t="s">
        <v>3290</v>
      </c>
    </row>
    <row r="632" spans="1:2" x14ac:dyDescent="0.25">
      <c r="A632" s="31" t="s">
        <v>4386</v>
      </c>
      <c r="B632" s="31" t="s">
        <v>4386</v>
      </c>
    </row>
    <row r="633" spans="1:2" x14ac:dyDescent="0.25">
      <c r="A633" s="31" t="s">
        <v>4387</v>
      </c>
      <c r="B633" s="31" t="s">
        <v>4386</v>
      </c>
    </row>
    <row r="634" spans="1:2" x14ac:dyDescent="0.25">
      <c r="A634" s="31" t="s">
        <v>4388</v>
      </c>
      <c r="B634" s="31" t="s">
        <v>4386</v>
      </c>
    </row>
    <row r="635" spans="1:2" x14ac:dyDescent="0.25">
      <c r="A635" s="29" t="s">
        <v>1459</v>
      </c>
      <c r="B635" t="s">
        <v>1460</v>
      </c>
    </row>
    <row r="636" spans="1:2" x14ac:dyDescent="0.25">
      <c r="A636" s="31" t="s">
        <v>3662</v>
      </c>
      <c r="B636" s="31" t="s">
        <v>3736</v>
      </c>
    </row>
    <row r="637" spans="1:2" x14ac:dyDescent="0.25">
      <c r="A637" s="29" t="s">
        <v>2468</v>
      </c>
      <c r="B637" s="29" t="s">
        <v>2505</v>
      </c>
    </row>
    <row r="638" spans="1:2" x14ac:dyDescent="0.25">
      <c r="A638" s="29" t="s">
        <v>2421</v>
      </c>
      <c r="B638" s="29" t="s">
        <v>2422</v>
      </c>
    </row>
    <row r="639" spans="1:2" x14ac:dyDescent="0.25">
      <c r="A639" s="29" t="s">
        <v>1461</v>
      </c>
      <c r="B639" t="s">
        <v>1462</v>
      </c>
    </row>
    <row r="640" spans="1:2" x14ac:dyDescent="0.25">
      <c r="A640" s="31" t="s">
        <v>2734</v>
      </c>
      <c r="B640" s="31" t="s">
        <v>2006</v>
      </c>
    </row>
    <row r="641" spans="1:2" x14ac:dyDescent="0.25">
      <c r="A641" s="29" t="s">
        <v>1193</v>
      </c>
      <c r="B641" s="29" t="s">
        <v>1244</v>
      </c>
    </row>
    <row r="642" spans="1:2" x14ac:dyDescent="0.25">
      <c r="A642" s="29" t="s">
        <v>1693</v>
      </c>
      <c r="B642" s="29" t="s">
        <v>2006</v>
      </c>
    </row>
    <row r="643" spans="1:2" x14ac:dyDescent="0.25">
      <c r="A643" s="31" t="s">
        <v>2735</v>
      </c>
      <c r="B643" s="31" t="s">
        <v>2736</v>
      </c>
    </row>
    <row r="644" spans="1:2" x14ac:dyDescent="0.25">
      <c r="A644" s="31" t="s">
        <v>4389</v>
      </c>
      <c r="B644" s="31" t="s">
        <v>4390</v>
      </c>
    </row>
    <row r="645" spans="1:2" x14ac:dyDescent="0.25">
      <c r="A645" s="31" t="s">
        <v>3669</v>
      </c>
      <c r="B645" s="31" t="s">
        <v>3737</v>
      </c>
    </row>
    <row r="646" spans="1:2" x14ac:dyDescent="0.25">
      <c r="A646" s="31" t="s">
        <v>3670</v>
      </c>
      <c r="B646" s="31" t="s">
        <v>3737</v>
      </c>
    </row>
    <row r="647" spans="1:2" x14ac:dyDescent="0.25">
      <c r="A647" s="31" t="s">
        <v>3668</v>
      </c>
      <c r="B647" s="31" t="s">
        <v>3737</v>
      </c>
    </row>
    <row r="648" spans="1:2" x14ac:dyDescent="0.25">
      <c r="A648" s="29" t="s">
        <v>1463</v>
      </c>
      <c r="B648" t="s">
        <v>1464</v>
      </c>
    </row>
    <row r="649" spans="1:2" x14ac:dyDescent="0.25">
      <c r="A649" s="31" t="s">
        <v>3674</v>
      </c>
      <c r="B649" s="31" t="s">
        <v>3738</v>
      </c>
    </row>
    <row r="650" spans="1:2" x14ac:dyDescent="0.25">
      <c r="A650" s="29" t="s">
        <v>773</v>
      </c>
      <c r="B650" s="29" t="s">
        <v>774</v>
      </c>
    </row>
    <row r="651" spans="1:2" x14ac:dyDescent="0.25">
      <c r="A651" s="31" t="s">
        <v>3739</v>
      </c>
      <c r="B651" s="31" t="s">
        <v>3740</v>
      </c>
    </row>
    <row r="652" spans="1:2" x14ac:dyDescent="0.25">
      <c r="A652" s="29" t="s">
        <v>161</v>
      </c>
      <c r="B652" s="29" t="s">
        <v>775</v>
      </c>
    </row>
    <row r="653" spans="1:2" x14ac:dyDescent="0.25">
      <c r="A653" s="29" t="s">
        <v>1465</v>
      </c>
      <c r="B653" t="s">
        <v>1466</v>
      </c>
    </row>
    <row r="654" spans="1:2" x14ac:dyDescent="0.25">
      <c r="A654" s="31" t="s">
        <v>2737</v>
      </c>
      <c r="B654" s="31" t="s">
        <v>2738</v>
      </c>
    </row>
    <row r="655" spans="1:2" x14ac:dyDescent="0.25">
      <c r="A655" s="31" t="s">
        <v>3496</v>
      </c>
      <c r="B655" s="31" t="s">
        <v>3509</v>
      </c>
    </row>
    <row r="656" spans="1:2" x14ac:dyDescent="0.25">
      <c r="A656" s="29" t="s">
        <v>1688</v>
      </c>
      <c r="B656" s="29" t="s">
        <v>2005</v>
      </c>
    </row>
    <row r="657" spans="1:2" x14ac:dyDescent="0.25">
      <c r="A657" s="29" t="s">
        <v>777</v>
      </c>
      <c r="B657" s="29" t="s">
        <v>778</v>
      </c>
    </row>
    <row r="658" spans="1:2" x14ac:dyDescent="0.25">
      <c r="A658" s="29" t="s">
        <v>1640</v>
      </c>
      <c r="B658" s="29" t="s">
        <v>2004</v>
      </c>
    </row>
    <row r="659" spans="1:2" x14ac:dyDescent="0.25">
      <c r="A659" s="31" t="s">
        <v>3660</v>
      </c>
      <c r="B659" s="31" t="s">
        <v>2004</v>
      </c>
    </row>
    <row r="660" spans="1:2" x14ac:dyDescent="0.25">
      <c r="A660" s="29" t="s">
        <v>779</v>
      </c>
      <c r="B660" s="29" t="s">
        <v>780</v>
      </c>
    </row>
    <row r="661" spans="1:2" x14ac:dyDescent="0.25">
      <c r="A661" s="29" t="s">
        <v>131</v>
      </c>
      <c r="B661" s="29" t="s">
        <v>781</v>
      </c>
    </row>
    <row r="662" spans="1:2" x14ac:dyDescent="0.25">
      <c r="A662" s="31" t="s">
        <v>3682</v>
      </c>
      <c r="B662" s="31" t="s">
        <v>3741</v>
      </c>
    </row>
    <row r="663" spans="1:2" x14ac:dyDescent="0.25">
      <c r="A663" s="29" t="s">
        <v>2433</v>
      </c>
      <c r="B663" s="29" t="s">
        <v>2434</v>
      </c>
    </row>
    <row r="664" spans="1:2" x14ac:dyDescent="0.25">
      <c r="A664" s="31" t="s">
        <v>2560</v>
      </c>
      <c r="B664" s="31" t="s">
        <v>2581</v>
      </c>
    </row>
    <row r="665" spans="1:2" x14ac:dyDescent="0.25">
      <c r="A665" s="29" t="s">
        <v>782</v>
      </c>
      <c r="B665" s="29" t="s">
        <v>783</v>
      </c>
    </row>
    <row r="666" spans="1:2" x14ac:dyDescent="0.25">
      <c r="A666" s="31" t="s">
        <v>3436</v>
      </c>
      <c r="B666" s="31" t="s">
        <v>784</v>
      </c>
    </row>
    <row r="667" spans="1:2" x14ac:dyDescent="0.25">
      <c r="A667" s="29" t="s">
        <v>1663</v>
      </c>
      <c r="B667" s="29" t="s">
        <v>784</v>
      </c>
    </row>
    <row r="668" spans="1:2" x14ac:dyDescent="0.25">
      <c r="A668" t="s">
        <v>1319</v>
      </c>
      <c r="B668" t="s">
        <v>1320</v>
      </c>
    </row>
    <row r="669" spans="1:2" x14ac:dyDescent="0.25">
      <c r="A669" s="29" t="s">
        <v>76</v>
      </c>
      <c r="B669" s="29" t="s">
        <v>784</v>
      </c>
    </row>
    <row r="670" spans="1:2" x14ac:dyDescent="0.25">
      <c r="A670" s="29" t="s">
        <v>1637</v>
      </c>
      <c r="B670" s="29" t="s">
        <v>784</v>
      </c>
    </row>
    <row r="671" spans="1:2" x14ac:dyDescent="0.25">
      <c r="A671" s="29" t="s">
        <v>785</v>
      </c>
      <c r="B671" s="29" t="s">
        <v>784</v>
      </c>
    </row>
    <row r="672" spans="1:2" x14ac:dyDescent="0.25">
      <c r="A672" s="31" t="s">
        <v>2739</v>
      </c>
      <c r="B672" s="31" t="s">
        <v>2740</v>
      </c>
    </row>
    <row r="673" spans="1:2" x14ac:dyDescent="0.25">
      <c r="A673" s="31" t="s">
        <v>2927</v>
      </c>
      <c r="B673" s="31" t="s">
        <v>2984</v>
      </c>
    </row>
    <row r="674" spans="1:2" x14ac:dyDescent="0.25">
      <c r="A674" s="29" t="s">
        <v>786</v>
      </c>
      <c r="B674" s="29" t="s">
        <v>787</v>
      </c>
    </row>
    <row r="675" spans="1:2" x14ac:dyDescent="0.25">
      <c r="A675" t="s">
        <v>1321</v>
      </c>
      <c r="B675" t="s">
        <v>1322</v>
      </c>
    </row>
    <row r="676" spans="1:2" x14ac:dyDescent="0.25">
      <c r="A676" t="s">
        <v>1323</v>
      </c>
      <c r="B676" t="s">
        <v>1324</v>
      </c>
    </row>
    <row r="677" spans="1:2" x14ac:dyDescent="0.25">
      <c r="A677" s="31" t="s">
        <v>2741</v>
      </c>
      <c r="B677" s="31" t="s">
        <v>2742</v>
      </c>
    </row>
    <row r="678" spans="1:2" x14ac:dyDescent="0.25">
      <c r="A678" s="29" t="s">
        <v>1647</v>
      </c>
      <c r="B678" s="29" t="s">
        <v>2003</v>
      </c>
    </row>
    <row r="679" spans="1:2" x14ac:dyDescent="0.25">
      <c r="A679" t="s">
        <v>1800</v>
      </c>
      <c r="B679" s="32" t="s">
        <v>1801</v>
      </c>
    </row>
    <row r="680" spans="1:2" x14ac:dyDescent="0.25">
      <c r="A680" s="31" t="s">
        <v>3368</v>
      </c>
      <c r="B680" s="31" t="s">
        <v>789</v>
      </c>
    </row>
    <row r="681" spans="1:2" x14ac:dyDescent="0.25">
      <c r="A681" s="31" t="s">
        <v>3369</v>
      </c>
      <c r="B681" s="31" t="s">
        <v>789</v>
      </c>
    </row>
    <row r="682" spans="1:2" x14ac:dyDescent="0.25">
      <c r="A682" s="31" t="s">
        <v>3092</v>
      </c>
      <c r="B682" s="31" t="s">
        <v>789</v>
      </c>
    </row>
    <row r="683" spans="1:2" x14ac:dyDescent="0.25">
      <c r="A683" s="29" t="s">
        <v>788</v>
      </c>
      <c r="B683" s="29" t="s">
        <v>789</v>
      </c>
    </row>
    <row r="684" spans="1:2" x14ac:dyDescent="0.25">
      <c r="A684" s="29" t="s">
        <v>2253</v>
      </c>
      <c r="B684" s="29" t="s">
        <v>2254</v>
      </c>
    </row>
    <row r="685" spans="1:2" x14ac:dyDescent="0.25">
      <c r="A685" s="31" t="s">
        <v>3586</v>
      </c>
      <c r="B685" s="31" t="s">
        <v>3619</v>
      </c>
    </row>
    <row r="686" spans="1:2" x14ac:dyDescent="0.25">
      <c r="A686" s="29" t="s">
        <v>2398</v>
      </c>
      <c r="B686" s="29" t="s">
        <v>2399</v>
      </c>
    </row>
    <row r="687" spans="1:2" x14ac:dyDescent="0.25">
      <c r="A687" s="31" t="s">
        <v>3272</v>
      </c>
      <c r="B687" s="31" t="s">
        <v>3291</v>
      </c>
    </row>
    <row r="688" spans="1:2" x14ac:dyDescent="0.25">
      <c r="A688" s="31" t="s">
        <v>3043</v>
      </c>
      <c r="B688" s="31" t="s">
        <v>3072</v>
      </c>
    </row>
    <row r="689" spans="1:2" x14ac:dyDescent="0.25">
      <c r="A689" s="29" t="s">
        <v>1802</v>
      </c>
      <c r="B689" s="29" t="s">
        <v>1803</v>
      </c>
    </row>
    <row r="690" spans="1:2" x14ac:dyDescent="0.25">
      <c r="A690" t="s">
        <v>1804</v>
      </c>
      <c r="B690" s="32" t="s">
        <v>790</v>
      </c>
    </row>
    <row r="691" spans="1:2" x14ac:dyDescent="0.25">
      <c r="A691" s="31" t="s">
        <v>3441</v>
      </c>
      <c r="B691" s="31" t="s">
        <v>3445</v>
      </c>
    </row>
    <row r="692" spans="1:2" x14ac:dyDescent="0.25">
      <c r="A692" s="31" t="s">
        <v>3149</v>
      </c>
      <c r="B692" s="31" t="s">
        <v>3194</v>
      </c>
    </row>
    <row r="693" spans="1:2" x14ac:dyDescent="0.25">
      <c r="A693" s="29" t="s">
        <v>1054</v>
      </c>
      <c r="B693" s="29" t="s">
        <v>1055</v>
      </c>
    </row>
    <row r="694" spans="1:2" x14ac:dyDescent="0.25">
      <c r="A694" s="31" t="s">
        <v>3559</v>
      </c>
      <c r="B694" s="31" t="s">
        <v>3570</v>
      </c>
    </row>
    <row r="695" spans="1:2" x14ac:dyDescent="0.25">
      <c r="A695" s="31" t="s">
        <v>3254</v>
      </c>
      <c r="B695" s="31" t="s">
        <v>3292</v>
      </c>
    </row>
    <row r="696" spans="1:2" x14ac:dyDescent="0.25">
      <c r="A696" s="29" t="s">
        <v>1467</v>
      </c>
      <c r="B696" t="s">
        <v>1468</v>
      </c>
    </row>
    <row r="697" spans="1:2" x14ac:dyDescent="0.25">
      <c r="A697" s="31" t="s">
        <v>2937</v>
      </c>
      <c r="B697" s="31" t="s">
        <v>2985</v>
      </c>
    </row>
    <row r="698" spans="1:2" x14ac:dyDescent="0.25">
      <c r="A698" s="31" t="s">
        <v>3370</v>
      </c>
      <c r="B698" s="31" t="s">
        <v>3371</v>
      </c>
    </row>
    <row r="699" spans="1:2" x14ac:dyDescent="0.25">
      <c r="A699" s="31" t="s">
        <v>4142</v>
      </c>
      <c r="B699" s="31" t="s">
        <v>4391</v>
      </c>
    </row>
    <row r="700" spans="1:2" x14ac:dyDescent="0.25">
      <c r="A700" s="29" t="s">
        <v>1469</v>
      </c>
      <c r="B700" t="s">
        <v>1470</v>
      </c>
    </row>
    <row r="701" spans="1:2" x14ac:dyDescent="0.25">
      <c r="A701" s="31" t="s">
        <v>2658</v>
      </c>
      <c r="B701" s="31" t="s">
        <v>2743</v>
      </c>
    </row>
    <row r="702" spans="1:2" x14ac:dyDescent="0.25">
      <c r="A702" s="31" t="s">
        <v>2986</v>
      </c>
      <c r="B702" s="31" t="s">
        <v>2987</v>
      </c>
    </row>
    <row r="703" spans="1:2" x14ac:dyDescent="0.25">
      <c r="A703" s="31" t="s">
        <v>2988</v>
      </c>
      <c r="B703" s="31" t="s">
        <v>2989</v>
      </c>
    </row>
    <row r="704" spans="1:2" x14ac:dyDescent="0.25">
      <c r="A704" s="29" t="s">
        <v>2153</v>
      </c>
      <c r="B704" s="29" t="s">
        <v>2154</v>
      </c>
    </row>
    <row r="705" spans="1:2" x14ac:dyDescent="0.25">
      <c r="A705" s="31" t="s">
        <v>3175</v>
      </c>
      <c r="B705" s="31" t="s">
        <v>3195</v>
      </c>
    </row>
    <row r="706" spans="1:2" x14ac:dyDescent="0.25">
      <c r="A706" s="31" t="s">
        <v>2558</v>
      </c>
      <c r="B706" s="31" t="s">
        <v>2582</v>
      </c>
    </row>
    <row r="707" spans="1:2" x14ac:dyDescent="0.25">
      <c r="A707" s="29" t="s">
        <v>1471</v>
      </c>
      <c r="B707" t="s">
        <v>1472</v>
      </c>
    </row>
    <row r="708" spans="1:2" x14ac:dyDescent="0.25">
      <c r="A708" s="31" t="s">
        <v>3654</v>
      </c>
      <c r="B708" s="31" t="s">
        <v>1472</v>
      </c>
    </row>
    <row r="709" spans="1:2" x14ac:dyDescent="0.25">
      <c r="A709" s="31" t="s">
        <v>2623</v>
      </c>
      <c r="B709" s="31" t="s">
        <v>2744</v>
      </c>
    </row>
    <row r="710" spans="1:2" x14ac:dyDescent="0.25">
      <c r="A710" s="29" t="s">
        <v>791</v>
      </c>
      <c r="B710" s="29" t="s">
        <v>792</v>
      </c>
    </row>
    <row r="711" spans="1:2" x14ac:dyDescent="0.25">
      <c r="A711" s="31" t="s">
        <v>3499</v>
      </c>
      <c r="B711" s="31" t="s">
        <v>3510</v>
      </c>
    </row>
    <row r="712" spans="1:2" x14ac:dyDescent="0.25">
      <c r="A712" s="31" t="s">
        <v>3742</v>
      </c>
      <c r="B712" s="31" t="s">
        <v>3743</v>
      </c>
    </row>
    <row r="713" spans="1:2" x14ac:dyDescent="0.25">
      <c r="A713" s="31" t="s">
        <v>3560</v>
      </c>
      <c r="B713" s="31" t="s">
        <v>3571</v>
      </c>
    </row>
    <row r="714" spans="1:2" x14ac:dyDescent="0.25">
      <c r="A714" s="31" t="s">
        <v>3474</v>
      </c>
      <c r="B714" s="31" t="s">
        <v>3511</v>
      </c>
    </row>
    <row r="715" spans="1:2" x14ac:dyDescent="0.25">
      <c r="A715" t="s">
        <v>1805</v>
      </c>
      <c r="B715" s="32" t="s">
        <v>3511</v>
      </c>
    </row>
    <row r="716" spans="1:2" x14ac:dyDescent="0.25">
      <c r="A716" s="29" t="s">
        <v>2102</v>
      </c>
      <c r="B716" s="29" t="s">
        <v>2103</v>
      </c>
    </row>
    <row r="717" spans="1:2" x14ac:dyDescent="0.25">
      <c r="A717" s="31" t="s">
        <v>2745</v>
      </c>
      <c r="B717" s="31" t="s">
        <v>2103</v>
      </c>
    </row>
    <row r="718" spans="1:2" x14ac:dyDescent="0.25">
      <c r="A718" t="s">
        <v>1806</v>
      </c>
      <c r="B718" s="32" t="s">
        <v>1807</v>
      </c>
    </row>
    <row r="719" spans="1:2" x14ac:dyDescent="0.25">
      <c r="A719" s="29" t="s">
        <v>2365</v>
      </c>
      <c r="B719" s="29" t="s">
        <v>2366</v>
      </c>
    </row>
    <row r="720" spans="1:2" x14ac:dyDescent="0.25">
      <c r="A720" s="31" t="s">
        <v>3652</v>
      </c>
      <c r="B720" s="31" t="s">
        <v>3744</v>
      </c>
    </row>
    <row r="721" spans="1:2" x14ac:dyDescent="0.25">
      <c r="A721" t="s">
        <v>1810</v>
      </c>
      <c r="B721" s="29" t="s">
        <v>794</v>
      </c>
    </row>
    <row r="722" spans="1:2" x14ac:dyDescent="0.25">
      <c r="A722" s="29" t="s">
        <v>793</v>
      </c>
      <c r="B722" s="29" t="s">
        <v>794</v>
      </c>
    </row>
    <row r="723" spans="1:2" x14ac:dyDescent="0.25">
      <c r="A723" s="31" t="s">
        <v>3372</v>
      </c>
      <c r="B723" s="31" t="s">
        <v>3373</v>
      </c>
    </row>
    <row r="724" spans="1:2" x14ac:dyDescent="0.25">
      <c r="A724" s="29" t="s">
        <v>795</v>
      </c>
      <c r="B724" s="29" t="s">
        <v>796</v>
      </c>
    </row>
    <row r="725" spans="1:2" x14ac:dyDescent="0.25">
      <c r="A725" s="31" t="s">
        <v>3374</v>
      </c>
      <c r="B725" s="31" t="s">
        <v>798</v>
      </c>
    </row>
    <row r="726" spans="1:2" x14ac:dyDescent="0.25">
      <c r="A726" s="29" t="s">
        <v>797</v>
      </c>
      <c r="B726" s="29" t="s">
        <v>798</v>
      </c>
    </row>
    <row r="727" spans="1:2" x14ac:dyDescent="0.25">
      <c r="A727" s="31" t="s">
        <v>2522</v>
      </c>
      <c r="B727" s="31" t="s">
        <v>2583</v>
      </c>
    </row>
    <row r="728" spans="1:2" x14ac:dyDescent="0.25">
      <c r="A728" s="31" t="s">
        <v>2554</v>
      </c>
      <c r="B728" s="31" t="s">
        <v>2584</v>
      </c>
    </row>
    <row r="729" spans="1:2" x14ac:dyDescent="0.25">
      <c r="A729" s="31" t="s">
        <v>3605</v>
      </c>
      <c r="B729" s="31" t="s">
        <v>2584</v>
      </c>
    </row>
    <row r="730" spans="1:2" x14ac:dyDescent="0.25">
      <c r="A730" s="29" t="s">
        <v>1189</v>
      </c>
      <c r="B730" s="29" t="s">
        <v>1245</v>
      </c>
    </row>
    <row r="731" spans="1:2" x14ac:dyDescent="0.25">
      <c r="A731" s="31" t="s">
        <v>2949</v>
      </c>
      <c r="B731" s="31" t="s">
        <v>2990</v>
      </c>
    </row>
    <row r="732" spans="1:2" x14ac:dyDescent="0.25">
      <c r="A732" s="31" t="s">
        <v>3161</v>
      </c>
      <c r="B732" s="31" t="s">
        <v>3196</v>
      </c>
    </row>
    <row r="733" spans="1:2" x14ac:dyDescent="0.25">
      <c r="A733" t="s">
        <v>1325</v>
      </c>
      <c r="B733" t="s">
        <v>1326</v>
      </c>
    </row>
    <row r="734" spans="1:2" x14ac:dyDescent="0.25">
      <c r="A734" s="31" t="s">
        <v>2893</v>
      </c>
      <c r="B734" s="31" t="s">
        <v>2991</v>
      </c>
    </row>
    <row r="735" spans="1:2" x14ac:dyDescent="0.25">
      <c r="A735" s="29" t="s">
        <v>2280</v>
      </c>
      <c r="B735" s="29" t="s">
        <v>2281</v>
      </c>
    </row>
    <row r="736" spans="1:2" x14ac:dyDescent="0.25">
      <c r="A736" s="29" t="s">
        <v>1206</v>
      </c>
      <c r="B736" t="s">
        <v>1246</v>
      </c>
    </row>
    <row r="737" spans="1:2" x14ac:dyDescent="0.25">
      <c r="A737" s="31" t="s">
        <v>2564</v>
      </c>
      <c r="B737" s="31" t="s">
        <v>802</v>
      </c>
    </row>
    <row r="738" spans="1:2" x14ac:dyDescent="0.25">
      <c r="A738" s="29" t="s">
        <v>801</v>
      </c>
      <c r="B738" s="29" t="s">
        <v>802</v>
      </c>
    </row>
    <row r="739" spans="1:2" x14ac:dyDescent="0.25">
      <c r="A739" s="29" t="s">
        <v>113</v>
      </c>
      <c r="B739" s="29" t="s">
        <v>802</v>
      </c>
    </row>
    <row r="740" spans="1:2" x14ac:dyDescent="0.25">
      <c r="A740" s="29" t="s">
        <v>1473</v>
      </c>
      <c r="B740" t="s">
        <v>1474</v>
      </c>
    </row>
    <row r="741" spans="1:2" x14ac:dyDescent="0.25">
      <c r="A741" s="29" t="s">
        <v>2166</v>
      </c>
      <c r="B741" s="29" t="s">
        <v>2167</v>
      </c>
    </row>
    <row r="742" spans="1:2" x14ac:dyDescent="0.25">
      <c r="A742" s="29" t="s">
        <v>1475</v>
      </c>
      <c r="B742" t="s">
        <v>1476</v>
      </c>
    </row>
    <row r="743" spans="1:2" x14ac:dyDescent="0.25">
      <c r="A743" t="s">
        <v>1327</v>
      </c>
      <c r="B743" t="s">
        <v>1328</v>
      </c>
    </row>
    <row r="744" spans="1:2" x14ac:dyDescent="0.25">
      <c r="A744" s="29" t="s">
        <v>50</v>
      </c>
      <c r="B744" s="29" t="s">
        <v>803</v>
      </c>
    </row>
    <row r="745" spans="1:2" x14ac:dyDescent="0.25">
      <c r="A745" s="29" t="s">
        <v>2182</v>
      </c>
      <c r="B745" s="29" t="s">
        <v>2183</v>
      </c>
    </row>
    <row r="746" spans="1:2" x14ac:dyDescent="0.25">
      <c r="A746" s="29" t="s">
        <v>804</v>
      </c>
      <c r="B746" s="29" t="s">
        <v>805</v>
      </c>
    </row>
    <row r="747" spans="1:2" x14ac:dyDescent="0.25">
      <c r="A747" s="29" t="s">
        <v>55</v>
      </c>
      <c r="B747" s="29" t="s">
        <v>232</v>
      </c>
    </row>
    <row r="748" spans="1:2" x14ac:dyDescent="0.25">
      <c r="A748" s="31" t="s">
        <v>4392</v>
      </c>
      <c r="B748" s="31" t="s">
        <v>4393</v>
      </c>
    </row>
    <row r="749" spans="1:2" x14ac:dyDescent="0.25">
      <c r="A749" s="29" t="s">
        <v>2448</v>
      </c>
      <c r="B749" s="29" t="s">
        <v>2489</v>
      </c>
    </row>
    <row r="750" spans="1:2" x14ac:dyDescent="0.25">
      <c r="A750" s="31" t="s">
        <v>3241</v>
      </c>
      <c r="B750" s="31" t="s">
        <v>3293</v>
      </c>
    </row>
    <row r="751" spans="1:2" x14ac:dyDescent="0.25">
      <c r="A751" s="29" t="s">
        <v>2456</v>
      </c>
      <c r="B751" s="29" t="s">
        <v>2496</v>
      </c>
    </row>
    <row r="752" spans="1:2" x14ac:dyDescent="0.25">
      <c r="A752" s="29" t="s">
        <v>1194</v>
      </c>
      <c r="B752" s="29" t="s">
        <v>1247</v>
      </c>
    </row>
    <row r="753" spans="1:2" x14ac:dyDescent="0.25">
      <c r="A753" s="31" t="s">
        <v>3375</v>
      </c>
      <c r="B753" s="31" t="s">
        <v>3376</v>
      </c>
    </row>
    <row r="754" spans="1:2" x14ac:dyDescent="0.25">
      <c r="A754" t="s">
        <v>1329</v>
      </c>
      <c r="B754" t="s">
        <v>1330</v>
      </c>
    </row>
    <row r="755" spans="1:2" x14ac:dyDescent="0.25">
      <c r="A755" s="31" t="s">
        <v>4109</v>
      </c>
      <c r="B755" s="31" t="s">
        <v>1058</v>
      </c>
    </row>
    <row r="756" spans="1:2" x14ac:dyDescent="0.25">
      <c r="A756" s="31" t="s">
        <v>3093</v>
      </c>
      <c r="B756" s="31" t="s">
        <v>3094</v>
      </c>
    </row>
    <row r="757" spans="1:2" x14ac:dyDescent="0.25">
      <c r="A757" s="29" t="s">
        <v>204</v>
      </c>
      <c r="B757" s="29" t="s">
        <v>806</v>
      </c>
    </row>
    <row r="758" spans="1:2" x14ac:dyDescent="0.25">
      <c r="A758" s="29" t="s">
        <v>2228</v>
      </c>
      <c r="B758" s="29" t="s">
        <v>2229</v>
      </c>
    </row>
    <row r="759" spans="1:2" x14ac:dyDescent="0.25">
      <c r="A759" t="s">
        <v>1811</v>
      </c>
      <c r="B759" s="32" t="s">
        <v>1812</v>
      </c>
    </row>
    <row r="760" spans="1:2" x14ac:dyDescent="0.25">
      <c r="A760" s="29" t="s">
        <v>2475</v>
      </c>
      <c r="B760" s="29" t="s">
        <v>2512</v>
      </c>
    </row>
    <row r="761" spans="1:2" x14ac:dyDescent="0.25">
      <c r="A761" s="29" t="s">
        <v>223</v>
      </c>
      <c r="B761" s="29" t="s">
        <v>258</v>
      </c>
    </row>
    <row r="762" spans="1:2" x14ac:dyDescent="0.25">
      <c r="A762" s="29" t="s">
        <v>1192</v>
      </c>
      <c r="B762" t="s">
        <v>1248</v>
      </c>
    </row>
    <row r="763" spans="1:2" x14ac:dyDescent="0.25">
      <c r="A763" s="29" t="s">
        <v>807</v>
      </c>
      <c r="B763" s="29" t="s">
        <v>258</v>
      </c>
    </row>
    <row r="764" spans="1:2" x14ac:dyDescent="0.25">
      <c r="A764" t="s">
        <v>1331</v>
      </c>
      <c r="B764" t="s">
        <v>1332</v>
      </c>
    </row>
    <row r="765" spans="1:2" x14ac:dyDescent="0.25">
      <c r="A765" s="31" t="s">
        <v>3745</v>
      </c>
      <c r="B765" s="31" t="s">
        <v>3746</v>
      </c>
    </row>
    <row r="766" spans="1:2" x14ac:dyDescent="0.25">
      <c r="A766" s="29" t="s">
        <v>2058</v>
      </c>
      <c r="B766" s="29" t="s">
        <v>2059</v>
      </c>
    </row>
    <row r="767" spans="1:2" x14ac:dyDescent="0.25">
      <c r="A767" s="31" t="s">
        <v>4155</v>
      </c>
      <c r="B767" s="31" t="s">
        <v>4394</v>
      </c>
    </row>
    <row r="768" spans="1:2" x14ac:dyDescent="0.25">
      <c r="A768" s="29" t="s">
        <v>2367</v>
      </c>
      <c r="B768" s="29" t="s">
        <v>2368</v>
      </c>
    </row>
    <row r="769" spans="1:2" x14ac:dyDescent="0.25">
      <c r="A769" s="31" t="s">
        <v>2639</v>
      </c>
      <c r="B769" s="31" t="s">
        <v>2746</v>
      </c>
    </row>
    <row r="770" spans="1:2" x14ac:dyDescent="0.25">
      <c r="A770" s="31" t="s">
        <v>2886</v>
      </c>
      <c r="B770" s="31" t="s">
        <v>2992</v>
      </c>
    </row>
    <row r="771" spans="1:2" x14ac:dyDescent="0.25">
      <c r="A771" s="31" t="s">
        <v>4395</v>
      </c>
      <c r="B771" s="31" t="s">
        <v>4396</v>
      </c>
    </row>
    <row r="772" spans="1:2" x14ac:dyDescent="0.25">
      <c r="A772" s="31" t="s">
        <v>2747</v>
      </c>
      <c r="B772" s="31" t="s">
        <v>2748</v>
      </c>
    </row>
    <row r="773" spans="1:2" x14ac:dyDescent="0.25">
      <c r="A773" s="31" t="s">
        <v>3095</v>
      </c>
      <c r="B773" s="31" t="s">
        <v>3096</v>
      </c>
    </row>
    <row r="774" spans="1:2" x14ac:dyDescent="0.25">
      <c r="A774" t="s">
        <v>1813</v>
      </c>
      <c r="B774" s="32" t="s">
        <v>1814</v>
      </c>
    </row>
    <row r="775" spans="1:2" x14ac:dyDescent="0.25">
      <c r="A775" s="29" t="s">
        <v>2352</v>
      </c>
      <c r="B775" s="29" t="s">
        <v>2353</v>
      </c>
    </row>
    <row r="776" spans="1:2" x14ac:dyDescent="0.25">
      <c r="A776" s="29" t="s">
        <v>206</v>
      </c>
      <c r="B776" s="29" t="s">
        <v>808</v>
      </c>
    </row>
    <row r="777" spans="1:2" x14ac:dyDescent="0.25">
      <c r="A777" s="31" t="s">
        <v>4397</v>
      </c>
      <c r="B777" s="31" t="s">
        <v>4398</v>
      </c>
    </row>
    <row r="778" spans="1:2" x14ac:dyDescent="0.25">
      <c r="A778" s="29" t="s">
        <v>1815</v>
      </c>
      <c r="B778" s="29" t="s">
        <v>1816</v>
      </c>
    </row>
    <row r="779" spans="1:2" x14ac:dyDescent="0.25">
      <c r="A779" s="29" t="s">
        <v>43</v>
      </c>
      <c r="B779" s="29" t="s">
        <v>809</v>
      </c>
    </row>
    <row r="780" spans="1:2" x14ac:dyDescent="0.25">
      <c r="A780" s="29" t="s">
        <v>810</v>
      </c>
      <c r="B780" s="29" t="s">
        <v>811</v>
      </c>
    </row>
    <row r="781" spans="1:2" x14ac:dyDescent="0.25">
      <c r="A781" s="31" t="s">
        <v>2892</v>
      </c>
      <c r="B781" s="31" t="s">
        <v>2993</v>
      </c>
    </row>
    <row r="782" spans="1:2" x14ac:dyDescent="0.25">
      <c r="A782" s="31" t="s">
        <v>3667</v>
      </c>
      <c r="B782" s="31" t="s">
        <v>3747</v>
      </c>
    </row>
    <row r="783" spans="1:2" x14ac:dyDescent="0.25">
      <c r="A783" s="29" t="s">
        <v>1631</v>
      </c>
      <c r="B783" s="29" t="s">
        <v>815</v>
      </c>
    </row>
    <row r="784" spans="1:2" x14ac:dyDescent="0.25">
      <c r="A784" s="29" t="s">
        <v>1477</v>
      </c>
      <c r="B784" t="s">
        <v>815</v>
      </c>
    </row>
    <row r="785" spans="1:2" x14ac:dyDescent="0.25">
      <c r="A785" s="29" t="s">
        <v>814</v>
      </c>
      <c r="B785" s="29" t="s">
        <v>815</v>
      </c>
    </row>
    <row r="786" spans="1:2" x14ac:dyDescent="0.25">
      <c r="A786" s="31" t="s">
        <v>4399</v>
      </c>
      <c r="B786" s="31" t="s">
        <v>4400</v>
      </c>
    </row>
    <row r="787" spans="1:2" x14ac:dyDescent="0.25">
      <c r="A787" s="31" t="s">
        <v>3273</v>
      </c>
      <c r="B787" s="31" t="s">
        <v>3294</v>
      </c>
    </row>
    <row r="788" spans="1:2" x14ac:dyDescent="0.25">
      <c r="A788" s="31" t="s">
        <v>4401</v>
      </c>
      <c r="B788" s="31" t="s">
        <v>3294</v>
      </c>
    </row>
    <row r="789" spans="1:2" x14ac:dyDescent="0.25">
      <c r="A789" s="31" t="s">
        <v>3587</v>
      </c>
      <c r="B789" s="31" t="s">
        <v>3620</v>
      </c>
    </row>
    <row r="790" spans="1:2" x14ac:dyDescent="0.25">
      <c r="A790" s="31" t="s">
        <v>3493</v>
      </c>
      <c r="B790" s="31" t="s">
        <v>3512</v>
      </c>
    </row>
    <row r="791" spans="1:2" x14ac:dyDescent="0.25">
      <c r="A791" s="31" t="s">
        <v>3655</v>
      </c>
      <c r="B791" s="31" t="s">
        <v>3748</v>
      </c>
    </row>
    <row r="792" spans="1:2" x14ac:dyDescent="0.25">
      <c r="A792" s="29" t="s">
        <v>166</v>
      </c>
      <c r="B792" s="29" t="s">
        <v>819</v>
      </c>
    </row>
    <row r="793" spans="1:2" x14ac:dyDescent="0.25">
      <c r="A793" s="29" t="s">
        <v>226</v>
      </c>
      <c r="B793" s="29" t="s">
        <v>819</v>
      </c>
    </row>
    <row r="794" spans="1:2" x14ac:dyDescent="0.25">
      <c r="A794" s="29" t="s">
        <v>820</v>
      </c>
      <c r="B794" s="29" t="s">
        <v>819</v>
      </c>
    </row>
    <row r="795" spans="1:2" x14ac:dyDescent="0.25">
      <c r="A795" s="29" t="s">
        <v>97</v>
      </c>
      <c r="B795" s="29" t="s">
        <v>819</v>
      </c>
    </row>
    <row r="796" spans="1:2" x14ac:dyDescent="0.25">
      <c r="A796" s="31" t="s">
        <v>4402</v>
      </c>
      <c r="B796" s="31" t="s">
        <v>4403</v>
      </c>
    </row>
    <row r="797" spans="1:2" x14ac:dyDescent="0.25">
      <c r="A797" s="31" t="s">
        <v>3267</v>
      </c>
      <c r="B797" s="31" t="s">
        <v>3295</v>
      </c>
    </row>
    <row r="798" spans="1:2" x14ac:dyDescent="0.25">
      <c r="A798" s="29" t="s">
        <v>821</v>
      </c>
      <c r="B798" s="29" t="s">
        <v>822</v>
      </c>
    </row>
    <row r="799" spans="1:2" x14ac:dyDescent="0.25">
      <c r="A799" s="29" t="s">
        <v>2047</v>
      </c>
      <c r="B799" s="29" t="s">
        <v>2048</v>
      </c>
    </row>
    <row r="800" spans="1:2" x14ac:dyDescent="0.25">
      <c r="A800" t="s">
        <v>1817</v>
      </c>
      <c r="B800" s="32" t="s">
        <v>1818</v>
      </c>
    </row>
    <row r="801" spans="1:2" x14ac:dyDescent="0.25">
      <c r="A801" s="31" t="s">
        <v>3097</v>
      </c>
      <c r="B801" s="31" t="s">
        <v>3073</v>
      </c>
    </row>
    <row r="802" spans="1:2" x14ac:dyDescent="0.25">
      <c r="A802" s="31" t="s">
        <v>3044</v>
      </c>
      <c r="B802" s="31" t="s">
        <v>3073</v>
      </c>
    </row>
    <row r="803" spans="1:2" x14ac:dyDescent="0.25">
      <c r="A803" s="31" t="s">
        <v>3377</v>
      </c>
      <c r="B803" s="31" t="s">
        <v>3378</v>
      </c>
    </row>
    <row r="804" spans="1:2" x14ac:dyDescent="0.25">
      <c r="A804" s="31" t="s">
        <v>2668</v>
      </c>
      <c r="B804" s="31" t="s">
        <v>2749</v>
      </c>
    </row>
    <row r="805" spans="1:2" x14ac:dyDescent="0.25">
      <c r="A805" s="31" t="s">
        <v>2750</v>
      </c>
      <c r="B805" s="31" t="s">
        <v>2751</v>
      </c>
    </row>
    <row r="806" spans="1:2" x14ac:dyDescent="0.25">
      <c r="A806" s="31" t="s">
        <v>2944</v>
      </c>
      <c r="B806" s="31" t="s">
        <v>2994</v>
      </c>
    </row>
    <row r="807" spans="1:2" x14ac:dyDescent="0.25">
      <c r="A807" s="31" t="s">
        <v>2920</v>
      </c>
      <c r="B807" s="31" t="s">
        <v>2995</v>
      </c>
    </row>
    <row r="808" spans="1:2" x14ac:dyDescent="0.25">
      <c r="A808" s="29" t="s">
        <v>1478</v>
      </c>
      <c r="B808" t="s">
        <v>1479</v>
      </c>
    </row>
    <row r="809" spans="1:2" x14ac:dyDescent="0.25">
      <c r="A809" s="31" t="s">
        <v>2910</v>
      </c>
      <c r="B809" s="31" t="s">
        <v>2996</v>
      </c>
    </row>
    <row r="810" spans="1:2" x14ac:dyDescent="0.25">
      <c r="A810" s="31" t="s">
        <v>2908</v>
      </c>
      <c r="B810" s="31" t="s">
        <v>2997</v>
      </c>
    </row>
    <row r="811" spans="1:2" x14ac:dyDescent="0.25">
      <c r="A811" s="28" t="s">
        <v>2186</v>
      </c>
      <c r="B811" s="28" t="s">
        <v>2187</v>
      </c>
    </row>
    <row r="812" spans="1:2" x14ac:dyDescent="0.25">
      <c r="A812" s="31" t="s">
        <v>3098</v>
      </c>
      <c r="B812" s="31" t="s">
        <v>3099</v>
      </c>
    </row>
    <row r="813" spans="1:2" x14ac:dyDescent="0.25">
      <c r="A813" s="31" t="s">
        <v>3603</v>
      </c>
      <c r="B813" s="31" t="s">
        <v>3621</v>
      </c>
    </row>
    <row r="814" spans="1:2" x14ac:dyDescent="0.25">
      <c r="A814" s="31" t="s">
        <v>4404</v>
      </c>
      <c r="B814" s="31" t="s">
        <v>4405</v>
      </c>
    </row>
    <row r="815" spans="1:2" x14ac:dyDescent="0.25">
      <c r="A815" s="29" t="s">
        <v>98</v>
      </c>
      <c r="B815" s="29" t="s">
        <v>625</v>
      </c>
    </row>
    <row r="816" spans="1:2" x14ac:dyDescent="0.25">
      <c r="A816" s="31" t="s">
        <v>3656</v>
      </c>
      <c r="B816" s="31" t="s">
        <v>3749</v>
      </c>
    </row>
    <row r="817" spans="1:2" x14ac:dyDescent="0.25">
      <c r="A817" s="31" t="s">
        <v>2752</v>
      </c>
      <c r="B817" s="31" t="s">
        <v>2753</v>
      </c>
    </row>
    <row r="818" spans="1:2" x14ac:dyDescent="0.25">
      <c r="A818" s="31" t="s">
        <v>2540</v>
      </c>
      <c r="B818" s="31" t="s">
        <v>2585</v>
      </c>
    </row>
    <row r="819" spans="1:2" x14ac:dyDescent="0.25">
      <c r="A819" s="29" t="s">
        <v>823</v>
      </c>
      <c r="B819" s="29" t="s">
        <v>824</v>
      </c>
    </row>
    <row r="820" spans="1:2" x14ac:dyDescent="0.25">
      <c r="A820" s="31" t="s">
        <v>4180</v>
      </c>
      <c r="B820" s="31" t="s">
        <v>4406</v>
      </c>
    </row>
    <row r="821" spans="1:2" x14ac:dyDescent="0.25">
      <c r="A821" s="31" t="s">
        <v>3657</v>
      </c>
      <c r="B821" s="31" t="s">
        <v>3750</v>
      </c>
    </row>
    <row r="822" spans="1:2" x14ac:dyDescent="0.25">
      <c r="A822" s="31" t="s">
        <v>4407</v>
      </c>
      <c r="B822" s="31" t="s">
        <v>4408</v>
      </c>
    </row>
    <row r="823" spans="1:2" x14ac:dyDescent="0.25">
      <c r="A823" t="s">
        <v>1819</v>
      </c>
      <c r="B823" s="32" t="s">
        <v>1820</v>
      </c>
    </row>
    <row r="824" spans="1:2" x14ac:dyDescent="0.25">
      <c r="A824" s="29" t="s">
        <v>2121</v>
      </c>
      <c r="B824" s="29" t="s">
        <v>2122</v>
      </c>
    </row>
    <row r="825" spans="1:2" x14ac:dyDescent="0.25">
      <c r="A825" s="29" t="s">
        <v>1480</v>
      </c>
      <c r="B825" t="s">
        <v>1481</v>
      </c>
    </row>
    <row r="826" spans="1:2" x14ac:dyDescent="0.25">
      <c r="A826" s="31" t="s">
        <v>3334</v>
      </c>
      <c r="B826" s="31" t="s">
        <v>3379</v>
      </c>
    </row>
    <row r="827" spans="1:2" x14ac:dyDescent="0.25">
      <c r="A827" s="31" t="s">
        <v>3651</v>
      </c>
      <c r="B827" s="31" t="s">
        <v>3751</v>
      </c>
    </row>
    <row r="828" spans="1:2" x14ac:dyDescent="0.25">
      <c r="A828" s="31" t="s">
        <v>3606</v>
      </c>
      <c r="B828" s="31" t="s">
        <v>3622</v>
      </c>
    </row>
    <row r="829" spans="1:2" x14ac:dyDescent="0.25">
      <c r="A829" s="29" t="s">
        <v>1482</v>
      </c>
      <c r="B829" t="s">
        <v>1483</v>
      </c>
    </row>
    <row r="830" spans="1:2" x14ac:dyDescent="0.25">
      <c r="A830" s="31" t="s">
        <v>2882</v>
      </c>
      <c r="B830" s="31" t="s">
        <v>2724</v>
      </c>
    </row>
    <row r="831" spans="1:2" x14ac:dyDescent="0.25">
      <c r="A831" s="29" t="s">
        <v>1822</v>
      </c>
      <c r="B831" s="29" t="s">
        <v>828</v>
      </c>
    </row>
    <row r="832" spans="1:2" x14ac:dyDescent="0.25">
      <c r="A832" s="29" t="s">
        <v>1676</v>
      </c>
      <c r="B832" s="29" t="s">
        <v>828</v>
      </c>
    </row>
    <row r="833" spans="1:2" x14ac:dyDescent="0.25">
      <c r="A833" s="29" t="s">
        <v>827</v>
      </c>
      <c r="B833" s="29" t="s">
        <v>828</v>
      </c>
    </row>
    <row r="834" spans="1:2" x14ac:dyDescent="0.25">
      <c r="A834" s="29" t="s">
        <v>1636</v>
      </c>
      <c r="B834" s="29" t="s">
        <v>828</v>
      </c>
    </row>
    <row r="835" spans="1:2" x14ac:dyDescent="0.25">
      <c r="A835" s="29" t="s">
        <v>1484</v>
      </c>
      <c r="B835" t="s">
        <v>828</v>
      </c>
    </row>
    <row r="836" spans="1:2" x14ac:dyDescent="0.25">
      <c r="A836" s="29" t="s">
        <v>829</v>
      </c>
      <c r="B836" s="29" t="s">
        <v>828</v>
      </c>
    </row>
    <row r="837" spans="1:2" x14ac:dyDescent="0.25">
      <c r="A837" s="29" t="s">
        <v>224</v>
      </c>
      <c r="B837" s="29" t="s">
        <v>828</v>
      </c>
    </row>
    <row r="838" spans="1:2" x14ac:dyDescent="0.25">
      <c r="A838" s="31" t="s">
        <v>3692</v>
      </c>
      <c r="B838" s="31" t="s">
        <v>828</v>
      </c>
    </row>
    <row r="839" spans="1:2" x14ac:dyDescent="0.25">
      <c r="A839" s="31" t="s">
        <v>4013</v>
      </c>
      <c r="B839" s="31" t="s">
        <v>2239</v>
      </c>
    </row>
    <row r="840" spans="1:2" x14ac:dyDescent="0.25">
      <c r="A840" s="31" t="s">
        <v>4063</v>
      </c>
      <c r="B840" s="31" t="s">
        <v>2239</v>
      </c>
    </row>
    <row r="841" spans="1:2" x14ac:dyDescent="0.25">
      <c r="A841" s="29" t="s">
        <v>2238</v>
      </c>
      <c r="B841" s="29" t="s">
        <v>2239</v>
      </c>
    </row>
    <row r="842" spans="1:2" x14ac:dyDescent="0.25">
      <c r="A842" s="31" t="s">
        <v>2941</v>
      </c>
      <c r="B842" s="31" t="s">
        <v>828</v>
      </c>
    </row>
    <row r="843" spans="1:2" x14ac:dyDescent="0.25">
      <c r="A843" s="31" t="s">
        <v>2903</v>
      </c>
      <c r="B843" s="31" t="s">
        <v>2239</v>
      </c>
    </row>
    <row r="844" spans="1:2" x14ac:dyDescent="0.25">
      <c r="A844" t="s">
        <v>1821</v>
      </c>
      <c r="B844" s="29" t="s">
        <v>828</v>
      </c>
    </row>
    <row r="845" spans="1:2" x14ac:dyDescent="0.25">
      <c r="A845" s="31" t="s">
        <v>2667</v>
      </c>
      <c r="B845" s="31" t="s">
        <v>2754</v>
      </c>
    </row>
    <row r="846" spans="1:2" x14ac:dyDescent="0.25">
      <c r="A846" t="s">
        <v>1333</v>
      </c>
      <c r="B846" t="s">
        <v>1334</v>
      </c>
    </row>
    <row r="847" spans="1:2" x14ac:dyDescent="0.25">
      <c r="A847" t="s">
        <v>1335</v>
      </c>
      <c r="B847" t="s">
        <v>1336</v>
      </c>
    </row>
    <row r="848" spans="1:2" x14ac:dyDescent="0.25">
      <c r="A848" s="29" t="s">
        <v>830</v>
      </c>
      <c r="B848" s="29" t="s">
        <v>831</v>
      </c>
    </row>
    <row r="849" spans="1:2" x14ac:dyDescent="0.25">
      <c r="A849" s="29" t="s">
        <v>1195</v>
      </c>
      <c r="B849" t="s">
        <v>1249</v>
      </c>
    </row>
    <row r="850" spans="1:2" x14ac:dyDescent="0.25">
      <c r="A850" s="31" t="s">
        <v>4409</v>
      </c>
      <c r="B850" s="31" t="s">
        <v>4410</v>
      </c>
    </row>
    <row r="851" spans="1:2" x14ac:dyDescent="0.25">
      <c r="A851" s="29" t="s">
        <v>2378</v>
      </c>
      <c r="B851" s="29" t="s">
        <v>2379</v>
      </c>
    </row>
    <row r="852" spans="1:2" x14ac:dyDescent="0.25">
      <c r="A852" s="31" t="s">
        <v>3380</v>
      </c>
      <c r="B852" s="31" t="s">
        <v>3381</v>
      </c>
    </row>
    <row r="853" spans="1:2" x14ac:dyDescent="0.25">
      <c r="A853" s="29" t="s">
        <v>2290</v>
      </c>
      <c r="B853" s="29" t="s">
        <v>2291</v>
      </c>
    </row>
    <row r="854" spans="1:2" x14ac:dyDescent="0.25">
      <c r="A854" s="31" t="s">
        <v>2630</v>
      </c>
      <c r="B854" s="31" t="s">
        <v>2755</v>
      </c>
    </row>
    <row r="855" spans="1:2" x14ac:dyDescent="0.25">
      <c r="A855" s="29" t="s">
        <v>832</v>
      </c>
      <c r="B855" s="29" t="s">
        <v>833</v>
      </c>
    </row>
    <row r="856" spans="1:2" x14ac:dyDescent="0.25">
      <c r="A856" s="31" t="s">
        <v>3485</v>
      </c>
      <c r="B856" s="31" t="s">
        <v>3513</v>
      </c>
    </row>
    <row r="857" spans="1:2" x14ac:dyDescent="0.25">
      <c r="A857" s="31" t="s">
        <v>3442</v>
      </c>
      <c r="B857" s="31" t="s">
        <v>3446</v>
      </c>
    </row>
    <row r="858" spans="1:2" x14ac:dyDescent="0.25">
      <c r="A858" s="29" t="s">
        <v>1778</v>
      </c>
      <c r="B858" s="29" t="s">
        <v>1779</v>
      </c>
    </row>
    <row r="859" spans="1:2" x14ac:dyDescent="0.25">
      <c r="A859" s="31" t="s">
        <v>3026</v>
      </c>
      <c r="B859" s="31" t="s">
        <v>3057</v>
      </c>
    </row>
    <row r="860" spans="1:2" x14ac:dyDescent="0.25">
      <c r="A860" s="31" t="s">
        <v>4136</v>
      </c>
      <c r="B860" s="31" t="s">
        <v>4411</v>
      </c>
    </row>
    <row r="861" spans="1:2" x14ac:dyDescent="0.25">
      <c r="A861" s="29" t="s">
        <v>1657</v>
      </c>
      <c r="B861" s="29" t="s">
        <v>2001</v>
      </c>
    </row>
    <row r="862" spans="1:2" x14ac:dyDescent="0.25">
      <c r="A862" s="31" t="s">
        <v>2756</v>
      </c>
      <c r="B862" s="31" t="s">
        <v>2757</v>
      </c>
    </row>
    <row r="863" spans="1:2" x14ac:dyDescent="0.25">
      <c r="A863" t="s">
        <v>1823</v>
      </c>
      <c r="B863" s="32" t="s">
        <v>1824</v>
      </c>
    </row>
    <row r="864" spans="1:2" x14ac:dyDescent="0.25">
      <c r="A864" s="29" t="s">
        <v>2443</v>
      </c>
      <c r="B864" s="29" t="s">
        <v>2484</v>
      </c>
    </row>
    <row r="865" spans="1:2" x14ac:dyDescent="0.25">
      <c r="A865" s="31" t="s">
        <v>3049</v>
      </c>
      <c r="B865" s="31" t="s">
        <v>3077</v>
      </c>
    </row>
    <row r="866" spans="1:2" x14ac:dyDescent="0.25">
      <c r="A866" s="31" t="s">
        <v>3604</v>
      </c>
      <c r="B866" s="31" t="s">
        <v>3623</v>
      </c>
    </row>
    <row r="867" spans="1:2" x14ac:dyDescent="0.25">
      <c r="A867" s="29" t="s">
        <v>2419</v>
      </c>
      <c r="B867" s="29" t="s">
        <v>2420</v>
      </c>
    </row>
    <row r="868" spans="1:2" x14ac:dyDescent="0.25">
      <c r="A868" s="31" t="s">
        <v>3589</v>
      </c>
      <c r="B868" s="31" t="s">
        <v>3624</v>
      </c>
    </row>
    <row r="869" spans="1:2" x14ac:dyDescent="0.25">
      <c r="A869" s="29" t="s">
        <v>1485</v>
      </c>
      <c r="B869" t="s">
        <v>1486</v>
      </c>
    </row>
    <row r="870" spans="1:2" x14ac:dyDescent="0.25">
      <c r="A870" s="31" t="s">
        <v>2899</v>
      </c>
      <c r="B870" s="31" t="s">
        <v>2998</v>
      </c>
    </row>
    <row r="871" spans="1:2" x14ac:dyDescent="0.25">
      <c r="A871" s="31" t="s">
        <v>3641</v>
      </c>
      <c r="B871" s="31" t="s">
        <v>3752</v>
      </c>
    </row>
    <row r="872" spans="1:2" x14ac:dyDescent="0.25">
      <c r="A872" t="s">
        <v>1337</v>
      </c>
      <c r="B872" t="s">
        <v>1338</v>
      </c>
    </row>
    <row r="873" spans="1:2" x14ac:dyDescent="0.25">
      <c r="A873" s="29" t="s">
        <v>834</v>
      </c>
      <c r="B873" s="29" t="s">
        <v>835</v>
      </c>
    </row>
    <row r="874" spans="1:2" x14ac:dyDescent="0.25">
      <c r="A874" s="29" t="s">
        <v>37</v>
      </c>
      <c r="B874" s="29" t="s">
        <v>835</v>
      </c>
    </row>
    <row r="875" spans="1:2" x14ac:dyDescent="0.25">
      <c r="A875" s="29" t="s">
        <v>214</v>
      </c>
      <c r="B875" s="29" t="s">
        <v>835</v>
      </c>
    </row>
    <row r="876" spans="1:2" x14ac:dyDescent="0.25">
      <c r="A876" s="29" t="s">
        <v>26</v>
      </c>
      <c r="B876" s="29" t="s">
        <v>835</v>
      </c>
    </row>
    <row r="877" spans="1:2" x14ac:dyDescent="0.25">
      <c r="A877" s="29" t="s">
        <v>2446</v>
      </c>
      <c r="B877" s="29" t="s">
        <v>2487</v>
      </c>
    </row>
    <row r="878" spans="1:2" x14ac:dyDescent="0.25">
      <c r="A878" s="29" t="s">
        <v>836</v>
      </c>
      <c r="B878" s="29" t="s">
        <v>837</v>
      </c>
    </row>
    <row r="879" spans="1:2" x14ac:dyDescent="0.25">
      <c r="A879" s="29" t="s">
        <v>838</v>
      </c>
      <c r="B879" s="29" t="s">
        <v>839</v>
      </c>
    </row>
    <row r="880" spans="1:2" x14ac:dyDescent="0.25">
      <c r="A880" s="31" t="s">
        <v>3042</v>
      </c>
      <c r="B880" s="31" t="s">
        <v>3071</v>
      </c>
    </row>
    <row r="881" spans="1:2" x14ac:dyDescent="0.25">
      <c r="A881" s="29" t="s">
        <v>2427</v>
      </c>
      <c r="B881" s="29" t="s">
        <v>2428</v>
      </c>
    </row>
    <row r="882" spans="1:2" x14ac:dyDescent="0.25">
      <c r="A882" s="31" t="s">
        <v>2758</v>
      </c>
      <c r="B882" s="31" t="s">
        <v>2759</v>
      </c>
    </row>
    <row r="883" spans="1:2" x14ac:dyDescent="0.25">
      <c r="A883" s="31" t="s">
        <v>3167</v>
      </c>
      <c r="B883" s="31" t="s">
        <v>3197</v>
      </c>
    </row>
    <row r="884" spans="1:2" x14ac:dyDescent="0.25">
      <c r="A884" s="29" t="s">
        <v>842</v>
      </c>
      <c r="B884" s="29" t="s">
        <v>843</v>
      </c>
    </row>
    <row r="885" spans="1:2" x14ac:dyDescent="0.25">
      <c r="A885" s="31" t="s">
        <v>3483</v>
      </c>
      <c r="B885" s="31" t="s">
        <v>3514</v>
      </c>
    </row>
    <row r="886" spans="1:2" x14ac:dyDescent="0.25">
      <c r="A886" s="29" t="s">
        <v>2445</v>
      </c>
      <c r="B886" s="29" t="s">
        <v>2486</v>
      </c>
    </row>
    <row r="887" spans="1:2" x14ac:dyDescent="0.25">
      <c r="A887" t="s">
        <v>1825</v>
      </c>
      <c r="B887" s="32" t="s">
        <v>1826</v>
      </c>
    </row>
    <row r="888" spans="1:2" x14ac:dyDescent="0.25">
      <c r="A888" t="s">
        <v>1827</v>
      </c>
      <c r="B888" s="32" t="s">
        <v>1828</v>
      </c>
    </row>
    <row r="889" spans="1:2" x14ac:dyDescent="0.25">
      <c r="A889" s="29" t="s">
        <v>1687</v>
      </c>
      <c r="B889" s="29" t="s">
        <v>2000</v>
      </c>
    </row>
    <row r="890" spans="1:2" x14ac:dyDescent="0.25">
      <c r="A890" t="s">
        <v>1339</v>
      </c>
      <c r="B890" t="s">
        <v>1340</v>
      </c>
    </row>
    <row r="891" spans="1:2" x14ac:dyDescent="0.25">
      <c r="A891" s="31" t="s">
        <v>2760</v>
      </c>
      <c r="B891" s="31" t="s">
        <v>2761</v>
      </c>
    </row>
    <row r="892" spans="1:2" x14ac:dyDescent="0.25">
      <c r="A892" s="29" t="s">
        <v>844</v>
      </c>
      <c r="B892" s="29" t="s">
        <v>845</v>
      </c>
    </row>
    <row r="893" spans="1:2" x14ac:dyDescent="0.25">
      <c r="A893" s="31" t="s">
        <v>4010</v>
      </c>
      <c r="B893" s="31" t="s">
        <v>847</v>
      </c>
    </row>
    <row r="894" spans="1:2" x14ac:dyDescent="0.25">
      <c r="A894" s="29" t="s">
        <v>2451</v>
      </c>
      <c r="B894" s="29" t="s">
        <v>847</v>
      </c>
    </row>
    <row r="895" spans="1:2" x14ac:dyDescent="0.25">
      <c r="A895" s="29" t="s">
        <v>846</v>
      </c>
      <c r="B895" s="29" t="s">
        <v>847</v>
      </c>
    </row>
    <row r="896" spans="1:2" x14ac:dyDescent="0.25">
      <c r="A896" s="29" t="s">
        <v>2384</v>
      </c>
      <c r="B896" s="29" t="s">
        <v>2385</v>
      </c>
    </row>
    <row r="897" spans="1:2" x14ac:dyDescent="0.25">
      <c r="A897" s="31" t="s">
        <v>4412</v>
      </c>
      <c r="B897" s="31" t="s">
        <v>4413</v>
      </c>
    </row>
    <row r="898" spans="1:2" x14ac:dyDescent="0.25">
      <c r="A898" s="29" t="s">
        <v>2423</v>
      </c>
      <c r="B898" s="29" t="s">
        <v>2424</v>
      </c>
    </row>
    <row r="899" spans="1:2" x14ac:dyDescent="0.25">
      <c r="A899" s="31" t="s">
        <v>3382</v>
      </c>
      <c r="B899" s="31" t="s">
        <v>2424</v>
      </c>
    </row>
    <row r="900" spans="1:2" x14ac:dyDescent="0.25">
      <c r="A900" t="s">
        <v>1341</v>
      </c>
      <c r="B900" t="s">
        <v>1342</v>
      </c>
    </row>
    <row r="901" spans="1:2" x14ac:dyDescent="0.25">
      <c r="A901" s="31" t="s">
        <v>3600</v>
      </c>
      <c r="B901" s="31" t="s">
        <v>994</v>
      </c>
    </row>
    <row r="902" spans="1:2" x14ac:dyDescent="0.25">
      <c r="A902" s="31" t="s">
        <v>2913</v>
      </c>
      <c r="B902" s="31" t="s">
        <v>2999</v>
      </c>
    </row>
    <row r="903" spans="1:2" x14ac:dyDescent="0.25">
      <c r="A903" s="31" t="s">
        <v>3598</v>
      </c>
      <c r="B903" s="31" t="s">
        <v>1159</v>
      </c>
    </row>
    <row r="904" spans="1:2" x14ac:dyDescent="0.25">
      <c r="A904" s="29" t="s">
        <v>126</v>
      </c>
      <c r="B904" s="29" t="s">
        <v>849</v>
      </c>
    </row>
    <row r="905" spans="1:2" x14ac:dyDescent="0.25">
      <c r="A905" s="29" t="s">
        <v>2226</v>
      </c>
      <c r="B905" s="29" t="s">
        <v>2227</v>
      </c>
    </row>
    <row r="906" spans="1:2" x14ac:dyDescent="0.25">
      <c r="A906" s="31" t="s">
        <v>4414</v>
      </c>
      <c r="B906" s="31" t="s">
        <v>4415</v>
      </c>
    </row>
    <row r="907" spans="1:2" x14ac:dyDescent="0.25">
      <c r="A907" s="29" t="s">
        <v>2338</v>
      </c>
      <c r="B907" s="29" t="s">
        <v>2339</v>
      </c>
    </row>
    <row r="908" spans="1:2" x14ac:dyDescent="0.25">
      <c r="A908" s="29" t="s">
        <v>2481</v>
      </c>
      <c r="B908" s="29" t="s">
        <v>2515</v>
      </c>
    </row>
    <row r="909" spans="1:2" x14ac:dyDescent="0.25">
      <c r="A909" t="s">
        <v>1829</v>
      </c>
      <c r="B909" s="32" t="s">
        <v>1830</v>
      </c>
    </row>
    <row r="910" spans="1:2" x14ac:dyDescent="0.25">
      <c r="A910" s="29" t="s">
        <v>1627</v>
      </c>
      <c r="B910" s="29" t="s">
        <v>851</v>
      </c>
    </row>
    <row r="911" spans="1:2" x14ac:dyDescent="0.25">
      <c r="A911" s="29" t="s">
        <v>850</v>
      </c>
      <c r="B911" s="29" t="s">
        <v>851</v>
      </c>
    </row>
    <row r="912" spans="1:2" x14ac:dyDescent="0.25">
      <c r="A912" s="29" t="s">
        <v>119</v>
      </c>
      <c r="B912" s="29" t="s">
        <v>240</v>
      </c>
    </row>
    <row r="913" spans="1:2" x14ac:dyDescent="0.25">
      <c r="A913" s="29" t="s">
        <v>852</v>
      </c>
      <c r="B913" s="29" t="s">
        <v>240</v>
      </c>
    </row>
    <row r="914" spans="1:2" x14ac:dyDescent="0.25">
      <c r="A914" s="29" t="s">
        <v>117</v>
      </c>
      <c r="B914" s="29" t="s">
        <v>240</v>
      </c>
    </row>
    <row r="915" spans="1:2" x14ac:dyDescent="0.25">
      <c r="A915" s="29" t="s">
        <v>853</v>
      </c>
      <c r="B915" s="29" t="s">
        <v>854</v>
      </c>
    </row>
    <row r="916" spans="1:2" x14ac:dyDescent="0.25">
      <c r="A916" s="29" t="s">
        <v>1662</v>
      </c>
      <c r="B916" s="29" t="s">
        <v>1999</v>
      </c>
    </row>
    <row r="917" spans="1:2" x14ac:dyDescent="0.25">
      <c r="A917" s="29" t="s">
        <v>652</v>
      </c>
      <c r="B917" s="29" t="s">
        <v>653</v>
      </c>
    </row>
    <row r="918" spans="1:2" x14ac:dyDescent="0.25">
      <c r="A918" s="31" t="s">
        <v>3383</v>
      </c>
      <c r="B918" s="31" t="s">
        <v>3384</v>
      </c>
    </row>
    <row r="919" spans="1:2" x14ac:dyDescent="0.25">
      <c r="A919" s="31" t="s">
        <v>3168</v>
      </c>
      <c r="B919" s="31" t="s">
        <v>3198</v>
      </c>
    </row>
    <row r="920" spans="1:2" x14ac:dyDescent="0.25">
      <c r="A920" s="29" t="s">
        <v>2151</v>
      </c>
      <c r="B920" s="29" t="s">
        <v>2152</v>
      </c>
    </row>
    <row r="921" spans="1:2" x14ac:dyDescent="0.25">
      <c r="A921" s="29" t="s">
        <v>2476</v>
      </c>
      <c r="B921" s="29" t="s">
        <v>847</v>
      </c>
    </row>
    <row r="922" spans="1:2" x14ac:dyDescent="0.25">
      <c r="A922" s="29" t="s">
        <v>1487</v>
      </c>
      <c r="B922" t="s">
        <v>742</v>
      </c>
    </row>
    <row r="923" spans="1:2" x14ac:dyDescent="0.25">
      <c r="A923" s="29" t="s">
        <v>587</v>
      </c>
      <c r="B923" s="29" t="s">
        <v>588</v>
      </c>
    </row>
    <row r="924" spans="1:2" x14ac:dyDescent="0.25">
      <c r="A924" s="29" t="s">
        <v>118</v>
      </c>
      <c r="B924" s="29" t="s">
        <v>855</v>
      </c>
    </row>
    <row r="925" spans="1:2" x14ac:dyDescent="0.25">
      <c r="A925" s="31" t="s">
        <v>4146</v>
      </c>
      <c r="B925" s="31" t="s">
        <v>2761</v>
      </c>
    </row>
    <row r="926" spans="1:2" x14ac:dyDescent="0.25">
      <c r="A926" t="s">
        <v>1343</v>
      </c>
      <c r="B926" t="s">
        <v>1344</v>
      </c>
    </row>
    <row r="927" spans="1:2" x14ac:dyDescent="0.25">
      <c r="A927" s="31" t="s">
        <v>3035</v>
      </c>
      <c r="B927" s="31" t="s">
        <v>3065</v>
      </c>
    </row>
    <row r="928" spans="1:2" x14ac:dyDescent="0.25">
      <c r="A928" s="31" t="s">
        <v>2526</v>
      </c>
      <c r="B928" s="31" t="s">
        <v>2586</v>
      </c>
    </row>
    <row r="929" spans="1:2" x14ac:dyDescent="0.25">
      <c r="A929" s="31" t="s">
        <v>4167</v>
      </c>
      <c r="B929" s="31" t="s">
        <v>2586</v>
      </c>
    </row>
    <row r="930" spans="1:2" x14ac:dyDescent="0.25">
      <c r="A930" s="29" t="s">
        <v>856</v>
      </c>
      <c r="B930" s="29" t="s">
        <v>857</v>
      </c>
    </row>
    <row r="931" spans="1:2" x14ac:dyDescent="0.25">
      <c r="A931" s="31" t="s">
        <v>3689</v>
      </c>
      <c r="B931" s="31" t="s">
        <v>3753</v>
      </c>
    </row>
    <row r="932" spans="1:2" x14ac:dyDescent="0.25">
      <c r="A932" s="31" t="s">
        <v>3754</v>
      </c>
      <c r="B932" s="31" t="s">
        <v>3755</v>
      </c>
    </row>
    <row r="933" spans="1:2" x14ac:dyDescent="0.25">
      <c r="A933" s="31" t="s">
        <v>3247</v>
      </c>
      <c r="B933" s="31" t="s">
        <v>3296</v>
      </c>
    </row>
    <row r="934" spans="1:2" x14ac:dyDescent="0.25">
      <c r="A934" s="29" t="s">
        <v>858</v>
      </c>
      <c r="B934" s="29" t="s">
        <v>858</v>
      </c>
    </row>
    <row r="935" spans="1:2" x14ac:dyDescent="0.25">
      <c r="A935" s="31" t="s">
        <v>3117</v>
      </c>
      <c r="B935" s="31" t="s">
        <v>3199</v>
      </c>
    </row>
    <row r="936" spans="1:2" x14ac:dyDescent="0.25">
      <c r="A936" s="29" t="s">
        <v>859</v>
      </c>
      <c r="B936" s="29" t="s">
        <v>860</v>
      </c>
    </row>
    <row r="937" spans="1:2" x14ac:dyDescent="0.25">
      <c r="A937" s="31" t="s">
        <v>2952</v>
      </c>
      <c r="B937" s="31" t="s">
        <v>860</v>
      </c>
    </row>
    <row r="938" spans="1:2" x14ac:dyDescent="0.25">
      <c r="A938" s="29" t="s">
        <v>861</v>
      </c>
      <c r="B938" s="29" t="s">
        <v>862</v>
      </c>
    </row>
    <row r="939" spans="1:2" x14ac:dyDescent="0.25">
      <c r="A939" t="s">
        <v>1831</v>
      </c>
      <c r="B939" s="32" t="s">
        <v>1832</v>
      </c>
    </row>
    <row r="940" spans="1:2" x14ac:dyDescent="0.25">
      <c r="A940" s="29" t="s">
        <v>1218</v>
      </c>
      <c r="B940" t="s">
        <v>1250</v>
      </c>
    </row>
    <row r="941" spans="1:2" x14ac:dyDescent="0.25">
      <c r="A941" s="29" t="s">
        <v>863</v>
      </c>
      <c r="B941" s="29" t="s">
        <v>864</v>
      </c>
    </row>
    <row r="942" spans="1:2" x14ac:dyDescent="0.25">
      <c r="A942" s="29" t="s">
        <v>602</v>
      </c>
      <c r="B942" s="29" t="s">
        <v>227</v>
      </c>
    </row>
    <row r="943" spans="1:2" x14ac:dyDescent="0.25">
      <c r="A943" s="31" t="s">
        <v>2884</v>
      </c>
      <c r="B943" s="31" t="s">
        <v>918</v>
      </c>
    </row>
    <row r="944" spans="1:2" x14ac:dyDescent="0.25">
      <c r="A944" s="31" t="s">
        <v>3135</v>
      </c>
      <c r="B944" s="31" t="s">
        <v>918</v>
      </c>
    </row>
    <row r="945" spans="1:2" x14ac:dyDescent="0.25">
      <c r="A945" s="31" t="s">
        <v>3170</v>
      </c>
      <c r="B945" s="31" t="s">
        <v>3200</v>
      </c>
    </row>
    <row r="946" spans="1:2" x14ac:dyDescent="0.25">
      <c r="A946" s="31" t="s">
        <v>3100</v>
      </c>
      <c r="B946" s="31" t="s">
        <v>3101</v>
      </c>
    </row>
    <row r="947" spans="1:2" x14ac:dyDescent="0.25">
      <c r="A947" s="31" t="s">
        <v>4416</v>
      </c>
      <c r="B947" s="31" t="s">
        <v>4417</v>
      </c>
    </row>
    <row r="948" spans="1:2" x14ac:dyDescent="0.25">
      <c r="A948" s="29" t="s">
        <v>865</v>
      </c>
      <c r="B948" s="29" t="s">
        <v>866</v>
      </c>
    </row>
    <row r="949" spans="1:2" x14ac:dyDescent="0.25">
      <c r="A949" s="29" t="s">
        <v>1667</v>
      </c>
      <c r="B949" s="29" t="s">
        <v>1998</v>
      </c>
    </row>
    <row r="950" spans="1:2" x14ac:dyDescent="0.25">
      <c r="A950" s="29" t="s">
        <v>867</v>
      </c>
      <c r="B950" s="29" t="s">
        <v>868</v>
      </c>
    </row>
    <row r="951" spans="1:2" x14ac:dyDescent="0.25">
      <c r="A951" s="29" t="s">
        <v>1712</v>
      </c>
      <c r="B951" s="29" t="s">
        <v>1997</v>
      </c>
    </row>
    <row r="952" spans="1:2" x14ac:dyDescent="0.25">
      <c r="A952" s="29" t="s">
        <v>1680</v>
      </c>
      <c r="B952" s="29" t="s">
        <v>1489</v>
      </c>
    </row>
    <row r="953" spans="1:2" x14ac:dyDescent="0.25">
      <c r="A953" s="29" t="s">
        <v>1488</v>
      </c>
      <c r="B953" t="s">
        <v>1489</v>
      </c>
    </row>
    <row r="954" spans="1:2" x14ac:dyDescent="0.25">
      <c r="A954" s="29" t="s">
        <v>2139</v>
      </c>
      <c r="B954" s="29" t="s">
        <v>2140</v>
      </c>
    </row>
    <row r="955" spans="1:2" x14ac:dyDescent="0.25">
      <c r="A955" s="31" t="s">
        <v>3385</v>
      </c>
      <c r="B955" s="31" t="s">
        <v>3386</v>
      </c>
    </row>
    <row r="956" spans="1:2" x14ac:dyDescent="0.25">
      <c r="A956" s="31" t="s">
        <v>3756</v>
      </c>
      <c r="B956" s="31" t="s">
        <v>3757</v>
      </c>
    </row>
    <row r="957" spans="1:2" x14ac:dyDescent="0.25">
      <c r="A957" s="29" t="s">
        <v>2231</v>
      </c>
      <c r="B957" s="29" t="s">
        <v>2232</v>
      </c>
    </row>
    <row r="958" spans="1:2" x14ac:dyDescent="0.25">
      <c r="A958" s="31" t="s">
        <v>4231</v>
      </c>
      <c r="B958" s="31" t="s">
        <v>4418</v>
      </c>
    </row>
    <row r="959" spans="1:2" x14ac:dyDescent="0.25">
      <c r="A959" s="29" t="s">
        <v>2380</v>
      </c>
      <c r="B959" s="29" t="s">
        <v>2381</v>
      </c>
    </row>
    <row r="960" spans="1:2" x14ac:dyDescent="0.25">
      <c r="A960" s="31" t="s">
        <v>4419</v>
      </c>
      <c r="B960" s="31" t="s">
        <v>4420</v>
      </c>
    </row>
    <row r="961" spans="1:2" x14ac:dyDescent="0.25">
      <c r="A961" s="31" t="s">
        <v>2762</v>
      </c>
      <c r="B961" s="31" t="s">
        <v>2763</v>
      </c>
    </row>
    <row r="962" spans="1:2" x14ac:dyDescent="0.25">
      <c r="A962" s="31" t="s">
        <v>2640</v>
      </c>
      <c r="B962" s="31" t="s">
        <v>2764</v>
      </c>
    </row>
    <row r="963" spans="1:2" x14ac:dyDescent="0.25">
      <c r="A963" s="31" t="s">
        <v>4421</v>
      </c>
      <c r="B963" s="31" t="s">
        <v>4422</v>
      </c>
    </row>
    <row r="964" spans="1:2" x14ac:dyDescent="0.25">
      <c r="A964" t="s">
        <v>1833</v>
      </c>
      <c r="B964" s="32" t="s">
        <v>1834</v>
      </c>
    </row>
    <row r="965" spans="1:2" x14ac:dyDescent="0.25">
      <c r="A965" s="31" t="s">
        <v>2647</v>
      </c>
      <c r="B965" s="31" t="s">
        <v>2765</v>
      </c>
    </row>
    <row r="966" spans="1:2" x14ac:dyDescent="0.25">
      <c r="A966" s="31" t="s">
        <v>3179</v>
      </c>
      <c r="B966" s="31" t="s">
        <v>3201</v>
      </c>
    </row>
    <row r="967" spans="1:2" x14ac:dyDescent="0.25">
      <c r="A967" s="31" t="s">
        <v>3440</v>
      </c>
      <c r="B967" s="31" t="s">
        <v>3447</v>
      </c>
    </row>
    <row r="968" spans="1:2" x14ac:dyDescent="0.25">
      <c r="A968" s="29" t="s">
        <v>1684</v>
      </c>
      <c r="B968" s="29" t="s">
        <v>1996</v>
      </c>
    </row>
    <row r="969" spans="1:2" x14ac:dyDescent="0.25">
      <c r="A969" s="29" t="s">
        <v>2236</v>
      </c>
      <c r="B969" s="29" t="s">
        <v>2237</v>
      </c>
    </row>
    <row r="970" spans="1:2" x14ac:dyDescent="0.25">
      <c r="A970" s="29" t="s">
        <v>2194</v>
      </c>
      <c r="B970" s="29" t="s">
        <v>2195</v>
      </c>
    </row>
    <row r="971" spans="1:2" x14ac:dyDescent="0.25">
      <c r="A971" s="31" t="s">
        <v>3102</v>
      </c>
      <c r="B971" s="31" t="s">
        <v>3103</v>
      </c>
    </row>
    <row r="972" spans="1:2" x14ac:dyDescent="0.25">
      <c r="A972" s="29" t="s">
        <v>1490</v>
      </c>
      <c r="B972" t="s">
        <v>1491</v>
      </c>
    </row>
    <row r="973" spans="1:2" x14ac:dyDescent="0.25">
      <c r="A973" s="29" t="s">
        <v>1492</v>
      </c>
      <c r="B973" t="s">
        <v>1493</v>
      </c>
    </row>
    <row r="974" spans="1:2" x14ac:dyDescent="0.25">
      <c r="A974" s="31" t="s">
        <v>3461</v>
      </c>
      <c r="B974" s="31" t="s">
        <v>3515</v>
      </c>
    </row>
    <row r="975" spans="1:2" x14ac:dyDescent="0.25">
      <c r="A975" s="31" t="s">
        <v>3758</v>
      </c>
      <c r="B975" s="31" t="s">
        <v>3759</v>
      </c>
    </row>
    <row r="976" spans="1:2" x14ac:dyDescent="0.25">
      <c r="A976" s="31" t="s">
        <v>3558</v>
      </c>
      <c r="B976" s="31" t="s">
        <v>3572</v>
      </c>
    </row>
    <row r="977" spans="1:2" x14ac:dyDescent="0.25">
      <c r="A977" s="31" t="s">
        <v>3683</v>
      </c>
      <c r="B977" s="31" t="s">
        <v>3760</v>
      </c>
    </row>
    <row r="978" spans="1:2" x14ac:dyDescent="0.25">
      <c r="A978" s="31" t="s">
        <v>4423</v>
      </c>
      <c r="B978" s="31" t="s">
        <v>4424</v>
      </c>
    </row>
    <row r="979" spans="1:2" x14ac:dyDescent="0.25">
      <c r="A979" t="s">
        <v>1835</v>
      </c>
      <c r="B979" s="32" t="s">
        <v>1836</v>
      </c>
    </row>
    <row r="980" spans="1:2" x14ac:dyDescent="0.25">
      <c r="A980" s="29" t="s">
        <v>1190</v>
      </c>
      <c r="B980" t="s">
        <v>1251</v>
      </c>
    </row>
    <row r="981" spans="1:2" x14ac:dyDescent="0.25">
      <c r="A981" s="31" t="s">
        <v>3462</v>
      </c>
      <c r="B981" s="31" t="s">
        <v>3516</v>
      </c>
    </row>
    <row r="982" spans="1:2" x14ac:dyDescent="0.25">
      <c r="A982" s="31" t="s">
        <v>4114</v>
      </c>
      <c r="B982" s="31" t="s">
        <v>4425</v>
      </c>
    </row>
    <row r="983" spans="1:2" x14ac:dyDescent="0.25">
      <c r="A983" s="31" t="s">
        <v>3256</v>
      </c>
      <c r="B983" s="31" t="s">
        <v>3319</v>
      </c>
    </row>
    <row r="984" spans="1:2" x14ac:dyDescent="0.25">
      <c r="A984" s="31" t="s">
        <v>4426</v>
      </c>
      <c r="B984" s="31" t="s">
        <v>4427</v>
      </c>
    </row>
    <row r="985" spans="1:2" x14ac:dyDescent="0.25">
      <c r="A985" s="29" t="s">
        <v>871</v>
      </c>
      <c r="B985" s="29" t="s">
        <v>872</v>
      </c>
    </row>
    <row r="986" spans="1:2" x14ac:dyDescent="0.25">
      <c r="A986" s="31" t="s">
        <v>2766</v>
      </c>
      <c r="B986" s="31" t="s">
        <v>2767</v>
      </c>
    </row>
    <row r="987" spans="1:2" x14ac:dyDescent="0.25">
      <c r="A987" s="29" t="s">
        <v>2437</v>
      </c>
      <c r="B987" s="29" t="s">
        <v>2438</v>
      </c>
    </row>
    <row r="988" spans="1:2" x14ac:dyDescent="0.25">
      <c r="A988" s="29" t="s">
        <v>1837</v>
      </c>
      <c r="B988" s="29" t="s">
        <v>1838</v>
      </c>
    </row>
    <row r="989" spans="1:2" x14ac:dyDescent="0.25">
      <c r="A989" s="29" t="s">
        <v>2288</v>
      </c>
      <c r="B989" s="29" t="s">
        <v>2289</v>
      </c>
    </row>
    <row r="990" spans="1:2" x14ac:dyDescent="0.25">
      <c r="A990" s="31" t="s">
        <v>3387</v>
      </c>
      <c r="B990" s="31" t="s">
        <v>2046</v>
      </c>
    </row>
    <row r="991" spans="1:2" x14ac:dyDescent="0.25">
      <c r="A991" s="31" t="s">
        <v>3178</v>
      </c>
      <c r="B991" s="31" t="s">
        <v>3202</v>
      </c>
    </row>
    <row r="992" spans="1:2" x14ac:dyDescent="0.25">
      <c r="A992" s="31" t="s">
        <v>4428</v>
      </c>
      <c r="B992" s="31" t="s">
        <v>1840</v>
      </c>
    </row>
    <row r="993" spans="1:2" x14ac:dyDescent="0.25">
      <c r="A993" s="31" t="s">
        <v>4429</v>
      </c>
      <c r="B993" s="31" t="s">
        <v>1840</v>
      </c>
    </row>
    <row r="994" spans="1:2" x14ac:dyDescent="0.25">
      <c r="A994" s="31" t="s">
        <v>2664</v>
      </c>
      <c r="B994" s="31" t="s">
        <v>2768</v>
      </c>
    </row>
    <row r="995" spans="1:2" x14ac:dyDescent="0.25">
      <c r="A995" s="29" t="s">
        <v>1839</v>
      </c>
      <c r="B995" s="29" t="s">
        <v>1840</v>
      </c>
    </row>
    <row r="996" spans="1:2" x14ac:dyDescent="0.25">
      <c r="A996" s="31" t="s">
        <v>2950</v>
      </c>
      <c r="B996" s="31" t="s">
        <v>1840</v>
      </c>
    </row>
    <row r="997" spans="1:2" x14ac:dyDescent="0.25">
      <c r="A997" s="31" t="s">
        <v>3761</v>
      </c>
      <c r="B997" s="31" t="s">
        <v>1840</v>
      </c>
    </row>
    <row r="998" spans="1:2" x14ac:dyDescent="0.25">
      <c r="A998" s="29" t="s">
        <v>1027</v>
      </c>
      <c r="B998" s="29" t="s">
        <v>1028</v>
      </c>
    </row>
    <row r="999" spans="1:2" x14ac:dyDescent="0.25">
      <c r="A999" s="31" t="s">
        <v>3478</v>
      </c>
      <c r="B999" s="31" t="s">
        <v>3517</v>
      </c>
    </row>
    <row r="1000" spans="1:2" x14ac:dyDescent="0.25">
      <c r="A1000" s="29" t="s">
        <v>116</v>
      </c>
      <c r="B1000" s="29" t="s">
        <v>873</v>
      </c>
    </row>
    <row r="1001" spans="1:2" x14ac:dyDescent="0.25">
      <c r="A1001" s="29" t="s">
        <v>874</v>
      </c>
      <c r="B1001" s="29" t="s">
        <v>873</v>
      </c>
    </row>
    <row r="1002" spans="1:2" x14ac:dyDescent="0.25">
      <c r="A1002" s="29" t="s">
        <v>875</v>
      </c>
      <c r="B1002" s="29" t="s">
        <v>876</v>
      </c>
    </row>
    <row r="1003" spans="1:2" x14ac:dyDescent="0.25">
      <c r="A1003" s="31" t="s">
        <v>3140</v>
      </c>
      <c r="B1003" s="31" t="s">
        <v>3203</v>
      </c>
    </row>
    <row r="1004" spans="1:2" x14ac:dyDescent="0.25">
      <c r="A1004" s="31" t="s">
        <v>4098</v>
      </c>
      <c r="B1004" s="31" t="s">
        <v>4430</v>
      </c>
    </row>
    <row r="1005" spans="1:2" x14ac:dyDescent="0.25">
      <c r="A1005" s="31" t="s">
        <v>3476</v>
      </c>
      <c r="B1005" s="31" t="s">
        <v>878</v>
      </c>
    </row>
    <row r="1006" spans="1:2" x14ac:dyDescent="0.25">
      <c r="A1006" s="29" t="s">
        <v>2212</v>
      </c>
      <c r="B1006" s="29" t="s">
        <v>2213</v>
      </c>
    </row>
    <row r="1007" spans="1:2" x14ac:dyDescent="0.25">
      <c r="A1007" s="31" t="s">
        <v>4431</v>
      </c>
      <c r="B1007" s="31" t="s">
        <v>4432</v>
      </c>
    </row>
    <row r="1008" spans="1:2" x14ac:dyDescent="0.25">
      <c r="A1008" s="29" t="s">
        <v>879</v>
      </c>
      <c r="B1008" s="29" t="s">
        <v>880</v>
      </c>
    </row>
    <row r="1009" spans="1:2" x14ac:dyDescent="0.25">
      <c r="A1009" s="29" t="s">
        <v>2155</v>
      </c>
      <c r="B1009" s="29" t="s">
        <v>2150</v>
      </c>
    </row>
    <row r="1010" spans="1:2" x14ac:dyDescent="0.25">
      <c r="A1010" s="29" t="s">
        <v>2149</v>
      </c>
      <c r="B1010" s="29" t="s">
        <v>2150</v>
      </c>
    </row>
    <row r="1011" spans="1:2" x14ac:dyDescent="0.25">
      <c r="A1011" s="31" t="s">
        <v>3165</v>
      </c>
      <c r="B1011" s="31" t="s">
        <v>3204</v>
      </c>
    </row>
    <row r="1012" spans="1:2" x14ac:dyDescent="0.25">
      <c r="A1012" s="29" t="s">
        <v>78</v>
      </c>
      <c r="B1012" s="29" t="s">
        <v>626</v>
      </c>
    </row>
    <row r="1013" spans="1:2" x14ac:dyDescent="0.25">
      <c r="A1013" s="31" t="s">
        <v>3388</v>
      </c>
      <c r="B1013" s="31" t="s">
        <v>3389</v>
      </c>
    </row>
    <row r="1014" spans="1:2" x14ac:dyDescent="0.25">
      <c r="A1014" s="31" t="s">
        <v>2669</v>
      </c>
      <c r="B1014" s="31" t="s">
        <v>3625</v>
      </c>
    </row>
    <row r="1015" spans="1:2" x14ac:dyDescent="0.25">
      <c r="A1015" s="31" t="s">
        <v>2769</v>
      </c>
      <c r="B1015" s="31" t="s">
        <v>2770</v>
      </c>
    </row>
    <row r="1016" spans="1:2" x14ac:dyDescent="0.25">
      <c r="A1016" s="29" t="s">
        <v>1213</v>
      </c>
      <c r="B1016" s="29" t="s">
        <v>1252</v>
      </c>
    </row>
    <row r="1017" spans="1:2" x14ac:dyDescent="0.25">
      <c r="A1017" s="29" t="s">
        <v>658</v>
      </c>
      <c r="B1017" s="29" t="s">
        <v>659</v>
      </c>
    </row>
    <row r="1018" spans="1:2" x14ac:dyDescent="0.25">
      <c r="A1018" s="29" t="s">
        <v>115</v>
      </c>
      <c r="B1018" s="29" t="s">
        <v>745</v>
      </c>
    </row>
    <row r="1019" spans="1:2" x14ac:dyDescent="0.25">
      <c r="A1019" s="29" t="s">
        <v>203</v>
      </c>
      <c r="B1019" s="29" t="s">
        <v>690</v>
      </c>
    </row>
    <row r="1020" spans="1:2" x14ac:dyDescent="0.25">
      <c r="A1020" s="29" t="s">
        <v>754</v>
      </c>
      <c r="B1020" s="29" t="s">
        <v>755</v>
      </c>
    </row>
    <row r="1021" spans="1:2" x14ac:dyDescent="0.25">
      <c r="A1021" s="29" t="s">
        <v>1690</v>
      </c>
      <c r="B1021" s="29" t="s">
        <v>2010</v>
      </c>
    </row>
    <row r="1022" spans="1:2" x14ac:dyDescent="0.25">
      <c r="A1022" s="31" t="s">
        <v>2672</v>
      </c>
      <c r="B1022" s="31" t="s">
        <v>2771</v>
      </c>
    </row>
    <row r="1023" spans="1:2" x14ac:dyDescent="0.25">
      <c r="A1023" s="29" t="s">
        <v>771</v>
      </c>
      <c r="B1023" s="29" t="s">
        <v>772</v>
      </c>
    </row>
    <row r="1024" spans="1:2" x14ac:dyDescent="0.25">
      <c r="A1024" s="31" t="s">
        <v>2632</v>
      </c>
      <c r="B1024" s="31" t="s">
        <v>2772</v>
      </c>
    </row>
    <row r="1025" spans="1:2" x14ac:dyDescent="0.25">
      <c r="A1025" s="29" t="s">
        <v>1494</v>
      </c>
      <c r="B1025" t="s">
        <v>1495</v>
      </c>
    </row>
    <row r="1026" spans="1:2" x14ac:dyDescent="0.25">
      <c r="A1026" s="29" t="s">
        <v>1496</v>
      </c>
      <c r="B1026" t="s">
        <v>1497</v>
      </c>
    </row>
    <row r="1027" spans="1:2" x14ac:dyDescent="0.25">
      <c r="A1027" s="29" t="s">
        <v>1498</v>
      </c>
      <c r="B1027" t="s">
        <v>1499</v>
      </c>
    </row>
    <row r="1028" spans="1:2" x14ac:dyDescent="0.25">
      <c r="A1028" s="31" t="s">
        <v>3390</v>
      </c>
      <c r="B1028" s="31" t="s">
        <v>3391</v>
      </c>
    </row>
    <row r="1029" spans="1:2" x14ac:dyDescent="0.25">
      <c r="A1029" s="31" t="s">
        <v>3392</v>
      </c>
      <c r="B1029" s="31" t="s">
        <v>3105</v>
      </c>
    </row>
    <row r="1030" spans="1:2" x14ac:dyDescent="0.25">
      <c r="A1030" s="31" t="s">
        <v>3104</v>
      </c>
      <c r="B1030" s="31" t="s">
        <v>3105</v>
      </c>
    </row>
    <row r="1031" spans="1:2" x14ac:dyDescent="0.25">
      <c r="A1031" s="31" t="s">
        <v>4433</v>
      </c>
      <c r="B1031" s="31" t="s">
        <v>2773</v>
      </c>
    </row>
    <row r="1032" spans="1:2" x14ac:dyDescent="0.25">
      <c r="A1032" s="31" t="s">
        <v>2642</v>
      </c>
      <c r="B1032" s="31" t="s">
        <v>2773</v>
      </c>
    </row>
    <row r="1033" spans="1:2" x14ac:dyDescent="0.25">
      <c r="A1033" s="31" t="s">
        <v>3240</v>
      </c>
      <c r="B1033" s="31" t="s">
        <v>3297</v>
      </c>
    </row>
    <row r="1034" spans="1:2" x14ac:dyDescent="0.25">
      <c r="A1034" s="29" t="s">
        <v>179</v>
      </c>
      <c r="B1034" s="29" t="s">
        <v>1110</v>
      </c>
    </row>
    <row r="1035" spans="1:2" x14ac:dyDescent="0.25">
      <c r="A1035" s="31" t="s">
        <v>3251</v>
      </c>
      <c r="B1035" s="31" t="s">
        <v>3298</v>
      </c>
    </row>
    <row r="1036" spans="1:2" x14ac:dyDescent="0.25">
      <c r="A1036" s="31" t="s">
        <v>3106</v>
      </c>
      <c r="B1036" s="31" t="s">
        <v>3107</v>
      </c>
    </row>
    <row r="1037" spans="1:2" x14ac:dyDescent="0.25">
      <c r="A1037" s="29" t="s">
        <v>1129</v>
      </c>
      <c r="B1037" s="29" t="s">
        <v>1130</v>
      </c>
    </row>
    <row r="1038" spans="1:2" x14ac:dyDescent="0.25">
      <c r="A1038" s="29" t="s">
        <v>1131</v>
      </c>
      <c r="B1038" s="29" t="s">
        <v>1132</v>
      </c>
    </row>
    <row r="1039" spans="1:2" x14ac:dyDescent="0.25">
      <c r="A1039" s="29" t="s">
        <v>881</v>
      </c>
      <c r="B1039" s="29" t="s">
        <v>882</v>
      </c>
    </row>
    <row r="1040" spans="1:2" x14ac:dyDescent="0.25">
      <c r="A1040" s="31" t="s">
        <v>3038</v>
      </c>
      <c r="B1040" s="31" t="s">
        <v>3067</v>
      </c>
    </row>
    <row r="1041" spans="1:2" x14ac:dyDescent="0.25">
      <c r="A1041" s="29" t="s">
        <v>883</v>
      </c>
      <c r="B1041" s="29" t="s">
        <v>884</v>
      </c>
    </row>
    <row r="1042" spans="1:2" x14ac:dyDescent="0.25">
      <c r="A1042" s="31" t="s">
        <v>2525</v>
      </c>
      <c r="B1042" s="31" t="s">
        <v>2587</v>
      </c>
    </row>
    <row r="1043" spans="1:2" x14ac:dyDescent="0.25">
      <c r="A1043" s="31" t="s">
        <v>3108</v>
      </c>
      <c r="B1043" s="31" t="s">
        <v>3109</v>
      </c>
    </row>
    <row r="1044" spans="1:2" x14ac:dyDescent="0.25">
      <c r="A1044" s="29" t="s">
        <v>1841</v>
      </c>
      <c r="B1044" s="29" t="s">
        <v>1842</v>
      </c>
    </row>
    <row r="1045" spans="1:2" x14ac:dyDescent="0.25">
      <c r="A1045" s="29" t="s">
        <v>157</v>
      </c>
      <c r="B1045" s="29" t="s">
        <v>885</v>
      </c>
    </row>
    <row r="1046" spans="1:2" x14ac:dyDescent="0.25">
      <c r="A1046" s="29" t="s">
        <v>2332</v>
      </c>
      <c r="B1046" s="29" t="s">
        <v>2333</v>
      </c>
    </row>
    <row r="1047" spans="1:2" x14ac:dyDescent="0.25">
      <c r="A1047" s="29" t="s">
        <v>65</v>
      </c>
      <c r="B1047" s="29" t="s">
        <v>886</v>
      </c>
    </row>
    <row r="1048" spans="1:2" x14ac:dyDescent="0.25">
      <c r="A1048" s="31" t="s">
        <v>3393</v>
      </c>
      <c r="B1048" s="31" t="s">
        <v>3394</v>
      </c>
    </row>
    <row r="1049" spans="1:2" x14ac:dyDescent="0.25">
      <c r="A1049" s="29" t="s">
        <v>1679</v>
      </c>
      <c r="B1049" s="29" t="s">
        <v>1995</v>
      </c>
    </row>
    <row r="1050" spans="1:2" x14ac:dyDescent="0.25">
      <c r="A1050" s="29" t="s">
        <v>887</v>
      </c>
      <c r="B1050" s="29" t="s">
        <v>888</v>
      </c>
    </row>
    <row r="1051" spans="1:2" x14ac:dyDescent="0.25">
      <c r="A1051" s="29" t="s">
        <v>989</v>
      </c>
      <c r="B1051" s="29" t="s">
        <v>2517</v>
      </c>
    </row>
    <row r="1052" spans="1:2" x14ac:dyDescent="0.25">
      <c r="A1052" s="31" t="s">
        <v>3549</v>
      </c>
      <c r="B1052" s="31" t="s">
        <v>3573</v>
      </c>
    </row>
    <row r="1053" spans="1:2" x14ac:dyDescent="0.25">
      <c r="A1053" s="31" t="s">
        <v>4434</v>
      </c>
      <c r="B1053" s="31" t="s">
        <v>4435</v>
      </c>
    </row>
    <row r="1054" spans="1:2" x14ac:dyDescent="0.25">
      <c r="A1054" s="29" t="s">
        <v>1500</v>
      </c>
      <c r="B1054" t="s">
        <v>1501</v>
      </c>
    </row>
    <row r="1055" spans="1:2" x14ac:dyDescent="0.25">
      <c r="A1055" s="29" t="s">
        <v>945</v>
      </c>
      <c r="B1055" s="29" t="s">
        <v>946</v>
      </c>
    </row>
    <row r="1056" spans="1:2" x14ac:dyDescent="0.25">
      <c r="A1056" s="29" t="s">
        <v>2240</v>
      </c>
      <c r="B1056" s="29" t="s">
        <v>2241</v>
      </c>
    </row>
    <row r="1057" spans="1:2" x14ac:dyDescent="0.25">
      <c r="A1057" t="s">
        <v>1345</v>
      </c>
      <c r="B1057" t="s">
        <v>1346</v>
      </c>
    </row>
    <row r="1058" spans="1:2" x14ac:dyDescent="0.25">
      <c r="A1058" s="29" t="s">
        <v>889</v>
      </c>
      <c r="B1058" s="29" t="s">
        <v>890</v>
      </c>
    </row>
    <row r="1059" spans="1:2" x14ac:dyDescent="0.25">
      <c r="A1059" s="31" t="s">
        <v>2622</v>
      </c>
      <c r="B1059" s="31" t="s">
        <v>1381</v>
      </c>
    </row>
    <row r="1060" spans="1:2" x14ac:dyDescent="0.25">
      <c r="A1060" s="31" t="s">
        <v>3173</v>
      </c>
      <c r="B1060" s="31" t="s">
        <v>3205</v>
      </c>
    </row>
    <row r="1061" spans="1:2" x14ac:dyDescent="0.25">
      <c r="A1061" s="29" t="s">
        <v>1201</v>
      </c>
      <c r="B1061" t="s">
        <v>1253</v>
      </c>
    </row>
    <row r="1062" spans="1:2" x14ac:dyDescent="0.25">
      <c r="A1062" s="29" t="s">
        <v>1502</v>
      </c>
      <c r="B1062" t="s">
        <v>1503</v>
      </c>
    </row>
    <row r="1063" spans="1:2" x14ac:dyDescent="0.25">
      <c r="A1063" s="29" t="s">
        <v>1504</v>
      </c>
      <c r="B1063" t="s">
        <v>1505</v>
      </c>
    </row>
    <row r="1064" spans="1:2" x14ac:dyDescent="0.25">
      <c r="A1064" s="29" t="s">
        <v>1506</v>
      </c>
      <c r="B1064" t="s">
        <v>1505</v>
      </c>
    </row>
    <row r="1065" spans="1:2" x14ac:dyDescent="0.25">
      <c r="A1065" s="29" t="s">
        <v>891</v>
      </c>
      <c r="B1065" s="29" t="s">
        <v>892</v>
      </c>
    </row>
    <row r="1066" spans="1:2" x14ac:dyDescent="0.25">
      <c r="A1066" s="29" t="s">
        <v>1222</v>
      </c>
      <c r="B1066" t="s">
        <v>1254</v>
      </c>
    </row>
    <row r="1067" spans="1:2" x14ac:dyDescent="0.25">
      <c r="A1067" t="s">
        <v>1849</v>
      </c>
      <c r="B1067" s="32" t="s">
        <v>918</v>
      </c>
    </row>
    <row r="1068" spans="1:2" x14ac:dyDescent="0.25">
      <c r="A1068" s="31" t="s">
        <v>3484</v>
      </c>
      <c r="B1068" s="31" t="s">
        <v>2345</v>
      </c>
    </row>
    <row r="1069" spans="1:2" x14ac:dyDescent="0.25">
      <c r="A1069" s="29" t="s">
        <v>2344</v>
      </c>
      <c r="B1069" s="29" t="s">
        <v>2345</v>
      </c>
    </row>
    <row r="1070" spans="1:2" x14ac:dyDescent="0.25">
      <c r="A1070" s="31" t="s">
        <v>4436</v>
      </c>
      <c r="B1070" s="31" t="s">
        <v>2345</v>
      </c>
    </row>
    <row r="1071" spans="1:2" x14ac:dyDescent="0.25">
      <c r="A1071" s="29" t="s">
        <v>893</v>
      </c>
      <c r="B1071" s="29" t="s">
        <v>894</v>
      </c>
    </row>
    <row r="1072" spans="1:2" x14ac:dyDescent="0.25">
      <c r="A1072" s="31" t="s">
        <v>2671</v>
      </c>
      <c r="B1072" s="31" t="s">
        <v>2774</v>
      </c>
    </row>
    <row r="1073" spans="1:2" x14ac:dyDescent="0.25">
      <c r="A1073" s="31" t="s">
        <v>3694</v>
      </c>
      <c r="B1073" s="31" t="s">
        <v>3762</v>
      </c>
    </row>
    <row r="1074" spans="1:2" x14ac:dyDescent="0.25">
      <c r="A1074" t="s">
        <v>1347</v>
      </c>
      <c r="B1074" t="s">
        <v>1348</v>
      </c>
    </row>
    <row r="1075" spans="1:2" x14ac:dyDescent="0.25">
      <c r="A1075" s="29" t="s">
        <v>2074</v>
      </c>
      <c r="B1075" s="29" t="s">
        <v>2075</v>
      </c>
    </row>
    <row r="1076" spans="1:2" x14ac:dyDescent="0.25">
      <c r="A1076" s="31" t="s">
        <v>3585</v>
      </c>
      <c r="B1076" s="31" t="s">
        <v>3626</v>
      </c>
    </row>
    <row r="1077" spans="1:2" x14ac:dyDescent="0.25">
      <c r="A1077" s="29" t="s">
        <v>2410</v>
      </c>
      <c r="B1077" s="29" t="s">
        <v>2411</v>
      </c>
    </row>
    <row r="1078" spans="1:2" x14ac:dyDescent="0.25">
      <c r="A1078" s="31" t="s">
        <v>3266</v>
      </c>
      <c r="B1078" s="31" t="s">
        <v>3299</v>
      </c>
    </row>
    <row r="1079" spans="1:2" x14ac:dyDescent="0.25">
      <c r="A1079" s="29" t="s">
        <v>2417</v>
      </c>
      <c r="B1079" s="29" t="s">
        <v>2418</v>
      </c>
    </row>
    <row r="1080" spans="1:2" x14ac:dyDescent="0.25">
      <c r="A1080" s="31" t="s">
        <v>3036</v>
      </c>
      <c r="B1080" s="31" t="s">
        <v>3066</v>
      </c>
    </row>
    <row r="1081" spans="1:2" x14ac:dyDescent="0.25">
      <c r="A1081" s="31" t="s">
        <v>2775</v>
      </c>
      <c r="B1081" s="31" t="s">
        <v>2776</v>
      </c>
    </row>
    <row r="1082" spans="1:2" x14ac:dyDescent="0.25">
      <c r="A1082" s="31" t="s">
        <v>2938</v>
      </c>
      <c r="B1082" s="31" t="s">
        <v>3000</v>
      </c>
    </row>
    <row r="1083" spans="1:2" x14ac:dyDescent="0.25">
      <c r="A1083" s="31" t="s">
        <v>3395</v>
      </c>
      <c r="B1083" s="31" t="s">
        <v>3396</v>
      </c>
    </row>
    <row r="1084" spans="1:2" x14ac:dyDescent="0.25">
      <c r="A1084" s="29" t="s">
        <v>1685</v>
      </c>
      <c r="B1084" s="29" t="s">
        <v>1994</v>
      </c>
    </row>
    <row r="1085" spans="1:2" x14ac:dyDescent="0.25">
      <c r="A1085" s="31" t="s">
        <v>1844</v>
      </c>
      <c r="B1085" s="31" t="s">
        <v>1844</v>
      </c>
    </row>
    <row r="1086" spans="1:2" x14ac:dyDescent="0.25">
      <c r="A1086" s="29" t="s">
        <v>1507</v>
      </c>
      <c r="B1086" t="s">
        <v>1508</v>
      </c>
    </row>
    <row r="1087" spans="1:2" x14ac:dyDescent="0.25">
      <c r="A1087" s="31" t="s">
        <v>3148</v>
      </c>
      <c r="B1087" s="31" t="s">
        <v>3206</v>
      </c>
    </row>
    <row r="1088" spans="1:2" x14ac:dyDescent="0.25">
      <c r="A1088" s="29" t="s">
        <v>1851</v>
      </c>
      <c r="B1088" s="29" t="s">
        <v>918</v>
      </c>
    </row>
    <row r="1089" spans="1:2" x14ac:dyDescent="0.25">
      <c r="A1089" s="29" t="s">
        <v>1509</v>
      </c>
      <c r="B1089" t="s">
        <v>1510</v>
      </c>
    </row>
    <row r="1090" spans="1:2" x14ac:dyDescent="0.25">
      <c r="A1090" s="29" t="s">
        <v>193</v>
      </c>
      <c r="B1090" s="29" t="s">
        <v>193</v>
      </c>
    </row>
    <row r="1091" spans="1:2" x14ac:dyDescent="0.25">
      <c r="A1091" s="31" t="s">
        <v>2777</v>
      </c>
      <c r="B1091" s="31" t="s">
        <v>2778</v>
      </c>
    </row>
    <row r="1092" spans="1:2" x14ac:dyDescent="0.25">
      <c r="A1092" t="s">
        <v>1845</v>
      </c>
      <c r="B1092" s="32" t="s">
        <v>1846</v>
      </c>
    </row>
    <row r="1093" spans="1:2" x14ac:dyDescent="0.25">
      <c r="A1093" s="29" t="s">
        <v>910</v>
      </c>
      <c r="B1093" s="29" t="s">
        <v>911</v>
      </c>
    </row>
    <row r="1094" spans="1:2" x14ac:dyDescent="0.25">
      <c r="A1094" s="29" t="s">
        <v>211</v>
      </c>
      <c r="B1094" s="29" t="s">
        <v>901</v>
      </c>
    </row>
    <row r="1095" spans="1:2" x14ac:dyDescent="0.25">
      <c r="A1095" s="29" t="s">
        <v>79</v>
      </c>
      <c r="B1095" s="29" t="s">
        <v>903</v>
      </c>
    </row>
    <row r="1096" spans="1:2" x14ac:dyDescent="0.25">
      <c r="A1096" s="31" t="s">
        <v>3457</v>
      </c>
      <c r="B1096" s="31" t="s">
        <v>3518</v>
      </c>
    </row>
    <row r="1097" spans="1:2" x14ac:dyDescent="0.25">
      <c r="A1097" t="s">
        <v>1349</v>
      </c>
      <c r="B1097" t="s">
        <v>1350</v>
      </c>
    </row>
    <row r="1098" spans="1:2" x14ac:dyDescent="0.25">
      <c r="A1098" s="31" t="s">
        <v>2951</v>
      </c>
      <c r="B1098" s="31" t="s">
        <v>3001</v>
      </c>
    </row>
    <row r="1099" spans="1:2" x14ac:dyDescent="0.25">
      <c r="A1099" s="31" t="s">
        <v>2673</v>
      </c>
      <c r="B1099" s="31" t="s">
        <v>2779</v>
      </c>
    </row>
    <row r="1100" spans="1:2" x14ac:dyDescent="0.25">
      <c r="A1100" s="29" t="s">
        <v>1511</v>
      </c>
      <c r="B1100" t="s">
        <v>1512</v>
      </c>
    </row>
    <row r="1101" spans="1:2" x14ac:dyDescent="0.25">
      <c r="A1101" s="29" t="s">
        <v>1710</v>
      </c>
      <c r="B1101" s="29" t="s">
        <v>1993</v>
      </c>
    </row>
    <row r="1102" spans="1:2" x14ac:dyDescent="0.25">
      <c r="A1102" s="29" t="s">
        <v>1513</v>
      </c>
      <c r="B1102" t="s">
        <v>1514</v>
      </c>
    </row>
    <row r="1103" spans="1:2" x14ac:dyDescent="0.25">
      <c r="A1103" s="29" t="s">
        <v>1515</v>
      </c>
      <c r="B1103" t="s">
        <v>1516</v>
      </c>
    </row>
    <row r="1104" spans="1:2" x14ac:dyDescent="0.25">
      <c r="A1104" s="29" t="s">
        <v>906</v>
      </c>
      <c r="B1104" s="29" t="s">
        <v>907</v>
      </c>
    </row>
    <row r="1105" spans="1:2" x14ac:dyDescent="0.25">
      <c r="A1105" s="31" t="s">
        <v>2780</v>
      </c>
      <c r="B1105" s="31" t="s">
        <v>2781</v>
      </c>
    </row>
    <row r="1106" spans="1:2" x14ac:dyDescent="0.25">
      <c r="A1106" s="31" t="s">
        <v>2561</v>
      </c>
      <c r="B1106" s="31" t="s">
        <v>2588</v>
      </c>
    </row>
    <row r="1107" spans="1:2" x14ac:dyDescent="0.25">
      <c r="A1107" s="29" t="s">
        <v>84</v>
      </c>
      <c r="B1107" s="29" t="s">
        <v>908</v>
      </c>
    </row>
    <row r="1108" spans="1:2" x14ac:dyDescent="0.25">
      <c r="A1108" s="29" t="s">
        <v>81</v>
      </c>
      <c r="B1108" s="29" t="s">
        <v>908</v>
      </c>
    </row>
    <row r="1109" spans="1:2" x14ac:dyDescent="0.25">
      <c r="A1109" s="29" t="s">
        <v>909</v>
      </c>
      <c r="B1109" s="29" t="s">
        <v>908</v>
      </c>
    </row>
    <row r="1110" spans="1:2" x14ac:dyDescent="0.25">
      <c r="A1110" s="31" t="s">
        <v>2651</v>
      </c>
      <c r="B1110" s="31" t="s">
        <v>2782</v>
      </c>
    </row>
    <row r="1111" spans="1:2" x14ac:dyDescent="0.25">
      <c r="A1111" t="s">
        <v>1351</v>
      </c>
      <c r="B1111" t="s">
        <v>1352</v>
      </c>
    </row>
    <row r="1112" spans="1:2" x14ac:dyDescent="0.25">
      <c r="A1112" s="29" t="s">
        <v>912</v>
      </c>
      <c r="B1112" s="29" t="s">
        <v>913</v>
      </c>
    </row>
    <row r="1113" spans="1:2" x14ac:dyDescent="0.25">
      <c r="A1113" s="31" t="s">
        <v>2624</v>
      </c>
      <c r="B1113" s="31" t="s">
        <v>2783</v>
      </c>
    </row>
    <row r="1114" spans="1:2" x14ac:dyDescent="0.25">
      <c r="A1114" s="29" t="s">
        <v>914</v>
      </c>
      <c r="B1114" s="29" t="s">
        <v>915</v>
      </c>
    </row>
    <row r="1115" spans="1:2" x14ac:dyDescent="0.25">
      <c r="A1115" s="29" t="s">
        <v>1623</v>
      </c>
      <c r="B1115" s="29" t="s">
        <v>918</v>
      </c>
    </row>
    <row r="1116" spans="1:2" x14ac:dyDescent="0.25">
      <c r="A1116" t="s">
        <v>1847</v>
      </c>
      <c r="B1116" s="32" t="s">
        <v>3813</v>
      </c>
    </row>
    <row r="1117" spans="1:2" x14ac:dyDescent="0.25">
      <c r="A1117" s="31" t="s">
        <v>2531</v>
      </c>
      <c r="B1117" s="31" t="s">
        <v>2589</v>
      </c>
    </row>
    <row r="1118" spans="1:2" x14ac:dyDescent="0.25">
      <c r="A1118" s="29" t="s">
        <v>2200</v>
      </c>
      <c r="B1118" s="29" t="s">
        <v>2201</v>
      </c>
    </row>
    <row r="1119" spans="1:2" x14ac:dyDescent="0.25">
      <c r="A1119" s="29" t="s">
        <v>916</v>
      </c>
      <c r="B1119" s="29" t="s">
        <v>917</v>
      </c>
    </row>
    <row r="1120" spans="1:2" x14ac:dyDescent="0.25">
      <c r="A1120" s="29" t="s">
        <v>1517</v>
      </c>
      <c r="B1120" t="s">
        <v>918</v>
      </c>
    </row>
    <row r="1121" spans="1:2" x14ac:dyDescent="0.25">
      <c r="A1121" s="29" t="s">
        <v>1653</v>
      </c>
      <c r="B1121" s="29" t="s">
        <v>918</v>
      </c>
    </row>
    <row r="1122" spans="1:2" x14ac:dyDescent="0.25">
      <c r="A1122" t="s">
        <v>1850</v>
      </c>
      <c r="B1122" s="32" t="s">
        <v>918</v>
      </c>
    </row>
    <row r="1123" spans="1:2" x14ac:dyDescent="0.25">
      <c r="A1123" s="29" t="s">
        <v>1673</v>
      </c>
      <c r="B1123" s="29" t="s">
        <v>918</v>
      </c>
    </row>
    <row r="1124" spans="1:2" x14ac:dyDescent="0.25">
      <c r="A1124" s="29" t="s">
        <v>920</v>
      </c>
      <c r="B1124" s="29" t="s">
        <v>918</v>
      </c>
    </row>
    <row r="1125" spans="1:2" x14ac:dyDescent="0.25">
      <c r="A1125" s="29" t="s">
        <v>1625</v>
      </c>
      <c r="B1125" s="29" t="s">
        <v>918</v>
      </c>
    </row>
    <row r="1126" spans="1:2" x14ac:dyDescent="0.25">
      <c r="A1126" s="29" t="s">
        <v>1196</v>
      </c>
      <c r="B1126" t="s">
        <v>918</v>
      </c>
    </row>
    <row r="1127" spans="1:2" x14ac:dyDescent="0.25">
      <c r="A1127" s="29" t="s">
        <v>921</v>
      </c>
      <c r="B1127" s="29" t="s">
        <v>918</v>
      </c>
    </row>
    <row r="1128" spans="1:2" x14ac:dyDescent="0.25">
      <c r="A1128" s="29" t="s">
        <v>1852</v>
      </c>
      <c r="B1128" s="29" t="s">
        <v>918</v>
      </c>
    </row>
    <row r="1129" spans="1:2" x14ac:dyDescent="0.25">
      <c r="A1129" s="29" t="s">
        <v>922</v>
      </c>
      <c r="B1129" s="29" t="s">
        <v>918</v>
      </c>
    </row>
    <row r="1130" spans="1:2" x14ac:dyDescent="0.25">
      <c r="A1130" s="29" t="s">
        <v>1518</v>
      </c>
      <c r="B1130" t="s">
        <v>918</v>
      </c>
    </row>
    <row r="1131" spans="1:2" x14ac:dyDescent="0.25">
      <c r="A1131" s="31" t="s">
        <v>3561</v>
      </c>
      <c r="B1131" s="31" t="s">
        <v>3574</v>
      </c>
    </row>
    <row r="1132" spans="1:2" x14ac:dyDescent="0.25">
      <c r="A1132" s="31" t="s">
        <v>3260</v>
      </c>
      <c r="B1132" s="31" t="s">
        <v>3300</v>
      </c>
    </row>
    <row r="1133" spans="1:2" x14ac:dyDescent="0.25">
      <c r="A1133" s="29" t="s">
        <v>127</v>
      </c>
      <c r="B1133" s="29" t="s">
        <v>923</v>
      </c>
    </row>
    <row r="1134" spans="1:2" x14ac:dyDescent="0.25">
      <c r="A1134" s="29" t="s">
        <v>2224</v>
      </c>
      <c r="B1134" s="29" t="s">
        <v>2225</v>
      </c>
    </row>
    <row r="1135" spans="1:2" x14ac:dyDescent="0.25">
      <c r="A1135" s="29" t="s">
        <v>175</v>
      </c>
      <c r="B1135" s="29" t="s">
        <v>924</v>
      </c>
    </row>
    <row r="1136" spans="1:2" x14ac:dyDescent="0.25">
      <c r="A1136" t="s">
        <v>1853</v>
      </c>
      <c r="B1136" s="32" t="s">
        <v>1854</v>
      </c>
    </row>
    <row r="1137" spans="1:2" x14ac:dyDescent="0.25">
      <c r="A1137" s="31" t="s">
        <v>2648</v>
      </c>
      <c r="B1137" s="31" t="s">
        <v>2784</v>
      </c>
    </row>
    <row r="1138" spans="1:2" x14ac:dyDescent="0.25">
      <c r="A1138" s="29" t="s">
        <v>925</v>
      </c>
      <c r="B1138" s="29" t="s">
        <v>926</v>
      </c>
    </row>
    <row r="1139" spans="1:2" x14ac:dyDescent="0.25">
      <c r="A1139" s="29" t="s">
        <v>45</v>
      </c>
      <c r="B1139" s="29" t="s">
        <v>926</v>
      </c>
    </row>
    <row r="1140" spans="1:2" x14ac:dyDescent="0.25">
      <c r="A1140" s="29" t="s">
        <v>928</v>
      </c>
      <c r="B1140" s="29" t="s">
        <v>929</v>
      </c>
    </row>
    <row r="1141" spans="1:2" x14ac:dyDescent="0.25">
      <c r="A1141" s="31" t="s">
        <v>3763</v>
      </c>
      <c r="B1141" s="31" t="s">
        <v>3764</v>
      </c>
    </row>
    <row r="1142" spans="1:2" x14ac:dyDescent="0.25">
      <c r="A1142" s="31" t="s">
        <v>3432</v>
      </c>
      <c r="B1142" s="31" t="s">
        <v>3448</v>
      </c>
    </row>
    <row r="1143" spans="1:2" x14ac:dyDescent="0.25">
      <c r="A1143" s="29" t="s">
        <v>2184</v>
      </c>
      <c r="B1143" s="29" t="s">
        <v>2185</v>
      </c>
    </row>
    <row r="1144" spans="1:2" x14ac:dyDescent="0.25">
      <c r="A1144" t="s">
        <v>1353</v>
      </c>
      <c r="B1144" t="s">
        <v>227</v>
      </c>
    </row>
    <row r="1145" spans="1:2" x14ac:dyDescent="0.25">
      <c r="A1145" s="29" t="s">
        <v>1668</v>
      </c>
      <c r="B1145" s="29" t="s">
        <v>1992</v>
      </c>
    </row>
    <row r="1146" spans="1:2" x14ac:dyDescent="0.25">
      <c r="A1146" s="31" t="s">
        <v>3176</v>
      </c>
      <c r="B1146" s="31" t="s">
        <v>3207</v>
      </c>
    </row>
    <row r="1147" spans="1:2" x14ac:dyDescent="0.25">
      <c r="A1147" t="s">
        <v>1855</v>
      </c>
      <c r="B1147" s="32" t="s">
        <v>1856</v>
      </c>
    </row>
    <row r="1148" spans="1:2" x14ac:dyDescent="0.25">
      <c r="A1148" s="29" t="s">
        <v>71</v>
      </c>
      <c r="B1148" s="29" t="s">
        <v>234</v>
      </c>
    </row>
    <row r="1149" spans="1:2" x14ac:dyDescent="0.25">
      <c r="A1149" s="29" t="s">
        <v>1857</v>
      </c>
      <c r="B1149" s="29" t="s">
        <v>1858</v>
      </c>
    </row>
    <row r="1150" spans="1:2" x14ac:dyDescent="0.25">
      <c r="A1150" s="31" t="s">
        <v>4437</v>
      </c>
      <c r="B1150" s="31" t="s">
        <v>4438</v>
      </c>
    </row>
    <row r="1151" spans="1:2" x14ac:dyDescent="0.25">
      <c r="A1151" t="s">
        <v>1859</v>
      </c>
      <c r="B1151" s="32" t="s">
        <v>1860</v>
      </c>
    </row>
    <row r="1152" spans="1:2" x14ac:dyDescent="0.25">
      <c r="A1152" s="29" t="s">
        <v>1861</v>
      </c>
      <c r="B1152" s="29" t="s">
        <v>1862</v>
      </c>
    </row>
    <row r="1153" spans="1:2" x14ac:dyDescent="0.25">
      <c r="A1153" s="31" t="s">
        <v>3765</v>
      </c>
      <c r="B1153" s="31" t="s">
        <v>3766</v>
      </c>
    </row>
    <row r="1154" spans="1:2" x14ac:dyDescent="0.25">
      <c r="A1154" s="31" t="s">
        <v>3270</v>
      </c>
      <c r="B1154" s="31" t="s">
        <v>3301</v>
      </c>
    </row>
    <row r="1155" spans="1:2" x14ac:dyDescent="0.25">
      <c r="A1155" s="29" t="s">
        <v>930</v>
      </c>
      <c r="B1155" s="29" t="s">
        <v>931</v>
      </c>
    </row>
    <row r="1156" spans="1:2" x14ac:dyDescent="0.25">
      <c r="A1156" s="29" t="s">
        <v>1519</v>
      </c>
      <c r="B1156" t="s">
        <v>1520</v>
      </c>
    </row>
    <row r="1157" spans="1:2" x14ac:dyDescent="0.25">
      <c r="A1157" s="29" t="s">
        <v>58</v>
      </c>
      <c r="B1157" s="29" t="s">
        <v>932</v>
      </c>
    </row>
    <row r="1158" spans="1:2" x14ac:dyDescent="0.25">
      <c r="A1158" s="29" t="s">
        <v>933</v>
      </c>
      <c r="B1158" s="29" t="s">
        <v>934</v>
      </c>
    </row>
    <row r="1159" spans="1:2" x14ac:dyDescent="0.25">
      <c r="A1159" s="29" t="s">
        <v>935</v>
      </c>
      <c r="B1159" s="29" t="s">
        <v>934</v>
      </c>
    </row>
    <row r="1160" spans="1:2" x14ac:dyDescent="0.25">
      <c r="A1160" s="29" t="s">
        <v>936</v>
      </c>
      <c r="B1160" s="29" t="s">
        <v>937</v>
      </c>
    </row>
    <row r="1161" spans="1:2" x14ac:dyDescent="0.25">
      <c r="A1161" t="s">
        <v>1863</v>
      </c>
      <c r="B1161" s="32" t="s">
        <v>1864</v>
      </c>
    </row>
    <row r="1162" spans="1:2" x14ac:dyDescent="0.25">
      <c r="A1162" s="31" t="s">
        <v>2785</v>
      </c>
      <c r="B1162" s="31" t="s">
        <v>2786</v>
      </c>
    </row>
    <row r="1163" spans="1:2" x14ac:dyDescent="0.25">
      <c r="A1163" t="s">
        <v>1354</v>
      </c>
      <c r="B1163" t="s">
        <v>1355</v>
      </c>
    </row>
    <row r="1164" spans="1:2" x14ac:dyDescent="0.25">
      <c r="A1164" s="29" t="s">
        <v>938</v>
      </c>
      <c r="B1164" s="29" t="s">
        <v>939</v>
      </c>
    </row>
    <row r="1165" spans="1:2" x14ac:dyDescent="0.25">
      <c r="A1165" s="31" t="s">
        <v>3459</v>
      </c>
      <c r="B1165" s="31" t="s">
        <v>3519</v>
      </c>
    </row>
    <row r="1166" spans="1:2" x14ac:dyDescent="0.25">
      <c r="A1166" s="28" t="s">
        <v>2169</v>
      </c>
      <c r="B1166" s="28" t="s">
        <v>2170</v>
      </c>
    </row>
    <row r="1167" spans="1:2" x14ac:dyDescent="0.25">
      <c r="A1167" s="29" t="s">
        <v>2354</v>
      </c>
      <c r="B1167" s="29" t="s">
        <v>2355</v>
      </c>
    </row>
    <row r="1168" spans="1:2" x14ac:dyDescent="0.25">
      <c r="A1168" s="29" t="s">
        <v>1186</v>
      </c>
      <c r="B1168" s="29" t="s">
        <v>1255</v>
      </c>
    </row>
    <row r="1169" spans="1:2" x14ac:dyDescent="0.25">
      <c r="A1169" s="31" t="s">
        <v>3455</v>
      </c>
      <c r="B1169" s="31" t="s">
        <v>3520</v>
      </c>
    </row>
    <row r="1170" spans="1:2" x14ac:dyDescent="0.25">
      <c r="A1170" s="29" t="s">
        <v>950</v>
      </c>
      <c r="B1170" s="29" t="s">
        <v>951</v>
      </c>
    </row>
    <row r="1171" spans="1:2" x14ac:dyDescent="0.25">
      <c r="A1171" s="29" t="s">
        <v>940</v>
      </c>
      <c r="B1171" s="29" t="s">
        <v>941</v>
      </c>
    </row>
    <row r="1172" spans="1:2" x14ac:dyDescent="0.25">
      <c r="A1172" s="31" t="s">
        <v>3597</v>
      </c>
      <c r="B1172" s="31" t="s">
        <v>3627</v>
      </c>
    </row>
    <row r="1173" spans="1:2" x14ac:dyDescent="0.25">
      <c r="A1173" s="29" t="s">
        <v>106</v>
      </c>
      <c r="B1173" s="29" t="s">
        <v>942</v>
      </c>
    </row>
    <row r="1174" spans="1:2" x14ac:dyDescent="0.25">
      <c r="A1174" s="29" t="s">
        <v>2463</v>
      </c>
      <c r="B1174" s="29" t="s">
        <v>2500</v>
      </c>
    </row>
    <row r="1175" spans="1:2" x14ac:dyDescent="0.25">
      <c r="A1175" s="31" t="s">
        <v>3131</v>
      </c>
      <c r="B1175" s="31" t="s">
        <v>944</v>
      </c>
    </row>
    <row r="1176" spans="1:2" x14ac:dyDescent="0.25">
      <c r="A1176" s="31" t="s">
        <v>3608</v>
      </c>
      <c r="B1176" s="31" t="s">
        <v>3628</v>
      </c>
    </row>
    <row r="1177" spans="1:2" x14ac:dyDescent="0.25">
      <c r="A1177" t="s">
        <v>1865</v>
      </c>
      <c r="B1177" s="32" t="s">
        <v>1866</v>
      </c>
    </row>
    <row r="1178" spans="1:2" x14ac:dyDescent="0.25">
      <c r="A1178" t="s">
        <v>1867</v>
      </c>
      <c r="B1178" s="32" t="s">
        <v>1868</v>
      </c>
    </row>
    <row r="1179" spans="1:2" x14ac:dyDescent="0.25">
      <c r="A1179" s="29" t="s">
        <v>1521</v>
      </c>
      <c r="B1179" t="s">
        <v>1522</v>
      </c>
    </row>
    <row r="1180" spans="1:2" x14ac:dyDescent="0.25">
      <c r="A1180" s="29" t="s">
        <v>1523</v>
      </c>
      <c r="B1180" t="s">
        <v>1524</v>
      </c>
    </row>
    <row r="1181" spans="1:2" x14ac:dyDescent="0.25">
      <c r="A1181" s="31" t="s">
        <v>3130</v>
      </c>
      <c r="B1181" s="31" t="s">
        <v>3208</v>
      </c>
    </row>
    <row r="1182" spans="1:2" x14ac:dyDescent="0.25">
      <c r="A1182" s="29" t="s">
        <v>1187</v>
      </c>
      <c r="B1182" s="29" t="s">
        <v>1256</v>
      </c>
    </row>
    <row r="1183" spans="1:2" x14ac:dyDescent="0.25">
      <c r="A1183" s="29" t="s">
        <v>155</v>
      </c>
      <c r="B1183" s="29" t="s">
        <v>248</v>
      </c>
    </row>
    <row r="1184" spans="1:2" x14ac:dyDescent="0.25">
      <c r="A1184" s="31" t="s">
        <v>3145</v>
      </c>
      <c r="B1184" s="31" t="s">
        <v>3209</v>
      </c>
    </row>
    <row r="1185" spans="1:2" x14ac:dyDescent="0.25">
      <c r="A1185" s="31" t="s">
        <v>3265</v>
      </c>
      <c r="B1185" s="31" t="s">
        <v>3302</v>
      </c>
    </row>
    <row r="1186" spans="1:2" x14ac:dyDescent="0.25">
      <c r="A1186" s="29" t="s">
        <v>39</v>
      </c>
      <c r="B1186" s="29" t="s">
        <v>949</v>
      </c>
    </row>
    <row r="1187" spans="1:2" x14ac:dyDescent="0.25">
      <c r="A1187" s="31" t="s">
        <v>2521</v>
      </c>
      <c r="B1187" s="31" t="s">
        <v>2590</v>
      </c>
    </row>
    <row r="1188" spans="1:2" x14ac:dyDescent="0.25">
      <c r="A1188" s="29" t="s">
        <v>2450</v>
      </c>
      <c r="B1188" s="29" t="s">
        <v>2491</v>
      </c>
    </row>
    <row r="1189" spans="1:2" x14ac:dyDescent="0.25">
      <c r="A1189" s="31" t="s">
        <v>3121</v>
      </c>
      <c r="B1189" s="31" t="s">
        <v>3210</v>
      </c>
    </row>
    <row r="1190" spans="1:2" x14ac:dyDescent="0.25">
      <c r="A1190" s="29" t="s">
        <v>1525</v>
      </c>
      <c r="B1190" t="s">
        <v>1526</v>
      </c>
    </row>
    <row r="1191" spans="1:2" x14ac:dyDescent="0.25">
      <c r="A1191" s="29" t="s">
        <v>899</v>
      </c>
      <c r="B1191" s="29" t="s">
        <v>900</v>
      </c>
    </row>
    <row r="1192" spans="1:2" x14ac:dyDescent="0.25">
      <c r="A1192" s="31" t="s">
        <v>4331</v>
      </c>
      <c r="B1192" s="31" t="s">
        <v>4439</v>
      </c>
    </row>
    <row r="1193" spans="1:2" x14ac:dyDescent="0.25">
      <c r="A1193" s="29" t="s">
        <v>2278</v>
      </c>
      <c r="B1193" s="29" t="s">
        <v>2279</v>
      </c>
    </row>
    <row r="1194" spans="1:2" x14ac:dyDescent="0.25">
      <c r="A1194" s="29" t="s">
        <v>703</v>
      </c>
      <c r="B1194" s="29" t="s">
        <v>704</v>
      </c>
    </row>
    <row r="1195" spans="1:2" x14ac:dyDescent="0.25">
      <c r="A1195" s="29" t="s">
        <v>176</v>
      </c>
      <c r="B1195" s="29" t="s">
        <v>828</v>
      </c>
    </row>
    <row r="1196" spans="1:2" x14ac:dyDescent="0.25">
      <c r="A1196" s="31" t="s">
        <v>2568</v>
      </c>
      <c r="B1196" s="31" t="s">
        <v>2591</v>
      </c>
    </row>
    <row r="1197" spans="1:2" x14ac:dyDescent="0.25">
      <c r="A1197" s="31" t="s">
        <v>3048</v>
      </c>
      <c r="B1197" s="31" t="s">
        <v>3076</v>
      </c>
    </row>
    <row r="1198" spans="1:2" x14ac:dyDescent="0.25">
      <c r="A1198" s="31" t="s">
        <v>2542</v>
      </c>
      <c r="B1198" s="31" t="s">
        <v>2592</v>
      </c>
    </row>
    <row r="1199" spans="1:2" x14ac:dyDescent="0.25">
      <c r="A1199" s="31" t="s">
        <v>3695</v>
      </c>
      <c r="B1199" s="31" t="s">
        <v>3767</v>
      </c>
    </row>
    <row r="1200" spans="1:2" x14ac:dyDescent="0.25">
      <c r="A1200" s="29" t="s">
        <v>1220</v>
      </c>
      <c r="B1200" t="s">
        <v>952</v>
      </c>
    </row>
    <row r="1201" spans="1:2" x14ac:dyDescent="0.25">
      <c r="A1201" s="29" t="s">
        <v>2180</v>
      </c>
      <c r="B1201" s="29" t="s">
        <v>2181</v>
      </c>
    </row>
    <row r="1202" spans="1:2" x14ac:dyDescent="0.25">
      <c r="A1202" s="29" t="s">
        <v>146</v>
      </c>
      <c r="B1202" s="29" t="s">
        <v>952</v>
      </c>
    </row>
    <row r="1203" spans="1:2" x14ac:dyDescent="0.25">
      <c r="A1203" s="29" t="s">
        <v>141</v>
      </c>
      <c r="B1203" s="29" t="s">
        <v>902</v>
      </c>
    </row>
    <row r="1204" spans="1:2" x14ac:dyDescent="0.25">
      <c r="A1204" s="29" t="s">
        <v>1527</v>
      </c>
      <c r="B1204" t="s">
        <v>902</v>
      </c>
    </row>
    <row r="1205" spans="1:2" x14ac:dyDescent="0.25">
      <c r="A1205" s="29" t="s">
        <v>1528</v>
      </c>
      <c r="B1205" t="s">
        <v>1529</v>
      </c>
    </row>
    <row r="1206" spans="1:2" x14ac:dyDescent="0.25">
      <c r="A1206" t="s">
        <v>1869</v>
      </c>
      <c r="B1206" s="32" t="s">
        <v>1870</v>
      </c>
    </row>
    <row r="1207" spans="1:2" x14ac:dyDescent="0.25">
      <c r="A1207" s="29" t="s">
        <v>2060</v>
      </c>
      <c r="B1207" s="29" t="s">
        <v>2061</v>
      </c>
    </row>
    <row r="1208" spans="1:2" x14ac:dyDescent="0.25">
      <c r="A1208" s="29" t="s">
        <v>2062</v>
      </c>
      <c r="B1208" s="29" t="s">
        <v>2061</v>
      </c>
    </row>
    <row r="1209" spans="1:2" x14ac:dyDescent="0.25">
      <c r="A1209" s="31" t="s">
        <v>3466</v>
      </c>
      <c r="B1209" s="31" t="s">
        <v>3521</v>
      </c>
    </row>
    <row r="1210" spans="1:2" x14ac:dyDescent="0.25">
      <c r="A1210" t="s">
        <v>1871</v>
      </c>
      <c r="B1210" s="32" t="s">
        <v>1872</v>
      </c>
    </row>
    <row r="1211" spans="1:2" x14ac:dyDescent="0.25">
      <c r="A1211" s="31" t="s">
        <v>2537</v>
      </c>
      <c r="B1211" s="31" t="s">
        <v>2593</v>
      </c>
    </row>
    <row r="1212" spans="1:2" x14ac:dyDescent="0.25">
      <c r="A1212" s="29" t="s">
        <v>954</v>
      </c>
      <c r="B1212" s="29" t="s">
        <v>955</v>
      </c>
    </row>
    <row r="1213" spans="1:2" x14ac:dyDescent="0.25">
      <c r="A1213" s="29" t="s">
        <v>2322</v>
      </c>
      <c r="B1213" s="29" t="s">
        <v>2323</v>
      </c>
    </row>
    <row r="1214" spans="1:2" x14ac:dyDescent="0.25">
      <c r="A1214" s="29" t="s">
        <v>956</v>
      </c>
      <c r="B1214" s="29" t="s">
        <v>957</v>
      </c>
    </row>
    <row r="1215" spans="1:2" x14ac:dyDescent="0.25">
      <c r="A1215" s="31" t="s">
        <v>2915</v>
      </c>
      <c r="B1215" s="31" t="s">
        <v>2915</v>
      </c>
    </row>
    <row r="1216" spans="1:2" x14ac:dyDescent="0.25">
      <c r="A1216" t="s">
        <v>1873</v>
      </c>
      <c r="B1216" s="32" t="s">
        <v>1874</v>
      </c>
    </row>
    <row r="1217" spans="1:2" x14ac:dyDescent="0.25">
      <c r="A1217" s="31" t="s">
        <v>4041</v>
      </c>
      <c r="B1217" s="31" t="s">
        <v>4440</v>
      </c>
    </row>
    <row r="1218" spans="1:2" x14ac:dyDescent="0.25">
      <c r="A1218" s="31" t="s">
        <v>3552</v>
      </c>
      <c r="B1218" s="31" t="s">
        <v>3552</v>
      </c>
    </row>
    <row r="1219" spans="1:2" x14ac:dyDescent="0.25">
      <c r="A1219" s="31" t="s">
        <v>3588</v>
      </c>
      <c r="B1219" s="31" t="s">
        <v>3629</v>
      </c>
    </row>
    <row r="1220" spans="1:2" x14ac:dyDescent="0.25">
      <c r="A1220" s="29" t="s">
        <v>958</v>
      </c>
      <c r="B1220" s="29" t="s">
        <v>959</v>
      </c>
    </row>
    <row r="1221" spans="1:2" x14ac:dyDescent="0.25">
      <c r="A1221" s="31" t="s">
        <v>2535</v>
      </c>
      <c r="B1221" s="31" t="s">
        <v>2594</v>
      </c>
    </row>
    <row r="1222" spans="1:2" x14ac:dyDescent="0.25">
      <c r="A1222" s="29" t="s">
        <v>1530</v>
      </c>
      <c r="B1222" t="s">
        <v>1531</v>
      </c>
    </row>
    <row r="1223" spans="1:2" x14ac:dyDescent="0.25">
      <c r="A1223" s="29" t="s">
        <v>960</v>
      </c>
      <c r="B1223" s="29" t="s">
        <v>961</v>
      </c>
    </row>
    <row r="1224" spans="1:2" x14ac:dyDescent="0.25">
      <c r="A1224" s="29" t="s">
        <v>962</v>
      </c>
      <c r="B1224" s="29" t="s">
        <v>963</v>
      </c>
    </row>
    <row r="1225" spans="1:2" x14ac:dyDescent="0.25">
      <c r="A1225" s="31" t="s">
        <v>4441</v>
      </c>
      <c r="B1225" s="31" t="s">
        <v>4442</v>
      </c>
    </row>
    <row r="1226" spans="1:2" x14ac:dyDescent="0.25">
      <c r="A1226" s="31" t="s">
        <v>4443</v>
      </c>
      <c r="B1226" s="31" t="s">
        <v>4444</v>
      </c>
    </row>
    <row r="1227" spans="1:2" x14ac:dyDescent="0.25">
      <c r="A1227" s="31" t="s">
        <v>3124</v>
      </c>
      <c r="B1227" s="31" t="s">
        <v>1533</v>
      </c>
    </row>
    <row r="1228" spans="1:2" x14ac:dyDescent="0.25">
      <c r="A1228" s="29" t="s">
        <v>2168</v>
      </c>
      <c r="B1228" s="29" t="s">
        <v>1533</v>
      </c>
    </row>
    <row r="1229" spans="1:2" x14ac:dyDescent="0.25">
      <c r="A1229" s="29" t="s">
        <v>1532</v>
      </c>
      <c r="B1229" t="s">
        <v>1533</v>
      </c>
    </row>
    <row r="1230" spans="1:2" x14ac:dyDescent="0.25">
      <c r="A1230" s="31" t="s">
        <v>2914</v>
      </c>
      <c r="B1230" s="31" t="s">
        <v>3002</v>
      </c>
    </row>
    <row r="1231" spans="1:2" x14ac:dyDescent="0.25">
      <c r="A1231" s="29" t="s">
        <v>2359</v>
      </c>
      <c r="B1231" s="29" t="s">
        <v>2360</v>
      </c>
    </row>
    <row r="1232" spans="1:2" x14ac:dyDescent="0.25">
      <c r="A1232" s="29" t="s">
        <v>964</v>
      </c>
      <c r="B1232" s="29" t="s">
        <v>965</v>
      </c>
    </row>
    <row r="1233" spans="1:2" x14ac:dyDescent="0.25">
      <c r="A1233" s="31" t="s">
        <v>3609</v>
      </c>
      <c r="B1233" s="31" t="s">
        <v>3630</v>
      </c>
    </row>
    <row r="1234" spans="1:2" x14ac:dyDescent="0.25">
      <c r="A1234" s="29" t="s">
        <v>2415</v>
      </c>
      <c r="B1234" s="29" t="s">
        <v>2416</v>
      </c>
    </row>
    <row r="1235" spans="1:2" x14ac:dyDescent="0.25">
      <c r="A1235" s="31" t="s">
        <v>3110</v>
      </c>
      <c r="B1235" s="31" t="s">
        <v>3111</v>
      </c>
    </row>
    <row r="1236" spans="1:2" x14ac:dyDescent="0.25">
      <c r="A1236" s="31" t="s">
        <v>3153</v>
      </c>
      <c r="B1236" s="31" t="s">
        <v>3211</v>
      </c>
    </row>
    <row r="1237" spans="1:2" x14ac:dyDescent="0.25">
      <c r="A1237" s="29" t="s">
        <v>2078</v>
      </c>
      <c r="B1237" s="29" t="s">
        <v>2079</v>
      </c>
    </row>
    <row r="1238" spans="1:2" x14ac:dyDescent="0.25">
      <c r="A1238" s="29" t="s">
        <v>2188</v>
      </c>
      <c r="B1238" s="29" t="s">
        <v>2189</v>
      </c>
    </row>
    <row r="1239" spans="1:2" x14ac:dyDescent="0.25">
      <c r="A1239" s="29" t="s">
        <v>966</v>
      </c>
      <c r="B1239" s="29" t="s">
        <v>967</v>
      </c>
    </row>
    <row r="1240" spans="1:2" x14ac:dyDescent="0.25">
      <c r="A1240" s="29" t="s">
        <v>968</v>
      </c>
      <c r="B1240" s="29" t="s">
        <v>967</v>
      </c>
    </row>
    <row r="1241" spans="1:2" x14ac:dyDescent="0.25">
      <c r="A1241" s="31" t="s">
        <v>3239</v>
      </c>
      <c r="B1241" s="31" t="s">
        <v>3303</v>
      </c>
    </row>
    <row r="1242" spans="1:2" x14ac:dyDescent="0.25">
      <c r="A1242" s="29" t="s">
        <v>1677</v>
      </c>
      <c r="B1242" s="29" t="s">
        <v>1991</v>
      </c>
    </row>
    <row r="1243" spans="1:2" x14ac:dyDescent="0.25">
      <c r="A1243" s="31" t="s">
        <v>2929</v>
      </c>
      <c r="B1243" s="31" t="s">
        <v>3003</v>
      </c>
    </row>
    <row r="1244" spans="1:2" x14ac:dyDescent="0.25">
      <c r="A1244" s="29" t="s">
        <v>969</v>
      </c>
      <c r="B1244" s="29" t="s">
        <v>970</v>
      </c>
    </row>
    <row r="1245" spans="1:2" x14ac:dyDescent="0.25">
      <c r="A1245" s="31" t="s">
        <v>2661</v>
      </c>
      <c r="B1245" s="31" t="s">
        <v>2787</v>
      </c>
    </row>
    <row r="1246" spans="1:2" x14ac:dyDescent="0.25">
      <c r="A1246" s="29" t="s">
        <v>1638</v>
      </c>
      <c r="B1246" s="29" t="s">
        <v>1990</v>
      </c>
    </row>
    <row r="1247" spans="1:2" x14ac:dyDescent="0.25">
      <c r="A1247" s="31" t="s">
        <v>3768</v>
      </c>
      <c r="B1247" s="31" t="s">
        <v>3769</v>
      </c>
    </row>
    <row r="1248" spans="1:2" x14ac:dyDescent="0.25">
      <c r="A1248" s="31" t="s">
        <v>3495</v>
      </c>
      <c r="B1248" s="31" t="s">
        <v>3522</v>
      </c>
    </row>
    <row r="1249" spans="1:2" x14ac:dyDescent="0.25">
      <c r="A1249" s="31" t="s">
        <v>3770</v>
      </c>
      <c r="B1249" s="31" t="s">
        <v>3771</v>
      </c>
    </row>
    <row r="1250" spans="1:2" x14ac:dyDescent="0.25">
      <c r="A1250" s="29" t="s">
        <v>2196</v>
      </c>
      <c r="B1250" s="29" t="s">
        <v>2197</v>
      </c>
    </row>
    <row r="1251" spans="1:2" x14ac:dyDescent="0.25">
      <c r="A1251" s="31" t="s">
        <v>3397</v>
      </c>
      <c r="B1251" s="31" t="s">
        <v>3398</v>
      </c>
    </row>
    <row r="1252" spans="1:2" x14ac:dyDescent="0.25">
      <c r="A1252" s="31" t="s">
        <v>3163</v>
      </c>
      <c r="B1252" s="31" t="s">
        <v>3212</v>
      </c>
    </row>
    <row r="1253" spans="1:2" x14ac:dyDescent="0.25">
      <c r="A1253" s="29" t="s">
        <v>2312</v>
      </c>
      <c r="B1253" s="29" t="s">
        <v>2313</v>
      </c>
    </row>
    <row r="1254" spans="1:2" x14ac:dyDescent="0.25">
      <c r="A1254" s="29" t="s">
        <v>2276</v>
      </c>
      <c r="B1254" s="29" t="s">
        <v>2277</v>
      </c>
    </row>
    <row r="1255" spans="1:2" x14ac:dyDescent="0.25">
      <c r="A1255" t="s">
        <v>1875</v>
      </c>
      <c r="B1255" s="32" t="s">
        <v>1876</v>
      </c>
    </row>
    <row r="1256" spans="1:2" x14ac:dyDescent="0.25">
      <c r="A1256" s="31" t="s">
        <v>2527</v>
      </c>
      <c r="B1256" s="31" t="s">
        <v>2595</v>
      </c>
    </row>
    <row r="1257" spans="1:2" x14ac:dyDescent="0.25">
      <c r="A1257" s="29" t="s">
        <v>1534</v>
      </c>
      <c r="B1257" t="s">
        <v>1535</v>
      </c>
    </row>
    <row r="1258" spans="1:2" x14ac:dyDescent="0.25">
      <c r="A1258" s="29" t="s">
        <v>147</v>
      </c>
      <c r="B1258" s="29" t="s">
        <v>953</v>
      </c>
    </row>
    <row r="1259" spans="1:2" x14ac:dyDescent="0.25">
      <c r="A1259" s="31" t="s">
        <v>3563</v>
      </c>
      <c r="B1259" s="31" t="s">
        <v>3575</v>
      </c>
    </row>
    <row r="1260" spans="1:2" x14ac:dyDescent="0.25">
      <c r="A1260" s="31" t="s">
        <v>3399</v>
      </c>
      <c r="B1260" s="31" t="s">
        <v>3400</v>
      </c>
    </row>
    <row r="1261" spans="1:2" x14ac:dyDescent="0.25">
      <c r="A1261" s="31" t="s">
        <v>3401</v>
      </c>
      <c r="B1261" s="31" t="s">
        <v>3400</v>
      </c>
    </row>
    <row r="1262" spans="1:2" x14ac:dyDescent="0.25">
      <c r="A1262" s="31" t="s">
        <v>4445</v>
      </c>
      <c r="B1262" s="31" t="s">
        <v>4446</v>
      </c>
    </row>
    <row r="1263" spans="1:2" x14ac:dyDescent="0.25">
      <c r="A1263" s="31" t="s">
        <v>3772</v>
      </c>
      <c r="B1263" s="31" t="s">
        <v>3773</v>
      </c>
    </row>
    <row r="1264" spans="1:2" x14ac:dyDescent="0.25">
      <c r="A1264" t="s">
        <v>1356</v>
      </c>
      <c r="B1264" t="s">
        <v>1357</v>
      </c>
    </row>
    <row r="1265" spans="1:2" x14ac:dyDescent="0.25">
      <c r="A1265" s="31" t="s">
        <v>3402</v>
      </c>
      <c r="B1265" s="31" t="s">
        <v>3403</v>
      </c>
    </row>
    <row r="1266" spans="1:2" x14ac:dyDescent="0.25">
      <c r="A1266" t="s">
        <v>1877</v>
      </c>
      <c r="B1266" s="32" t="s">
        <v>1878</v>
      </c>
    </row>
    <row r="1267" spans="1:2" x14ac:dyDescent="0.25">
      <c r="A1267" s="31" t="s">
        <v>3643</v>
      </c>
      <c r="B1267" s="31" t="s">
        <v>3774</v>
      </c>
    </row>
    <row r="1268" spans="1:2" x14ac:dyDescent="0.25">
      <c r="A1268" t="s">
        <v>1879</v>
      </c>
      <c r="B1268" s="32" t="s">
        <v>1880</v>
      </c>
    </row>
    <row r="1269" spans="1:2" x14ac:dyDescent="0.25">
      <c r="A1269" s="31" t="s">
        <v>3469</v>
      </c>
      <c r="B1269" s="31" t="s">
        <v>3523</v>
      </c>
    </row>
    <row r="1270" spans="1:2" x14ac:dyDescent="0.25">
      <c r="A1270" s="29" t="s">
        <v>1536</v>
      </c>
      <c r="B1270" t="s">
        <v>1537</v>
      </c>
    </row>
    <row r="1271" spans="1:2" x14ac:dyDescent="0.25">
      <c r="A1271" s="29" t="s">
        <v>974</v>
      </c>
      <c r="B1271" s="29" t="s">
        <v>975</v>
      </c>
    </row>
    <row r="1272" spans="1:2" x14ac:dyDescent="0.25">
      <c r="A1272" s="29" t="s">
        <v>1705</v>
      </c>
      <c r="B1272" s="29" t="s">
        <v>1989</v>
      </c>
    </row>
    <row r="1273" spans="1:2" x14ac:dyDescent="0.25">
      <c r="A1273" s="29" t="s">
        <v>976</v>
      </c>
      <c r="B1273" s="29" t="s">
        <v>977</v>
      </c>
    </row>
    <row r="1274" spans="1:2" x14ac:dyDescent="0.25">
      <c r="A1274" s="29" t="s">
        <v>978</v>
      </c>
      <c r="B1274" s="29" t="s">
        <v>979</v>
      </c>
    </row>
    <row r="1275" spans="1:2" x14ac:dyDescent="0.25">
      <c r="A1275" s="29" t="s">
        <v>173</v>
      </c>
      <c r="B1275" s="29" t="s">
        <v>979</v>
      </c>
    </row>
    <row r="1276" spans="1:2" x14ac:dyDescent="0.25">
      <c r="A1276" s="29" t="s">
        <v>980</v>
      </c>
      <c r="B1276" s="29" t="s">
        <v>979</v>
      </c>
    </row>
    <row r="1277" spans="1:2" x14ac:dyDescent="0.25">
      <c r="A1277" s="29" t="s">
        <v>88</v>
      </c>
      <c r="B1277" s="29" t="s">
        <v>979</v>
      </c>
    </row>
    <row r="1278" spans="1:2" x14ac:dyDescent="0.25">
      <c r="A1278" s="29" t="s">
        <v>981</v>
      </c>
      <c r="B1278" s="29" t="s">
        <v>982</v>
      </c>
    </row>
    <row r="1279" spans="1:2" x14ac:dyDescent="0.25">
      <c r="A1279" s="29" t="s">
        <v>2127</v>
      </c>
      <c r="B1279" s="29" t="s">
        <v>2128</v>
      </c>
    </row>
    <row r="1280" spans="1:2" x14ac:dyDescent="0.25">
      <c r="A1280" s="29" t="s">
        <v>1709</v>
      </c>
      <c r="B1280" s="29" t="s">
        <v>1988</v>
      </c>
    </row>
    <row r="1281" spans="1:2" x14ac:dyDescent="0.25">
      <c r="A1281" s="29" t="s">
        <v>983</v>
      </c>
      <c r="B1281" s="29" t="s">
        <v>984</v>
      </c>
    </row>
    <row r="1282" spans="1:2" x14ac:dyDescent="0.25">
      <c r="A1282" s="31" t="s">
        <v>3404</v>
      </c>
      <c r="B1282" s="31" t="s">
        <v>3405</v>
      </c>
    </row>
    <row r="1283" spans="1:2" x14ac:dyDescent="0.25">
      <c r="A1283" s="31" t="s">
        <v>4447</v>
      </c>
      <c r="B1283" s="31" t="s">
        <v>4448</v>
      </c>
    </row>
    <row r="1284" spans="1:2" x14ac:dyDescent="0.25">
      <c r="A1284" s="31" t="s">
        <v>3242</v>
      </c>
      <c r="B1284" s="31" t="s">
        <v>3304</v>
      </c>
    </row>
    <row r="1285" spans="1:2" x14ac:dyDescent="0.25">
      <c r="A1285" s="29" t="s">
        <v>985</v>
      </c>
      <c r="B1285" s="29" t="s">
        <v>986</v>
      </c>
    </row>
    <row r="1286" spans="1:2" x14ac:dyDescent="0.25">
      <c r="A1286" s="29" t="s">
        <v>1701</v>
      </c>
      <c r="B1286" s="29" t="s">
        <v>1987</v>
      </c>
    </row>
    <row r="1287" spans="1:2" x14ac:dyDescent="0.25">
      <c r="A1287" s="29" t="s">
        <v>987</v>
      </c>
      <c r="B1287" s="29" t="s">
        <v>988</v>
      </c>
    </row>
    <row r="1288" spans="1:2" x14ac:dyDescent="0.25">
      <c r="A1288" s="31" t="s">
        <v>3547</v>
      </c>
      <c r="B1288" s="31" t="s">
        <v>3576</v>
      </c>
    </row>
    <row r="1289" spans="1:2" x14ac:dyDescent="0.25">
      <c r="A1289" s="31" t="s">
        <v>2650</v>
      </c>
      <c r="B1289" s="31" t="s">
        <v>2788</v>
      </c>
    </row>
    <row r="1290" spans="1:2" x14ac:dyDescent="0.25">
      <c r="A1290" s="31" t="s">
        <v>3133</v>
      </c>
      <c r="B1290" s="31" t="s">
        <v>3213</v>
      </c>
    </row>
    <row r="1291" spans="1:2" x14ac:dyDescent="0.25">
      <c r="A1291" s="31" t="s">
        <v>3406</v>
      </c>
      <c r="B1291" s="31" t="s">
        <v>3407</v>
      </c>
    </row>
    <row r="1292" spans="1:2" x14ac:dyDescent="0.25">
      <c r="A1292" t="s">
        <v>1358</v>
      </c>
      <c r="B1292" t="s">
        <v>1359</v>
      </c>
    </row>
    <row r="1293" spans="1:2" x14ac:dyDescent="0.25">
      <c r="A1293" s="33" t="s">
        <v>3046</v>
      </c>
      <c r="B1293" s="33" t="s">
        <v>3075</v>
      </c>
    </row>
    <row r="1294" spans="1:2" x14ac:dyDescent="0.25">
      <c r="A1294" t="s">
        <v>1881</v>
      </c>
      <c r="B1294" s="32" t="s">
        <v>1882</v>
      </c>
    </row>
    <row r="1295" spans="1:2" x14ac:dyDescent="0.25">
      <c r="A1295" s="31" t="s">
        <v>2942</v>
      </c>
      <c r="B1295" s="31" t="s">
        <v>3004</v>
      </c>
    </row>
    <row r="1296" spans="1:2" x14ac:dyDescent="0.25">
      <c r="A1296" s="31" t="s">
        <v>3775</v>
      </c>
      <c r="B1296" s="31" t="s">
        <v>3776</v>
      </c>
    </row>
    <row r="1297" spans="1:2" x14ac:dyDescent="0.25">
      <c r="A1297" s="29" t="s">
        <v>990</v>
      </c>
      <c r="B1297" s="29" t="s">
        <v>991</v>
      </c>
    </row>
    <row r="1298" spans="1:2" x14ac:dyDescent="0.25">
      <c r="A1298" s="29" t="s">
        <v>1538</v>
      </c>
      <c r="B1298" t="s">
        <v>1539</v>
      </c>
    </row>
    <row r="1299" spans="1:2" x14ac:dyDescent="0.25">
      <c r="A1299" s="29" t="s">
        <v>1540</v>
      </c>
      <c r="B1299" t="s">
        <v>1541</v>
      </c>
    </row>
    <row r="1300" spans="1:2" x14ac:dyDescent="0.25">
      <c r="A1300" s="31" t="s">
        <v>3467</v>
      </c>
      <c r="B1300" s="31" t="s">
        <v>3524</v>
      </c>
    </row>
    <row r="1301" spans="1:2" x14ac:dyDescent="0.25">
      <c r="A1301" s="31" t="s">
        <v>4449</v>
      </c>
      <c r="B1301" s="31" t="s">
        <v>3202</v>
      </c>
    </row>
    <row r="1302" spans="1:2" x14ac:dyDescent="0.25">
      <c r="A1302" s="29" t="s">
        <v>128</v>
      </c>
      <c r="B1302" s="29" t="s">
        <v>995</v>
      </c>
    </row>
    <row r="1303" spans="1:2" x14ac:dyDescent="0.25">
      <c r="A1303" s="31" t="s">
        <v>3557</v>
      </c>
      <c r="B1303" s="31" t="s">
        <v>3577</v>
      </c>
    </row>
    <row r="1304" spans="1:2" x14ac:dyDescent="0.25">
      <c r="A1304" s="31" t="s">
        <v>2789</v>
      </c>
      <c r="B1304" s="31" t="s">
        <v>2790</v>
      </c>
    </row>
    <row r="1305" spans="1:2" x14ac:dyDescent="0.25">
      <c r="A1305" s="31" t="s">
        <v>3261</v>
      </c>
      <c r="B1305" s="31" t="s">
        <v>3305</v>
      </c>
    </row>
    <row r="1306" spans="1:2" x14ac:dyDescent="0.25">
      <c r="A1306" s="29" t="s">
        <v>947</v>
      </c>
      <c r="B1306" s="29" t="s">
        <v>948</v>
      </c>
    </row>
    <row r="1307" spans="1:2" x14ac:dyDescent="0.25">
      <c r="A1307" s="31" t="s">
        <v>2649</v>
      </c>
      <c r="B1307" s="31" t="s">
        <v>2791</v>
      </c>
    </row>
    <row r="1308" spans="1:2" x14ac:dyDescent="0.25">
      <c r="A1308" s="31" t="s">
        <v>3545</v>
      </c>
      <c r="B1308" s="31" t="s">
        <v>3578</v>
      </c>
    </row>
    <row r="1309" spans="1:2" x14ac:dyDescent="0.25">
      <c r="A1309" s="31" t="s">
        <v>2552</v>
      </c>
      <c r="B1309" s="31" t="s">
        <v>992</v>
      </c>
    </row>
    <row r="1310" spans="1:2" x14ac:dyDescent="0.25">
      <c r="A1310" s="29" t="s">
        <v>69</v>
      </c>
      <c r="B1310" s="29" t="s">
        <v>992</v>
      </c>
    </row>
    <row r="1311" spans="1:2" x14ac:dyDescent="0.25">
      <c r="A1311" s="31" t="s">
        <v>3238</v>
      </c>
      <c r="B1311" s="31" t="s">
        <v>992</v>
      </c>
    </row>
    <row r="1312" spans="1:2" x14ac:dyDescent="0.25">
      <c r="A1312" s="31" t="s">
        <v>2943</v>
      </c>
      <c r="B1312" s="31" t="s">
        <v>992</v>
      </c>
    </row>
    <row r="1313" spans="1:2" x14ac:dyDescent="0.25">
      <c r="A1313" s="31" t="s">
        <v>3891</v>
      </c>
      <c r="B1313" s="31" t="s">
        <v>3214</v>
      </c>
    </row>
    <row r="1314" spans="1:2" x14ac:dyDescent="0.25">
      <c r="A1314" s="31" t="s">
        <v>3488</v>
      </c>
      <c r="B1314" s="31" t="s">
        <v>3214</v>
      </c>
    </row>
    <row r="1315" spans="1:2" x14ac:dyDescent="0.25">
      <c r="A1315" s="31" t="s">
        <v>3159</v>
      </c>
      <c r="B1315" s="31" t="s">
        <v>3214</v>
      </c>
    </row>
    <row r="1316" spans="1:2" x14ac:dyDescent="0.25">
      <c r="A1316" s="31" t="s">
        <v>2541</v>
      </c>
      <c r="B1316" s="31" t="s">
        <v>2596</v>
      </c>
    </row>
    <row r="1317" spans="1:2" x14ac:dyDescent="0.25">
      <c r="A1317" t="s">
        <v>1883</v>
      </c>
      <c r="B1317" s="32" t="s">
        <v>1884</v>
      </c>
    </row>
    <row r="1318" spans="1:2" x14ac:dyDescent="0.25">
      <c r="A1318" s="29" t="s">
        <v>2220</v>
      </c>
      <c r="B1318" s="29" t="s">
        <v>2221</v>
      </c>
    </row>
    <row r="1319" spans="1:2" x14ac:dyDescent="0.25">
      <c r="A1319" s="31" t="s">
        <v>3047</v>
      </c>
      <c r="B1319" s="31" t="s">
        <v>2793</v>
      </c>
    </row>
    <row r="1320" spans="1:2" x14ac:dyDescent="0.25">
      <c r="A1320" s="31" t="s">
        <v>2792</v>
      </c>
      <c r="B1320" s="31" t="s">
        <v>2793</v>
      </c>
    </row>
    <row r="1321" spans="1:2" x14ac:dyDescent="0.25">
      <c r="A1321" s="29" t="s">
        <v>2190</v>
      </c>
      <c r="B1321" s="29" t="s">
        <v>2191</v>
      </c>
    </row>
    <row r="1322" spans="1:2" x14ac:dyDescent="0.25">
      <c r="A1322" s="31" t="s">
        <v>3259</v>
      </c>
      <c r="B1322" s="31" t="s">
        <v>3306</v>
      </c>
    </row>
    <row r="1323" spans="1:2" x14ac:dyDescent="0.25">
      <c r="A1323" s="29" t="s">
        <v>2386</v>
      </c>
      <c r="B1323" s="29" t="s">
        <v>2387</v>
      </c>
    </row>
    <row r="1324" spans="1:2" x14ac:dyDescent="0.25">
      <c r="A1324" s="29" t="s">
        <v>99</v>
      </c>
      <c r="B1324" s="29" t="s">
        <v>996</v>
      </c>
    </row>
    <row r="1325" spans="1:2" x14ac:dyDescent="0.25">
      <c r="A1325" s="31" t="s">
        <v>3164</v>
      </c>
      <c r="B1325" s="31" t="s">
        <v>3215</v>
      </c>
    </row>
    <row r="1326" spans="1:2" x14ac:dyDescent="0.25">
      <c r="A1326" s="31" t="s">
        <v>2947</v>
      </c>
      <c r="B1326" s="31" t="s">
        <v>3005</v>
      </c>
    </row>
    <row r="1327" spans="1:2" x14ac:dyDescent="0.25">
      <c r="A1327" s="29" t="s">
        <v>1542</v>
      </c>
      <c r="B1327" t="s">
        <v>1543</v>
      </c>
    </row>
    <row r="1328" spans="1:2" x14ac:dyDescent="0.25">
      <c r="A1328" t="s">
        <v>1885</v>
      </c>
      <c r="B1328" s="32" t="s">
        <v>1886</v>
      </c>
    </row>
    <row r="1329" spans="1:2" x14ac:dyDescent="0.25">
      <c r="A1329" s="29" t="s">
        <v>2271</v>
      </c>
      <c r="B1329" s="29" t="s">
        <v>1986</v>
      </c>
    </row>
    <row r="1330" spans="1:2" x14ac:dyDescent="0.25">
      <c r="A1330" s="29" t="s">
        <v>1699</v>
      </c>
      <c r="B1330" s="29" t="s">
        <v>1986</v>
      </c>
    </row>
    <row r="1331" spans="1:2" x14ac:dyDescent="0.25">
      <c r="A1331" s="31" t="s">
        <v>2880</v>
      </c>
      <c r="B1331" s="31" t="s">
        <v>3006</v>
      </c>
    </row>
    <row r="1332" spans="1:2" x14ac:dyDescent="0.25">
      <c r="A1332" s="29" t="s">
        <v>2460</v>
      </c>
      <c r="B1332" s="29" t="s">
        <v>2498</v>
      </c>
    </row>
    <row r="1333" spans="1:2" x14ac:dyDescent="0.25">
      <c r="A1333" s="31" t="s">
        <v>2905</v>
      </c>
      <c r="B1333" s="31" t="s">
        <v>3007</v>
      </c>
    </row>
    <row r="1334" spans="1:2" x14ac:dyDescent="0.25">
      <c r="A1334" s="29" t="s">
        <v>2425</v>
      </c>
      <c r="B1334" s="29" t="s">
        <v>2426</v>
      </c>
    </row>
    <row r="1335" spans="1:2" x14ac:dyDescent="0.25">
      <c r="A1335" s="31" t="s">
        <v>3550</v>
      </c>
      <c r="B1335" s="31" t="s">
        <v>3579</v>
      </c>
    </row>
    <row r="1336" spans="1:2" x14ac:dyDescent="0.25">
      <c r="A1336" s="29" t="s">
        <v>2137</v>
      </c>
      <c r="B1336" s="29" t="s">
        <v>2138</v>
      </c>
    </row>
    <row r="1337" spans="1:2" x14ac:dyDescent="0.25">
      <c r="A1337" s="29" t="s">
        <v>840</v>
      </c>
      <c r="B1337" s="29" t="s">
        <v>841</v>
      </c>
    </row>
    <row r="1338" spans="1:2" x14ac:dyDescent="0.25">
      <c r="A1338" s="31" t="s">
        <v>3777</v>
      </c>
      <c r="B1338" s="31" t="s">
        <v>3778</v>
      </c>
    </row>
    <row r="1339" spans="1:2" x14ac:dyDescent="0.25">
      <c r="A1339" s="31" t="s">
        <v>2530</v>
      </c>
      <c r="B1339" s="31" t="s">
        <v>2597</v>
      </c>
    </row>
    <row r="1340" spans="1:2" x14ac:dyDescent="0.25">
      <c r="A1340" s="29" t="s">
        <v>142</v>
      </c>
      <c r="B1340" s="29" t="s">
        <v>997</v>
      </c>
    </row>
    <row r="1341" spans="1:2" x14ac:dyDescent="0.25">
      <c r="A1341" s="31" t="s">
        <v>2794</v>
      </c>
      <c r="B1341" s="31" t="s">
        <v>2795</v>
      </c>
    </row>
    <row r="1342" spans="1:2" x14ac:dyDescent="0.25">
      <c r="A1342" s="31" t="s">
        <v>2796</v>
      </c>
      <c r="B1342" s="31" t="s">
        <v>2797</v>
      </c>
    </row>
    <row r="1343" spans="1:2" x14ac:dyDescent="0.25">
      <c r="A1343" s="31" t="s">
        <v>2637</v>
      </c>
      <c r="B1343" s="31" t="s">
        <v>2798</v>
      </c>
    </row>
    <row r="1344" spans="1:2" x14ac:dyDescent="0.25">
      <c r="A1344" s="31" t="s">
        <v>2891</v>
      </c>
      <c r="B1344" s="31" t="s">
        <v>3008</v>
      </c>
    </row>
    <row r="1345" spans="1:2" x14ac:dyDescent="0.25">
      <c r="A1345" s="31" t="s">
        <v>3648</v>
      </c>
      <c r="B1345" s="31" t="s">
        <v>3779</v>
      </c>
    </row>
    <row r="1346" spans="1:2" x14ac:dyDescent="0.25">
      <c r="A1346" s="29" t="s">
        <v>1544</v>
      </c>
      <c r="B1346" t="s">
        <v>1545</v>
      </c>
    </row>
    <row r="1347" spans="1:2" x14ac:dyDescent="0.25">
      <c r="A1347" s="31" t="s">
        <v>3475</v>
      </c>
      <c r="B1347" s="31" t="s">
        <v>3525</v>
      </c>
    </row>
    <row r="1348" spans="1:2" x14ac:dyDescent="0.25">
      <c r="A1348" s="29" t="s">
        <v>2208</v>
      </c>
      <c r="B1348" s="29" t="s">
        <v>2209</v>
      </c>
    </row>
    <row r="1349" spans="1:2" x14ac:dyDescent="0.25">
      <c r="A1349" s="29" t="s">
        <v>1891</v>
      </c>
      <c r="B1349" s="29" t="s">
        <v>1892</v>
      </c>
    </row>
    <row r="1350" spans="1:2" x14ac:dyDescent="0.25">
      <c r="A1350" s="31" t="s">
        <v>3556</v>
      </c>
      <c r="B1350" s="31" t="s">
        <v>3580</v>
      </c>
    </row>
    <row r="1351" spans="1:2" x14ac:dyDescent="0.25">
      <c r="A1351" s="31" t="s">
        <v>3546</v>
      </c>
      <c r="B1351" s="31" t="s">
        <v>3580</v>
      </c>
    </row>
    <row r="1352" spans="1:2" x14ac:dyDescent="0.25">
      <c r="A1352" s="31" t="s">
        <v>2646</v>
      </c>
      <c r="B1352" s="31" t="s">
        <v>2598</v>
      </c>
    </row>
    <row r="1353" spans="1:2" x14ac:dyDescent="0.25">
      <c r="A1353" s="31" t="s">
        <v>2565</v>
      </c>
      <c r="B1353" s="31" t="s">
        <v>2598</v>
      </c>
    </row>
    <row r="1354" spans="1:2" x14ac:dyDescent="0.25">
      <c r="A1354" s="29" t="s">
        <v>2147</v>
      </c>
      <c r="B1354" s="29" t="s">
        <v>2148</v>
      </c>
    </row>
    <row r="1355" spans="1:2" x14ac:dyDescent="0.25">
      <c r="A1355" s="31" t="s">
        <v>3650</v>
      </c>
      <c r="B1355" s="31" t="s">
        <v>3780</v>
      </c>
    </row>
    <row r="1356" spans="1:2" x14ac:dyDescent="0.25">
      <c r="A1356" s="29" t="s">
        <v>998</v>
      </c>
      <c r="B1356" s="29" t="s">
        <v>999</v>
      </c>
    </row>
    <row r="1357" spans="1:2" x14ac:dyDescent="0.25">
      <c r="A1357" s="31" t="s">
        <v>2663</v>
      </c>
      <c r="B1357" s="31" t="s">
        <v>2799</v>
      </c>
    </row>
    <row r="1358" spans="1:2" x14ac:dyDescent="0.25">
      <c r="A1358" s="31" t="s">
        <v>4047</v>
      </c>
      <c r="B1358" s="31" t="s">
        <v>4450</v>
      </c>
    </row>
    <row r="1359" spans="1:2" x14ac:dyDescent="0.25">
      <c r="A1359" s="31" t="s">
        <v>3112</v>
      </c>
      <c r="B1359" s="31" t="s">
        <v>3113</v>
      </c>
    </row>
    <row r="1360" spans="1:2" x14ac:dyDescent="0.25">
      <c r="A1360" s="31" t="s">
        <v>2566</v>
      </c>
      <c r="B1360" s="31" t="s">
        <v>2068</v>
      </c>
    </row>
    <row r="1361" spans="1:2" x14ac:dyDescent="0.25">
      <c r="A1361" s="29" t="s">
        <v>2067</v>
      </c>
      <c r="B1361" s="29" t="s">
        <v>2068</v>
      </c>
    </row>
    <row r="1362" spans="1:2" x14ac:dyDescent="0.25">
      <c r="A1362" s="31" t="s">
        <v>3051</v>
      </c>
      <c r="B1362" s="31" t="s">
        <v>2068</v>
      </c>
    </row>
    <row r="1363" spans="1:2" x14ac:dyDescent="0.25">
      <c r="A1363" t="s">
        <v>1784</v>
      </c>
      <c r="B1363" s="32" t="s">
        <v>1785</v>
      </c>
    </row>
    <row r="1364" spans="1:2" x14ac:dyDescent="0.25">
      <c r="A1364" s="31" t="s">
        <v>3141</v>
      </c>
      <c r="B1364" s="31" t="s">
        <v>3216</v>
      </c>
    </row>
    <row r="1365" spans="1:2" x14ac:dyDescent="0.25">
      <c r="A1365" s="29" t="s">
        <v>20</v>
      </c>
      <c r="B1365" s="29" t="s">
        <v>228</v>
      </c>
    </row>
    <row r="1366" spans="1:2" x14ac:dyDescent="0.25">
      <c r="A1366" s="31" t="s">
        <v>3465</v>
      </c>
      <c r="B1366" s="31" t="s">
        <v>3526</v>
      </c>
    </row>
    <row r="1367" spans="1:2" x14ac:dyDescent="0.25">
      <c r="A1367" s="31" t="s">
        <v>4218</v>
      </c>
      <c r="B1367" s="31" t="s">
        <v>4451</v>
      </c>
    </row>
    <row r="1368" spans="1:2" x14ac:dyDescent="0.25">
      <c r="A1368" s="29" t="s">
        <v>1674</v>
      </c>
      <c r="B1368" s="29" t="s">
        <v>1985</v>
      </c>
    </row>
    <row r="1369" spans="1:2" x14ac:dyDescent="0.25">
      <c r="A1369" s="31" t="s">
        <v>3177</v>
      </c>
      <c r="B1369" s="31" t="s">
        <v>3217</v>
      </c>
    </row>
    <row r="1370" spans="1:2" x14ac:dyDescent="0.25">
      <c r="A1370" t="s">
        <v>1360</v>
      </c>
      <c r="B1370" t="s">
        <v>1361</v>
      </c>
    </row>
    <row r="1371" spans="1:2" x14ac:dyDescent="0.25">
      <c r="A1371" s="31" t="s">
        <v>2543</v>
      </c>
      <c r="B1371" s="31" t="s">
        <v>2599</v>
      </c>
    </row>
    <row r="1372" spans="1:2" x14ac:dyDescent="0.25">
      <c r="A1372" s="29" t="s">
        <v>160</v>
      </c>
      <c r="B1372" s="29" t="s">
        <v>1001</v>
      </c>
    </row>
    <row r="1373" spans="1:2" x14ac:dyDescent="0.25">
      <c r="A1373" s="31" t="s">
        <v>3276</v>
      </c>
      <c r="B1373" s="31" t="s">
        <v>3307</v>
      </c>
    </row>
    <row r="1374" spans="1:2" x14ac:dyDescent="0.25">
      <c r="A1374" s="31" t="s">
        <v>3324</v>
      </c>
      <c r="B1374" s="31" t="s">
        <v>3408</v>
      </c>
    </row>
    <row r="1375" spans="1:2" x14ac:dyDescent="0.25">
      <c r="A1375" s="29" t="s">
        <v>2255</v>
      </c>
      <c r="B1375" s="29" t="s">
        <v>2256</v>
      </c>
    </row>
    <row r="1376" spans="1:2" x14ac:dyDescent="0.25">
      <c r="A1376" s="31" t="s">
        <v>3255</v>
      </c>
      <c r="B1376" s="31" t="s">
        <v>2980</v>
      </c>
    </row>
    <row r="1377" spans="1:2" x14ac:dyDescent="0.25">
      <c r="A1377" s="29" t="s">
        <v>2265</v>
      </c>
      <c r="B1377" s="29" t="s">
        <v>2266</v>
      </c>
    </row>
    <row r="1378" spans="1:2" x14ac:dyDescent="0.25">
      <c r="A1378" s="31" t="s">
        <v>3150</v>
      </c>
      <c r="B1378" s="31" t="s">
        <v>2370</v>
      </c>
    </row>
    <row r="1379" spans="1:2" x14ac:dyDescent="0.25">
      <c r="A1379" s="29" t="s">
        <v>2369</v>
      </c>
      <c r="B1379" s="29" t="s">
        <v>2370</v>
      </c>
    </row>
    <row r="1380" spans="1:2" x14ac:dyDescent="0.25">
      <c r="A1380" s="31" t="s">
        <v>3409</v>
      </c>
      <c r="B1380" s="31" t="s">
        <v>2370</v>
      </c>
    </row>
    <row r="1381" spans="1:2" x14ac:dyDescent="0.25">
      <c r="A1381" s="31" t="s">
        <v>3114</v>
      </c>
      <c r="B1381" s="31" t="s">
        <v>3115</v>
      </c>
    </row>
    <row r="1382" spans="1:2" x14ac:dyDescent="0.25">
      <c r="A1382" s="31" t="s">
        <v>4452</v>
      </c>
      <c r="B1382" s="31" t="s">
        <v>4453</v>
      </c>
    </row>
    <row r="1383" spans="1:2" x14ac:dyDescent="0.25">
      <c r="A1383" s="31" t="s">
        <v>3592</v>
      </c>
      <c r="B1383" s="31" t="s">
        <v>3631</v>
      </c>
    </row>
    <row r="1384" spans="1:2" x14ac:dyDescent="0.25">
      <c r="A1384" s="29" t="s">
        <v>2222</v>
      </c>
      <c r="B1384" s="29" t="s">
        <v>2223</v>
      </c>
    </row>
    <row r="1385" spans="1:2" x14ac:dyDescent="0.25">
      <c r="A1385" s="31" t="s">
        <v>2900</v>
      </c>
      <c r="B1385" s="31" t="s">
        <v>3009</v>
      </c>
    </row>
    <row r="1386" spans="1:2" x14ac:dyDescent="0.25">
      <c r="A1386" s="31" t="s">
        <v>2800</v>
      </c>
      <c r="B1386" s="31" t="s">
        <v>2801</v>
      </c>
    </row>
    <row r="1387" spans="1:2" x14ac:dyDescent="0.25">
      <c r="A1387" s="31" t="s">
        <v>2802</v>
      </c>
      <c r="B1387" s="31" t="s">
        <v>1005</v>
      </c>
    </row>
    <row r="1388" spans="1:2" x14ac:dyDescent="0.25">
      <c r="A1388" s="29" t="s">
        <v>1004</v>
      </c>
      <c r="B1388" s="29" t="s">
        <v>1005</v>
      </c>
    </row>
    <row r="1389" spans="1:2" x14ac:dyDescent="0.25">
      <c r="A1389" t="s">
        <v>1895</v>
      </c>
      <c r="B1389" s="32" t="s">
        <v>1896</v>
      </c>
    </row>
    <row r="1390" spans="1:2" x14ac:dyDescent="0.25">
      <c r="A1390" s="29" t="s">
        <v>2233</v>
      </c>
      <c r="B1390" s="29" t="s">
        <v>1005</v>
      </c>
    </row>
    <row r="1391" spans="1:2" x14ac:dyDescent="0.25">
      <c r="A1391" s="31" t="s">
        <v>2803</v>
      </c>
      <c r="B1391" s="31" t="s">
        <v>1005</v>
      </c>
    </row>
    <row r="1392" spans="1:2" x14ac:dyDescent="0.25">
      <c r="A1392" s="29" t="s">
        <v>199</v>
      </c>
      <c r="B1392" s="29" t="s">
        <v>1000</v>
      </c>
    </row>
    <row r="1393" spans="1:2" x14ac:dyDescent="0.25">
      <c r="A1393" s="31" t="s">
        <v>2804</v>
      </c>
      <c r="B1393" s="31" t="s">
        <v>2805</v>
      </c>
    </row>
    <row r="1394" spans="1:2" x14ac:dyDescent="0.25">
      <c r="A1394" s="31" t="s">
        <v>3610</v>
      </c>
      <c r="B1394" s="31" t="s">
        <v>3632</v>
      </c>
    </row>
    <row r="1395" spans="1:2" x14ac:dyDescent="0.25">
      <c r="A1395" s="31" t="s">
        <v>2925</v>
      </c>
      <c r="B1395" s="31" t="s">
        <v>3010</v>
      </c>
    </row>
    <row r="1396" spans="1:2" x14ac:dyDescent="0.25">
      <c r="A1396" s="29" t="s">
        <v>1661</v>
      </c>
      <c r="B1396" s="29" t="s">
        <v>1984</v>
      </c>
    </row>
    <row r="1397" spans="1:2" x14ac:dyDescent="0.25">
      <c r="A1397" s="31" t="s">
        <v>2916</v>
      </c>
      <c r="B1397" s="31" t="s">
        <v>3011</v>
      </c>
    </row>
    <row r="1398" spans="1:2" x14ac:dyDescent="0.25">
      <c r="A1398" s="31" t="s">
        <v>2917</v>
      </c>
      <c r="B1398" s="31" t="s">
        <v>3011</v>
      </c>
    </row>
    <row r="1399" spans="1:2" x14ac:dyDescent="0.25">
      <c r="A1399" s="29" t="s">
        <v>1006</v>
      </c>
      <c r="B1399" s="29" t="s">
        <v>1007</v>
      </c>
    </row>
    <row r="1400" spans="1:2" x14ac:dyDescent="0.25">
      <c r="A1400" s="29" t="s">
        <v>1008</v>
      </c>
      <c r="B1400" s="29" t="s">
        <v>1007</v>
      </c>
    </row>
    <row r="1401" spans="1:2" x14ac:dyDescent="0.25">
      <c r="A1401" s="29" t="s">
        <v>1009</v>
      </c>
      <c r="B1401" s="29" t="s">
        <v>1007</v>
      </c>
    </row>
    <row r="1402" spans="1:2" x14ac:dyDescent="0.25">
      <c r="A1402" s="31" t="s">
        <v>3269</v>
      </c>
      <c r="B1402" s="31" t="s">
        <v>3308</v>
      </c>
    </row>
    <row r="1403" spans="1:2" x14ac:dyDescent="0.25">
      <c r="A1403" s="29" t="s">
        <v>159</v>
      </c>
      <c r="B1403" s="29" t="s">
        <v>1010</v>
      </c>
    </row>
    <row r="1404" spans="1:2" x14ac:dyDescent="0.25">
      <c r="A1404" s="31" t="s">
        <v>3127</v>
      </c>
      <c r="B1404" s="31" t="s">
        <v>3218</v>
      </c>
    </row>
    <row r="1405" spans="1:2" x14ac:dyDescent="0.25">
      <c r="A1405" s="31" t="s">
        <v>2806</v>
      </c>
      <c r="B1405" s="31" t="s">
        <v>1012</v>
      </c>
    </row>
    <row r="1406" spans="1:2" x14ac:dyDescent="0.25">
      <c r="A1406" s="29" t="s">
        <v>1011</v>
      </c>
      <c r="B1406" s="29" t="s">
        <v>1012</v>
      </c>
    </row>
    <row r="1407" spans="1:2" x14ac:dyDescent="0.25">
      <c r="A1407" t="s">
        <v>1897</v>
      </c>
      <c r="B1407" s="32" t="s">
        <v>1012</v>
      </c>
    </row>
    <row r="1408" spans="1:2" x14ac:dyDescent="0.25">
      <c r="A1408" s="31" t="s">
        <v>2807</v>
      </c>
      <c r="B1408" s="31" t="s">
        <v>1015</v>
      </c>
    </row>
    <row r="1409" spans="1:2" x14ac:dyDescent="0.25">
      <c r="A1409" s="29" t="s">
        <v>220</v>
      </c>
      <c r="B1409" s="29" t="s">
        <v>1015</v>
      </c>
    </row>
    <row r="1410" spans="1:2" x14ac:dyDescent="0.25">
      <c r="A1410" s="31" t="s">
        <v>2808</v>
      </c>
      <c r="B1410" s="31" t="s">
        <v>1015</v>
      </c>
    </row>
    <row r="1411" spans="1:2" x14ac:dyDescent="0.25">
      <c r="A1411" s="29" t="s">
        <v>2049</v>
      </c>
      <c r="B1411" s="29" t="s">
        <v>2050</v>
      </c>
    </row>
    <row r="1412" spans="1:2" x14ac:dyDescent="0.25">
      <c r="A1412" s="31" t="s">
        <v>2809</v>
      </c>
      <c r="B1412" s="31" t="s">
        <v>2810</v>
      </c>
    </row>
    <row r="1413" spans="1:2" x14ac:dyDescent="0.25">
      <c r="A1413" s="31" t="s">
        <v>3453</v>
      </c>
      <c r="B1413" s="31" t="s">
        <v>3527</v>
      </c>
    </row>
    <row r="1414" spans="1:2" x14ac:dyDescent="0.25">
      <c r="A1414" t="s">
        <v>1362</v>
      </c>
      <c r="B1414" t="s">
        <v>1363</v>
      </c>
    </row>
    <row r="1415" spans="1:2" x14ac:dyDescent="0.25">
      <c r="A1415" s="29" t="s">
        <v>1017</v>
      </c>
      <c r="B1415" s="29" t="s">
        <v>1018</v>
      </c>
    </row>
    <row r="1416" spans="1:2" x14ac:dyDescent="0.25">
      <c r="A1416" s="29" t="s">
        <v>1546</v>
      </c>
      <c r="B1416" t="s">
        <v>1547</v>
      </c>
    </row>
    <row r="1417" spans="1:2" x14ac:dyDescent="0.25">
      <c r="A1417" s="31" t="s">
        <v>2616</v>
      </c>
      <c r="B1417" s="31" t="s">
        <v>2616</v>
      </c>
    </row>
    <row r="1418" spans="1:2" x14ac:dyDescent="0.25">
      <c r="A1418" s="29" t="s">
        <v>1020</v>
      </c>
      <c r="B1418" s="29" t="s">
        <v>1019</v>
      </c>
    </row>
    <row r="1419" spans="1:2" x14ac:dyDescent="0.25">
      <c r="A1419" s="29" t="s">
        <v>1021</v>
      </c>
      <c r="B1419" s="29" t="s">
        <v>1022</v>
      </c>
    </row>
    <row r="1420" spans="1:2" x14ac:dyDescent="0.25">
      <c r="A1420" s="29" t="s">
        <v>1023</v>
      </c>
      <c r="B1420" s="29" t="s">
        <v>1024</v>
      </c>
    </row>
    <row r="1421" spans="1:2" x14ac:dyDescent="0.25">
      <c r="A1421" s="29" t="s">
        <v>1025</v>
      </c>
      <c r="B1421" s="29" t="s">
        <v>1026</v>
      </c>
    </row>
    <row r="1422" spans="1:2" x14ac:dyDescent="0.25">
      <c r="A1422" t="s">
        <v>1364</v>
      </c>
      <c r="B1422" t="s">
        <v>1365</v>
      </c>
    </row>
    <row r="1423" spans="1:2" x14ac:dyDescent="0.25">
      <c r="A1423" s="29" t="s">
        <v>895</v>
      </c>
      <c r="B1423" s="29" t="s">
        <v>896</v>
      </c>
    </row>
    <row r="1424" spans="1:2" x14ac:dyDescent="0.25">
      <c r="A1424" t="s">
        <v>1366</v>
      </c>
      <c r="B1424" t="s">
        <v>1367</v>
      </c>
    </row>
    <row r="1425" spans="1:2" x14ac:dyDescent="0.25">
      <c r="A1425" t="s">
        <v>1898</v>
      </c>
      <c r="B1425" s="32" t="s">
        <v>1899</v>
      </c>
    </row>
    <row r="1426" spans="1:2" x14ac:dyDescent="0.25">
      <c r="A1426" s="31" t="s">
        <v>2562</v>
      </c>
      <c r="B1426" s="31" t="s">
        <v>2600</v>
      </c>
    </row>
    <row r="1427" spans="1:2" x14ac:dyDescent="0.25">
      <c r="A1427" s="31" t="s">
        <v>2674</v>
      </c>
      <c r="B1427" s="31" t="s">
        <v>2779</v>
      </c>
    </row>
    <row r="1428" spans="1:2" x14ac:dyDescent="0.25">
      <c r="A1428" s="29" t="s">
        <v>1029</v>
      </c>
      <c r="B1428" s="29" t="s">
        <v>1030</v>
      </c>
    </row>
    <row r="1429" spans="1:2" x14ac:dyDescent="0.25">
      <c r="A1429" s="31" t="s">
        <v>3781</v>
      </c>
      <c r="B1429" s="31" t="s">
        <v>3782</v>
      </c>
    </row>
    <row r="1430" spans="1:2" x14ac:dyDescent="0.25">
      <c r="A1430" s="29" t="s">
        <v>1031</v>
      </c>
      <c r="B1430" s="29" t="s">
        <v>1032</v>
      </c>
    </row>
    <row r="1431" spans="1:2" x14ac:dyDescent="0.25">
      <c r="A1431" s="31" t="s">
        <v>2654</v>
      </c>
      <c r="B1431" s="31" t="s">
        <v>2811</v>
      </c>
    </row>
    <row r="1432" spans="1:2" x14ac:dyDescent="0.25">
      <c r="A1432" s="31" t="s">
        <v>3052</v>
      </c>
      <c r="B1432" s="31" t="s">
        <v>3079</v>
      </c>
    </row>
    <row r="1433" spans="1:2" x14ac:dyDescent="0.25">
      <c r="A1433" s="29" t="s">
        <v>2054</v>
      </c>
      <c r="B1433" s="29" t="s">
        <v>2055</v>
      </c>
    </row>
    <row r="1434" spans="1:2" x14ac:dyDescent="0.25">
      <c r="A1434" s="31" t="s">
        <v>3151</v>
      </c>
      <c r="B1434" s="31" t="s">
        <v>3219</v>
      </c>
    </row>
    <row r="1435" spans="1:2" x14ac:dyDescent="0.25">
      <c r="A1435" s="29" t="s">
        <v>110</v>
      </c>
      <c r="B1435" s="29" t="s">
        <v>1033</v>
      </c>
    </row>
    <row r="1436" spans="1:2" x14ac:dyDescent="0.25">
      <c r="A1436" t="s">
        <v>1368</v>
      </c>
      <c r="B1436" t="s">
        <v>1369</v>
      </c>
    </row>
    <row r="1437" spans="1:2" x14ac:dyDescent="0.25">
      <c r="A1437" s="31" t="s">
        <v>2906</v>
      </c>
      <c r="B1437" s="31" t="s">
        <v>918</v>
      </c>
    </row>
    <row r="1438" spans="1:2" x14ac:dyDescent="0.25">
      <c r="A1438" s="29" t="s">
        <v>1211</v>
      </c>
      <c r="B1438" s="29" t="s">
        <v>1257</v>
      </c>
    </row>
    <row r="1439" spans="1:2" x14ac:dyDescent="0.25">
      <c r="A1439" s="31" t="s">
        <v>2812</v>
      </c>
      <c r="B1439" s="31" t="s">
        <v>1257</v>
      </c>
    </row>
    <row r="1440" spans="1:2" x14ac:dyDescent="0.25">
      <c r="A1440" s="31" t="s">
        <v>2813</v>
      </c>
      <c r="B1440" s="31" t="s">
        <v>2814</v>
      </c>
    </row>
    <row r="1441" spans="1:2" x14ac:dyDescent="0.25">
      <c r="A1441" s="31" t="s">
        <v>3490</v>
      </c>
      <c r="B1441" s="31" t="s">
        <v>2814</v>
      </c>
    </row>
    <row r="1442" spans="1:2" x14ac:dyDescent="0.25">
      <c r="A1442" s="29" t="s">
        <v>2320</v>
      </c>
      <c r="B1442" s="29" t="s">
        <v>2321</v>
      </c>
    </row>
    <row r="1443" spans="1:2" x14ac:dyDescent="0.25">
      <c r="A1443" s="29" t="s">
        <v>2282</v>
      </c>
      <c r="B1443" s="29" t="s">
        <v>2283</v>
      </c>
    </row>
    <row r="1444" spans="1:2" x14ac:dyDescent="0.25">
      <c r="A1444" s="29" t="s">
        <v>2336</v>
      </c>
      <c r="B1444" s="29" t="s">
        <v>2337</v>
      </c>
    </row>
    <row r="1445" spans="1:2" x14ac:dyDescent="0.25">
      <c r="A1445" s="29" t="s">
        <v>1111</v>
      </c>
      <c r="B1445" s="29" t="s">
        <v>1112</v>
      </c>
    </row>
    <row r="1446" spans="1:2" x14ac:dyDescent="0.25">
      <c r="A1446" s="29" t="s">
        <v>1548</v>
      </c>
      <c r="B1446" t="s">
        <v>1549</v>
      </c>
    </row>
    <row r="1447" spans="1:2" x14ac:dyDescent="0.25">
      <c r="A1447" t="s">
        <v>1370</v>
      </c>
      <c r="B1447" t="s">
        <v>1371</v>
      </c>
    </row>
    <row r="1448" spans="1:2" x14ac:dyDescent="0.25">
      <c r="A1448" s="29" t="s">
        <v>1550</v>
      </c>
      <c r="B1448" t="s">
        <v>1551</v>
      </c>
    </row>
    <row r="1449" spans="1:2" x14ac:dyDescent="0.25">
      <c r="A1449" t="s">
        <v>1900</v>
      </c>
      <c r="B1449" s="32" t="s">
        <v>1257</v>
      </c>
    </row>
    <row r="1450" spans="1:2" x14ac:dyDescent="0.25">
      <c r="A1450" s="29" t="s">
        <v>1199</v>
      </c>
      <c r="B1450" s="29" t="s">
        <v>1258</v>
      </c>
    </row>
    <row r="1451" spans="1:2" x14ac:dyDescent="0.25">
      <c r="A1451" s="29" t="s">
        <v>2242</v>
      </c>
      <c r="B1451" s="29" t="s">
        <v>2243</v>
      </c>
    </row>
    <row r="1452" spans="1:2" x14ac:dyDescent="0.25">
      <c r="A1452" s="31" t="s">
        <v>3277</v>
      </c>
      <c r="B1452" s="31" t="s">
        <v>3309</v>
      </c>
    </row>
    <row r="1453" spans="1:2" x14ac:dyDescent="0.25">
      <c r="A1453" t="s">
        <v>1659</v>
      </c>
      <c r="B1453" s="32" t="s">
        <v>1901</v>
      </c>
    </row>
    <row r="1454" spans="1:2" x14ac:dyDescent="0.25">
      <c r="A1454" s="29" t="s">
        <v>1034</v>
      </c>
      <c r="B1454" s="29" t="s">
        <v>1035</v>
      </c>
    </row>
    <row r="1455" spans="1:2" x14ac:dyDescent="0.25">
      <c r="A1455" s="29" t="s">
        <v>1698</v>
      </c>
      <c r="B1455" s="29" t="s">
        <v>1983</v>
      </c>
    </row>
    <row r="1456" spans="1:2" x14ac:dyDescent="0.25">
      <c r="A1456" s="31" t="s">
        <v>2815</v>
      </c>
      <c r="B1456" s="31" t="s">
        <v>2816</v>
      </c>
    </row>
    <row r="1457" spans="1:2" x14ac:dyDescent="0.25">
      <c r="A1457" s="31" t="s">
        <v>3410</v>
      </c>
      <c r="B1457" s="31" t="s">
        <v>1036</v>
      </c>
    </row>
    <row r="1458" spans="1:2" x14ac:dyDescent="0.25">
      <c r="A1458" s="31" t="s">
        <v>2817</v>
      </c>
      <c r="B1458" s="31" t="s">
        <v>1036</v>
      </c>
    </row>
    <row r="1459" spans="1:2" x14ac:dyDescent="0.25">
      <c r="A1459" s="29" t="s">
        <v>51</v>
      </c>
      <c r="B1459" s="29" t="s">
        <v>1036</v>
      </c>
    </row>
    <row r="1460" spans="1:2" x14ac:dyDescent="0.25">
      <c r="A1460" s="29" t="s">
        <v>2053</v>
      </c>
      <c r="B1460" s="29" t="s">
        <v>1036</v>
      </c>
    </row>
    <row r="1461" spans="1:2" x14ac:dyDescent="0.25">
      <c r="A1461" s="29" t="s">
        <v>1552</v>
      </c>
      <c r="B1461" t="s">
        <v>1553</v>
      </c>
    </row>
    <row r="1462" spans="1:2" x14ac:dyDescent="0.25">
      <c r="A1462" s="29" t="s">
        <v>2133</v>
      </c>
      <c r="B1462" s="29" t="s">
        <v>2134</v>
      </c>
    </row>
    <row r="1463" spans="1:2" x14ac:dyDescent="0.25">
      <c r="A1463" s="29" t="s">
        <v>1887</v>
      </c>
      <c r="B1463" s="29" t="s">
        <v>1888</v>
      </c>
    </row>
    <row r="1464" spans="1:2" x14ac:dyDescent="0.25">
      <c r="A1464" s="31" t="s">
        <v>3649</v>
      </c>
      <c r="B1464" s="31" t="s">
        <v>3783</v>
      </c>
    </row>
    <row r="1465" spans="1:2" x14ac:dyDescent="0.25">
      <c r="A1465" s="29" t="s">
        <v>2469</v>
      </c>
      <c r="B1465" s="29" t="s">
        <v>2506</v>
      </c>
    </row>
    <row r="1466" spans="1:2" x14ac:dyDescent="0.25">
      <c r="A1466" s="29" t="s">
        <v>158</v>
      </c>
      <c r="B1466" s="29" t="s">
        <v>1037</v>
      </c>
    </row>
    <row r="1467" spans="1:2" x14ac:dyDescent="0.25">
      <c r="A1467" s="31" t="s">
        <v>3411</v>
      </c>
      <c r="B1467" s="31" t="s">
        <v>3412</v>
      </c>
    </row>
    <row r="1468" spans="1:2" x14ac:dyDescent="0.25">
      <c r="A1468" s="31" t="s">
        <v>3646</v>
      </c>
      <c r="B1468" s="31" t="s">
        <v>3784</v>
      </c>
    </row>
    <row r="1469" spans="1:2" x14ac:dyDescent="0.25">
      <c r="A1469" s="31" t="s">
        <v>3691</v>
      </c>
      <c r="B1469" s="31" t="s">
        <v>918</v>
      </c>
    </row>
    <row r="1470" spans="1:2" x14ac:dyDescent="0.25">
      <c r="A1470" s="29" t="s">
        <v>1554</v>
      </c>
      <c r="B1470" t="s">
        <v>1555</v>
      </c>
    </row>
    <row r="1471" spans="1:2" x14ac:dyDescent="0.25">
      <c r="A1471" s="31" t="s">
        <v>4454</v>
      </c>
      <c r="B1471" s="31" t="s">
        <v>4455</v>
      </c>
    </row>
    <row r="1472" spans="1:2" x14ac:dyDescent="0.25">
      <c r="A1472" s="29" t="s">
        <v>1038</v>
      </c>
      <c r="B1472" s="29" t="s">
        <v>1039</v>
      </c>
    </row>
    <row r="1473" spans="1:2" x14ac:dyDescent="0.25">
      <c r="A1473" s="31" t="s">
        <v>3464</v>
      </c>
      <c r="B1473" s="31" t="s">
        <v>3528</v>
      </c>
    </row>
    <row r="1474" spans="1:2" x14ac:dyDescent="0.25">
      <c r="A1474" s="29" t="s">
        <v>1556</v>
      </c>
      <c r="B1474" t="s">
        <v>1557</v>
      </c>
    </row>
    <row r="1475" spans="1:2" x14ac:dyDescent="0.25">
      <c r="A1475" s="29" t="s">
        <v>1558</v>
      </c>
      <c r="B1475" t="s">
        <v>1559</v>
      </c>
    </row>
    <row r="1476" spans="1:2" x14ac:dyDescent="0.25">
      <c r="A1476" s="29" t="s">
        <v>1707</v>
      </c>
      <c r="B1476" s="29" t="s">
        <v>1982</v>
      </c>
    </row>
    <row r="1477" spans="1:2" x14ac:dyDescent="0.25">
      <c r="A1477" s="29" t="s">
        <v>189</v>
      </c>
      <c r="B1477" s="29" t="s">
        <v>1040</v>
      </c>
    </row>
    <row r="1478" spans="1:2" x14ac:dyDescent="0.25">
      <c r="A1478" s="29" t="s">
        <v>187</v>
      </c>
      <c r="B1478" s="29" t="s">
        <v>1040</v>
      </c>
    </row>
    <row r="1479" spans="1:2" x14ac:dyDescent="0.25">
      <c r="A1479" s="29" t="s">
        <v>2267</v>
      </c>
      <c r="B1479" s="29" t="s">
        <v>2268</v>
      </c>
    </row>
    <row r="1480" spans="1:2" x14ac:dyDescent="0.25">
      <c r="A1480" t="s">
        <v>1902</v>
      </c>
      <c r="B1480" s="32" t="s">
        <v>1903</v>
      </c>
    </row>
    <row r="1481" spans="1:2" x14ac:dyDescent="0.25">
      <c r="A1481" s="31" t="s">
        <v>3602</v>
      </c>
      <c r="B1481" s="31" t="s">
        <v>3633</v>
      </c>
    </row>
    <row r="1482" spans="1:2" x14ac:dyDescent="0.25">
      <c r="A1482" s="31" t="s">
        <v>2818</v>
      </c>
      <c r="B1482" s="31" t="s">
        <v>2819</v>
      </c>
    </row>
    <row r="1483" spans="1:2" x14ac:dyDescent="0.25">
      <c r="A1483" s="29" t="s">
        <v>2449</v>
      </c>
      <c r="B1483" s="29" t="s">
        <v>2490</v>
      </c>
    </row>
    <row r="1484" spans="1:2" x14ac:dyDescent="0.25">
      <c r="A1484" s="29" t="s">
        <v>177</v>
      </c>
      <c r="B1484" s="29" t="s">
        <v>1041</v>
      </c>
    </row>
    <row r="1485" spans="1:2" x14ac:dyDescent="0.25">
      <c r="A1485" s="31" t="s">
        <v>3661</v>
      </c>
      <c r="B1485" s="31" t="s">
        <v>3785</v>
      </c>
    </row>
    <row r="1486" spans="1:2" x14ac:dyDescent="0.25">
      <c r="A1486" s="31" t="s">
        <v>3155</v>
      </c>
      <c r="B1486" s="31" t="s">
        <v>3220</v>
      </c>
    </row>
    <row r="1487" spans="1:2" x14ac:dyDescent="0.25">
      <c r="A1487" s="31" t="s">
        <v>2544</v>
      </c>
      <c r="B1487" s="31" t="s">
        <v>1036</v>
      </c>
    </row>
    <row r="1488" spans="1:2" x14ac:dyDescent="0.25">
      <c r="A1488" s="31" t="s">
        <v>4456</v>
      </c>
      <c r="B1488" s="31" t="s">
        <v>1036</v>
      </c>
    </row>
    <row r="1489" spans="1:2" x14ac:dyDescent="0.25">
      <c r="A1489" s="29" t="s">
        <v>1042</v>
      </c>
      <c r="B1489" s="29" t="s">
        <v>1043</v>
      </c>
    </row>
    <row r="1490" spans="1:2" x14ac:dyDescent="0.25">
      <c r="A1490" s="31" t="s">
        <v>3786</v>
      </c>
      <c r="B1490" s="31" t="s">
        <v>3787</v>
      </c>
    </row>
    <row r="1491" spans="1:2" x14ac:dyDescent="0.25">
      <c r="A1491" s="31" t="s">
        <v>3413</v>
      </c>
      <c r="B1491" s="31" t="s">
        <v>3414</v>
      </c>
    </row>
    <row r="1492" spans="1:2" x14ac:dyDescent="0.25">
      <c r="A1492" s="31" t="s">
        <v>3468</v>
      </c>
      <c r="B1492" s="31" t="s">
        <v>3529</v>
      </c>
    </row>
    <row r="1493" spans="1:2" x14ac:dyDescent="0.25">
      <c r="A1493" s="29" t="s">
        <v>2462</v>
      </c>
      <c r="B1493" s="29" t="s">
        <v>698</v>
      </c>
    </row>
    <row r="1494" spans="1:2" x14ac:dyDescent="0.25">
      <c r="A1494" s="31" t="s">
        <v>4457</v>
      </c>
      <c r="B1494" s="31" t="s">
        <v>4341</v>
      </c>
    </row>
    <row r="1495" spans="1:2" x14ac:dyDescent="0.25">
      <c r="A1495" s="29" t="s">
        <v>1044</v>
      </c>
      <c r="B1495" s="29" t="s">
        <v>1045</v>
      </c>
    </row>
    <row r="1496" spans="1:2" x14ac:dyDescent="0.25">
      <c r="A1496" s="29" t="s">
        <v>1560</v>
      </c>
      <c r="B1496" t="s">
        <v>1561</v>
      </c>
    </row>
    <row r="1497" spans="1:2" x14ac:dyDescent="0.25">
      <c r="A1497" s="31" t="s">
        <v>4284</v>
      </c>
      <c r="B1497" s="31" t="s">
        <v>1014</v>
      </c>
    </row>
    <row r="1498" spans="1:2" x14ac:dyDescent="0.25">
      <c r="A1498" s="29" t="s">
        <v>1562</v>
      </c>
      <c r="B1498" t="s">
        <v>1563</v>
      </c>
    </row>
    <row r="1499" spans="1:2" x14ac:dyDescent="0.25">
      <c r="A1499" s="29" t="s">
        <v>54</v>
      </c>
      <c r="B1499" s="29" t="s">
        <v>231</v>
      </c>
    </row>
    <row r="1500" spans="1:2" x14ac:dyDescent="0.25">
      <c r="A1500" s="29" t="s">
        <v>2310</v>
      </c>
      <c r="B1500" s="29" t="s">
        <v>2311</v>
      </c>
    </row>
    <row r="1501" spans="1:2" x14ac:dyDescent="0.25">
      <c r="A1501" s="29" t="s">
        <v>2406</v>
      </c>
      <c r="B1501" s="29" t="s">
        <v>2407</v>
      </c>
    </row>
    <row r="1502" spans="1:2" x14ac:dyDescent="0.25">
      <c r="A1502" s="29" t="s">
        <v>1046</v>
      </c>
      <c r="B1502" s="29" t="s">
        <v>1047</v>
      </c>
    </row>
    <row r="1503" spans="1:2" x14ac:dyDescent="0.25">
      <c r="A1503" s="29" t="s">
        <v>1564</v>
      </c>
      <c r="B1503" t="s">
        <v>1565</v>
      </c>
    </row>
    <row r="1504" spans="1:2" x14ac:dyDescent="0.25">
      <c r="A1504" s="31" t="s">
        <v>3551</v>
      </c>
      <c r="B1504" s="31" t="s">
        <v>3581</v>
      </c>
    </row>
    <row r="1505" spans="1:2" x14ac:dyDescent="0.25">
      <c r="A1505" s="29" t="s">
        <v>60</v>
      </c>
      <c r="B1505" s="29" t="s">
        <v>1048</v>
      </c>
    </row>
    <row r="1506" spans="1:2" x14ac:dyDescent="0.25">
      <c r="A1506" s="29" t="s">
        <v>1079</v>
      </c>
      <c r="B1506" s="29" t="s">
        <v>1078</v>
      </c>
    </row>
    <row r="1507" spans="1:2" x14ac:dyDescent="0.25">
      <c r="A1507" s="29" t="s">
        <v>1080</v>
      </c>
      <c r="B1507" s="29" t="s">
        <v>1078</v>
      </c>
    </row>
    <row r="1508" spans="1:2" x14ac:dyDescent="0.25">
      <c r="A1508" s="29" t="s">
        <v>1081</v>
      </c>
      <c r="B1508" s="29" t="s">
        <v>1078</v>
      </c>
    </row>
    <row r="1509" spans="1:2" x14ac:dyDescent="0.25">
      <c r="A1509" s="29" t="s">
        <v>75</v>
      </c>
      <c r="B1509" s="29" t="s">
        <v>1078</v>
      </c>
    </row>
    <row r="1510" spans="1:2" x14ac:dyDescent="0.25">
      <c r="A1510" s="29" t="s">
        <v>1082</v>
      </c>
      <c r="B1510" s="29" t="s">
        <v>1078</v>
      </c>
    </row>
    <row r="1511" spans="1:2" x14ac:dyDescent="0.25">
      <c r="A1511" s="29" t="s">
        <v>122</v>
      </c>
      <c r="B1511" s="29" t="s">
        <v>1078</v>
      </c>
    </row>
    <row r="1512" spans="1:2" x14ac:dyDescent="0.25">
      <c r="A1512" s="29" t="s">
        <v>149</v>
      </c>
      <c r="B1512" s="29" t="s">
        <v>1078</v>
      </c>
    </row>
    <row r="1513" spans="1:2" x14ac:dyDescent="0.25">
      <c r="A1513" s="29" t="s">
        <v>1083</v>
      </c>
      <c r="B1513" s="29" t="s">
        <v>1078</v>
      </c>
    </row>
    <row r="1514" spans="1:2" x14ac:dyDescent="0.25">
      <c r="A1514" s="29" t="s">
        <v>1084</v>
      </c>
      <c r="B1514" s="29" t="s">
        <v>1078</v>
      </c>
    </row>
    <row r="1515" spans="1:2" x14ac:dyDescent="0.25">
      <c r="A1515" s="31" t="s">
        <v>3415</v>
      </c>
      <c r="B1515" s="31" t="s">
        <v>3416</v>
      </c>
    </row>
    <row r="1516" spans="1:2" x14ac:dyDescent="0.25">
      <c r="A1516" s="29" t="s">
        <v>2245</v>
      </c>
      <c r="B1516" s="29" t="s">
        <v>2246</v>
      </c>
    </row>
    <row r="1517" spans="1:2" x14ac:dyDescent="0.25">
      <c r="A1517" s="29" t="s">
        <v>1566</v>
      </c>
      <c r="B1517" t="s">
        <v>1567</v>
      </c>
    </row>
    <row r="1518" spans="1:2" x14ac:dyDescent="0.25">
      <c r="A1518" s="31" t="s">
        <v>3434</v>
      </c>
      <c r="B1518" s="31" t="s">
        <v>3449</v>
      </c>
    </row>
    <row r="1519" spans="1:2" x14ac:dyDescent="0.25">
      <c r="A1519" s="31" t="s">
        <v>3180</v>
      </c>
      <c r="B1519" s="31" t="s">
        <v>3221</v>
      </c>
    </row>
    <row r="1520" spans="1:2" x14ac:dyDescent="0.25">
      <c r="A1520" s="31" t="s">
        <v>3012</v>
      </c>
      <c r="B1520" s="31" t="s">
        <v>3013</v>
      </c>
    </row>
    <row r="1521" spans="1:2" x14ac:dyDescent="0.25">
      <c r="A1521" s="31" t="s">
        <v>2820</v>
      </c>
      <c r="B1521" s="31" t="s">
        <v>2821</v>
      </c>
    </row>
    <row r="1522" spans="1:2" x14ac:dyDescent="0.25">
      <c r="A1522" s="29" t="s">
        <v>2063</v>
      </c>
      <c r="B1522" s="29" t="s">
        <v>2064</v>
      </c>
    </row>
    <row r="1523" spans="1:2" x14ac:dyDescent="0.25">
      <c r="A1523" s="31" t="s">
        <v>3132</v>
      </c>
      <c r="B1523" s="31" t="s">
        <v>3222</v>
      </c>
    </row>
    <row r="1524" spans="1:2" x14ac:dyDescent="0.25">
      <c r="A1524" s="31" t="s">
        <v>2822</v>
      </c>
      <c r="B1524" s="31" t="s">
        <v>2823</v>
      </c>
    </row>
    <row r="1525" spans="1:2" x14ac:dyDescent="0.25">
      <c r="A1525" s="31" t="s">
        <v>2643</v>
      </c>
      <c r="B1525" s="31" t="s">
        <v>2824</v>
      </c>
    </row>
    <row r="1526" spans="1:2" x14ac:dyDescent="0.25">
      <c r="A1526" s="31" t="s">
        <v>2825</v>
      </c>
      <c r="B1526" s="31" t="s">
        <v>2826</v>
      </c>
    </row>
    <row r="1527" spans="1:2" x14ac:dyDescent="0.25">
      <c r="A1527" s="29" t="s">
        <v>1568</v>
      </c>
      <c r="B1527" t="s">
        <v>1569</v>
      </c>
    </row>
    <row r="1528" spans="1:2" x14ac:dyDescent="0.25">
      <c r="A1528" s="29" t="s">
        <v>1694</v>
      </c>
      <c r="B1528" s="29" t="s">
        <v>1980</v>
      </c>
    </row>
    <row r="1529" spans="1:2" x14ac:dyDescent="0.25">
      <c r="A1529" s="31" t="s">
        <v>3477</v>
      </c>
      <c r="B1529" s="31" t="s">
        <v>3530</v>
      </c>
    </row>
    <row r="1530" spans="1:2" x14ac:dyDescent="0.25">
      <c r="A1530" s="29" t="s">
        <v>1049</v>
      </c>
      <c r="B1530" s="29" t="s">
        <v>1050</v>
      </c>
    </row>
    <row r="1531" spans="1:2" x14ac:dyDescent="0.25">
      <c r="A1531" s="31" t="s">
        <v>2550</v>
      </c>
      <c r="B1531" s="31" t="s">
        <v>2601</v>
      </c>
    </row>
    <row r="1532" spans="1:2" x14ac:dyDescent="0.25">
      <c r="A1532" s="31" t="s">
        <v>2881</v>
      </c>
      <c r="B1532" s="31" t="s">
        <v>3014</v>
      </c>
    </row>
    <row r="1533" spans="1:2" x14ac:dyDescent="0.25">
      <c r="A1533" s="31" t="s">
        <v>2539</v>
      </c>
      <c r="B1533" s="31" t="s">
        <v>2507</v>
      </c>
    </row>
    <row r="1534" spans="1:2" x14ac:dyDescent="0.25">
      <c r="A1534" s="29" t="s">
        <v>2470</v>
      </c>
      <c r="B1534" s="29" t="s">
        <v>2507</v>
      </c>
    </row>
    <row r="1535" spans="1:2" x14ac:dyDescent="0.25">
      <c r="A1535" s="29" t="s">
        <v>1621</v>
      </c>
      <c r="B1535" s="29" t="s">
        <v>1053</v>
      </c>
    </row>
    <row r="1536" spans="1:2" x14ac:dyDescent="0.25">
      <c r="A1536" s="29" t="s">
        <v>1052</v>
      </c>
      <c r="B1536" s="29" t="s">
        <v>1053</v>
      </c>
    </row>
    <row r="1537" spans="1:2" x14ac:dyDescent="0.25">
      <c r="A1537" s="29" t="s">
        <v>1675</v>
      </c>
      <c r="B1537" s="29" t="s">
        <v>1053</v>
      </c>
    </row>
    <row r="1538" spans="1:2" x14ac:dyDescent="0.25">
      <c r="A1538" s="31" t="s">
        <v>3246</v>
      </c>
      <c r="B1538" s="31" t="s">
        <v>3310</v>
      </c>
    </row>
    <row r="1539" spans="1:2" x14ac:dyDescent="0.25">
      <c r="A1539" s="31" t="s">
        <v>2553</v>
      </c>
      <c r="B1539" s="31" t="s">
        <v>2602</v>
      </c>
    </row>
    <row r="1540" spans="1:2" x14ac:dyDescent="0.25">
      <c r="A1540" s="31" t="s">
        <v>2556</v>
      </c>
      <c r="B1540" s="31" t="s">
        <v>2602</v>
      </c>
    </row>
    <row r="1541" spans="1:2" x14ac:dyDescent="0.25">
      <c r="A1541" s="29" t="s">
        <v>1056</v>
      </c>
      <c r="B1541" s="29" t="s">
        <v>1057</v>
      </c>
    </row>
    <row r="1542" spans="1:2" x14ac:dyDescent="0.25">
      <c r="A1542" s="29" t="s">
        <v>23</v>
      </c>
      <c r="B1542" s="29" t="s">
        <v>1058</v>
      </c>
    </row>
    <row r="1543" spans="1:2" x14ac:dyDescent="0.25">
      <c r="A1543" s="29" t="s">
        <v>201</v>
      </c>
      <c r="B1543" s="29" t="s">
        <v>1058</v>
      </c>
    </row>
    <row r="1544" spans="1:2" x14ac:dyDescent="0.25">
      <c r="A1544" s="29" t="s">
        <v>1059</v>
      </c>
      <c r="B1544" s="29" t="s">
        <v>1058</v>
      </c>
    </row>
    <row r="1545" spans="1:2" x14ac:dyDescent="0.25">
      <c r="A1545" s="31" t="s">
        <v>3250</v>
      </c>
      <c r="B1545" s="31" t="s">
        <v>3311</v>
      </c>
    </row>
    <row r="1546" spans="1:2" x14ac:dyDescent="0.25">
      <c r="A1546" t="s">
        <v>1372</v>
      </c>
      <c r="B1546" t="s">
        <v>1373</v>
      </c>
    </row>
    <row r="1547" spans="1:2" x14ac:dyDescent="0.25">
      <c r="A1547" s="29" t="s">
        <v>1060</v>
      </c>
      <c r="B1547" s="29" t="s">
        <v>1061</v>
      </c>
    </row>
    <row r="1548" spans="1:2" x14ac:dyDescent="0.25">
      <c r="A1548" t="s">
        <v>1907</v>
      </c>
      <c r="B1548" s="32" t="s">
        <v>1908</v>
      </c>
    </row>
    <row r="1549" spans="1:2" x14ac:dyDescent="0.25">
      <c r="A1549" s="31" t="s">
        <v>2545</v>
      </c>
      <c r="B1549" s="31" t="s">
        <v>2603</v>
      </c>
    </row>
    <row r="1550" spans="1:2" x14ac:dyDescent="0.25">
      <c r="A1550" s="31" t="s">
        <v>3555</v>
      </c>
      <c r="B1550" s="31" t="s">
        <v>3582</v>
      </c>
    </row>
    <row r="1551" spans="1:2" x14ac:dyDescent="0.25">
      <c r="A1551" s="29" t="s">
        <v>1678</v>
      </c>
      <c r="B1551" s="29" t="s">
        <v>1979</v>
      </c>
    </row>
    <row r="1552" spans="1:2" x14ac:dyDescent="0.25">
      <c r="A1552" s="29" t="s">
        <v>1062</v>
      </c>
      <c r="B1552" s="29" t="s">
        <v>1063</v>
      </c>
    </row>
    <row r="1553" spans="1:2" x14ac:dyDescent="0.25">
      <c r="A1553" s="29" t="s">
        <v>1064</v>
      </c>
      <c r="B1553" s="29" t="s">
        <v>1065</v>
      </c>
    </row>
    <row r="1554" spans="1:2" x14ac:dyDescent="0.25">
      <c r="A1554" s="29" t="s">
        <v>2308</v>
      </c>
      <c r="B1554" s="29" t="s">
        <v>2309</v>
      </c>
    </row>
    <row r="1555" spans="1:2" x14ac:dyDescent="0.25">
      <c r="A1555" s="29" t="s">
        <v>2192</v>
      </c>
      <c r="B1555" s="29" t="s">
        <v>2193</v>
      </c>
    </row>
    <row r="1556" spans="1:2" x14ac:dyDescent="0.25">
      <c r="A1556" s="31" t="s">
        <v>3045</v>
      </c>
      <c r="B1556" s="31" t="s">
        <v>3074</v>
      </c>
    </row>
    <row r="1557" spans="1:2" x14ac:dyDescent="0.25">
      <c r="A1557" s="31" t="s">
        <v>3456</v>
      </c>
      <c r="B1557" s="31" t="s">
        <v>3531</v>
      </c>
    </row>
    <row r="1558" spans="1:2" x14ac:dyDescent="0.25">
      <c r="A1558" t="s">
        <v>1909</v>
      </c>
      <c r="B1558" s="32" t="s">
        <v>1910</v>
      </c>
    </row>
    <row r="1559" spans="1:2" x14ac:dyDescent="0.25">
      <c r="A1559" t="s">
        <v>1911</v>
      </c>
      <c r="B1559" s="32" t="s">
        <v>1912</v>
      </c>
    </row>
    <row r="1560" spans="1:2" x14ac:dyDescent="0.25">
      <c r="A1560" s="29" t="s">
        <v>1570</v>
      </c>
      <c r="B1560" t="s">
        <v>1571</v>
      </c>
    </row>
    <row r="1561" spans="1:2" x14ac:dyDescent="0.25">
      <c r="A1561" s="29" t="s">
        <v>168</v>
      </c>
      <c r="B1561" s="29" t="s">
        <v>1066</v>
      </c>
    </row>
    <row r="1562" spans="1:2" x14ac:dyDescent="0.25">
      <c r="A1562" s="31" t="s">
        <v>3171</v>
      </c>
      <c r="B1562" s="31" t="s">
        <v>3223</v>
      </c>
    </row>
    <row r="1563" spans="1:2" x14ac:dyDescent="0.25">
      <c r="A1563" s="29" t="s">
        <v>1702</v>
      </c>
      <c r="B1563" s="29" t="s">
        <v>1978</v>
      </c>
    </row>
    <row r="1564" spans="1:2" x14ac:dyDescent="0.25">
      <c r="A1564" s="31" t="s">
        <v>4139</v>
      </c>
      <c r="B1564" s="31" t="s">
        <v>4458</v>
      </c>
    </row>
    <row r="1565" spans="1:2" x14ac:dyDescent="0.25">
      <c r="A1565" s="31" t="s">
        <v>3882</v>
      </c>
      <c r="B1565" s="31" t="s">
        <v>4459</v>
      </c>
    </row>
    <row r="1566" spans="1:2" x14ac:dyDescent="0.25">
      <c r="A1566" s="31" t="s">
        <v>4117</v>
      </c>
      <c r="B1566" s="31" t="s">
        <v>992</v>
      </c>
    </row>
    <row r="1567" spans="1:2" x14ac:dyDescent="0.25">
      <c r="A1567" s="29" t="s">
        <v>90</v>
      </c>
      <c r="B1567" s="29" t="s">
        <v>1016</v>
      </c>
    </row>
    <row r="1568" spans="1:2" x14ac:dyDescent="0.25">
      <c r="A1568" s="31" t="s">
        <v>4116</v>
      </c>
      <c r="B1568" s="31" t="s">
        <v>4460</v>
      </c>
    </row>
    <row r="1569" spans="1:2" x14ac:dyDescent="0.25">
      <c r="A1569" s="29" t="s">
        <v>1689</v>
      </c>
      <c r="B1569" s="29" t="s">
        <v>1977</v>
      </c>
    </row>
    <row r="1570" spans="1:2" x14ac:dyDescent="0.25">
      <c r="A1570" s="31" t="s">
        <v>2827</v>
      </c>
      <c r="B1570" s="31" t="s">
        <v>2828</v>
      </c>
    </row>
    <row r="1571" spans="1:2" x14ac:dyDescent="0.25">
      <c r="A1571" s="29" t="s">
        <v>1708</v>
      </c>
      <c r="B1571" s="29" t="s">
        <v>1967</v>
      </c>
    </row>
    <row r="1572" spans="1:2" x14ac:dyDescent="0.25">
      <c r="A1572" s="31" t="s">
        <v>2945</v>
      </c>
      <c r="B1572" s="31" t="s">
        <v>3015</v>
      </c>
    </row>
    <row r="1573" spans="1:2" x14ac:dyDescent="0.25">
      <c r="A1573" s="29" t="s">
        <v>1067</v>
      </c>
      <c r="B1573" s="29" t="s">
        <v>1068</v>
      </c>
    </row>
    <row r="1574" spans="1:2" x14ac:dyDescent="0.25">
      <c r="A1574" s="31" t="s">
        <v>3564</v>
      </c>
      <c r="B1574" s="31" t="s">
        <v>3583</v>
      </c>
    </row>
    <row r="1575" spans="1:2" x14ac:dyDescent="0.25">
      <c r="A1575" s="29" t="s">
        <v>36</v>
      </c>
      <c r="B1575" s="29" t="s">
        <v>230</v>
      </c>
    </row>
    <row r="1576" spans="1:2" x14ac:dyDescent="0.25">
      <c r="A1576" s="31" t="s">
        <v>2912</v>
      </c>
      <c r="B1576" s="31" t="s">
        <v>3016</v>
      </c>
    </row>
    <row r="1577" spans="1:2" x14ac:dyDescent="0.25">
      <c r="A1577" s="31" t="s">
        <v>3138</v>
      </c>
      <c r="B1577" s="31" t="s">
        <v>3224</v>
      </c>
    </row>
    <row r="1578" spans="1:2" x14ac:dyDescent="0.25">
      <c r="A1578" s="29" t="s">
        <v>1572</v>
      </c>
      <c r="B1578" t="s">
        <v>1573</v>
      </c>
    </row>
    <row r="1579" spans="1:2" x14ac:dyDescent="0.25">
      <c r="A1579" s="29" t="s">
        <v>2478</v>
      </c>
      <c r="B1579" s="29" t="s">
        <v>1573</v>
      </c>
    </row>
    <row r="1580" spans="1:2" x14ac:dyDescent="0.25">
      <c r="A1580" s="29" t="s">
        <v>1915</v>
      </c>
      <c r="B1580" s="29" t="s">
        <v>1916</v>
      </c>
    </row>
    <row r="1581" spans="1:2" x14ac:dyDescent="0.25">
      <c r="A1581" s="29" t="s">
        <v>148</v>
      </c>
      <c r="B1581" s="29" t="s">
        <v>246</v>
      </c>
    </row>
    <row r="1582" spans="1:2" x14ac:dyDescent="0.25">
      <c r="A1582" t="s">
        <v>1913</v>
      </c>
      <c r="B1582" s="32" t="s">
        <v>1914</v>
      </c>
    </row>
    <row r="1583" spans="1:2" x14ac:dyDescent="0.25">
      <c r="A1583" s="29" t="s">
        <v>1069</v>
      </c>
      <c r="B1583" s="29" t="s">
        <v>1070</v>
      </c>
    </row>
    <row r="1584" spans="1:2" x14ac:dyDescent="0.25">
      <c r="A1584" s="29" t="s">
        <v>1917</v>
      </c>
      <c r="B1584" s="29" t="s">
        <v>1918</v>
      </c>
    </row>
    <row r="1585" spans="1:2" x14ac:dyDescent="0.25">
      <c r="A1585" s="29" t="s">
        <v>2402</v>
      </c>
      <c r="B1585" s="29" t="s">
        <v>2403</v>
      </c>
    </row>
    <row r="1586" spans="1:2" x14ac:dyDescent="0.25">
      <c r="A1586" s="31" t="s">
        <v>3454</v>
      </c>
      <c r="B1586" s="31" t="s">
        <v>3532</v>
      </c>
    </row>
    <row r="1587" spans="1:2" x14ac:dyDescent="0.25">
      <c r="A1587" s="29" t="s">
        <v>2214</v>
      </c>
      <c r="B1587" s="29" t="s">
        <v>2215</v>
      </c>
    </row>
    <row r="1588" spans="1:2" x14ac:dyDescent="0.25">
      <c r="A1588" s="31" t="s">
        <v>2666</v>
      </c>
      <c r="B1588" s="31" t="s">
        <v>2829</v>
      </c>
    </row>
    <row r="1589" spans="1:2" x14ac:dyDescent="0.25">
      <c r="A1589" s="31" t="s">
        <v>4461</v>
      </c>
      <c r="B1589" s="31" t="s">
        <v>4462</v>
      </c>
    </row>
    <row r="1590" spans="1:2" x14ac:dyDescent="0.25">
      <c r="A1590" s="29" t="s">
        <v>2382</v>
      </c>
      <c r="B1590" s="29" t="s">
        <v>2383</v>
      </c>
    </row>
    <row r="1591" spans="1:2" x14ac:dyDescent="0.25">
      <c r="A1591" s="29" t="s">
        <v>1574</v>
      </c>
      <c r="B1591" t="s">
        <v>1575</v>
      </c>
    </row>
    <row r="1592" spans="1:2" x14ac:dyDescent="0.25">
      <c r="A1592" s="31" t="s">
        <v>2653</v>
      </c>
      <c r="B1592" s="31" t="s">
        <v>1575</v>
      </c>
    </row>
    <row r="1593" spans="1:2" x14ac:dyDescent="0.25">
      <c r="A1593" s="31" t="s">
        <v>2534</v>
      </c>
      <c r="B1593" s="31" t="s">
        <v>2604</v>
      </c>
    </row>
    <row r="1594" spans="1:2" x14ac:dyDescent="0.25">
      <c r="A1594" s="31" t="s">
        <v>1072</v>
      </c>
      <c r="B1594" s="31" t="s">
        <v>1072</v>
      </c>
    </row>
    <row r="1595" spans="1:2" x14ac:dyDescent="0.25">
      <c r="A1595" s="29" t="s">
        <v>1071</v>
      </c>
      <c r="B1595" s="29" t="s">
        <v>1072</v>
      </c>
    </row>
    <row r="1596" spans="1:2" x14ac:dyDescent="0.25">
      <c r="A1596" s="29" t="s">
        <v>1576</v>
      </c>
      <c r="B1596" t="s">
        <v>1577</v>
      </c>
    </row>
    <row r="1597" spans="1:2" x14ac:dyDescent="0.25">
      <c r="A1597" t="s">
        <v>1792</v>
      </c>
      <c r="B1597" s="32" t="s">
        <v>1793</v>
      </c>
    </row>
    <row r="1598" spans="1:2" x14ac:dyDescent="0.25">
      <c r="A1598" s="31" t="s">
        <v>4463</v>
      </c>
      <c r="B1598" s="31" t="s">
        <v>4464</v>
      </c>
    </row>
    <row r="1599" spans="1:2" x14ac:dyDescent="0.25">
      <c r="A1599" s="31" t="s">
        <v>4257</v>
      </c>
      <c r="B1599" s="31" t="s">
        <v>4465</v>
      </c>
    </row>
    <row r="1600" spans="1:2" x14ac:dyDescent="0.25">
      <c r="A1600" s="31" t="s">
        <v>3482</v>
      </c>
      <c r="B1600" s="31" t="s">
        <v>3533</v>
      </c>
    </row>
    <row r="1601" spans="1:2" x14ac:dyDescent="0.25">
      <c r="A1601" s="29" t="s">
        <v>1664</v>
      </c>
      <c r="B1601" s="29" t="s">
        <v>1976</v>
      </c>
    </row>
    <row r="1602" spans="1:2" x14ac:dyDescent="0.25">
      <c r="A1602" s="29" t="s">
        <v>2145</v>
      </c>
      <c r="B1602" s="29" t="s">
        <v>2146</v>
      </c>
    </row>
    <row r="1603" spans="1:2" x14ac:dyDescent="0.25">
      <c r="A1603" s="29" t="s">
        <v>2247</v>
      </c>
      <c r="B1603" s="29" t="s">
        <v>2248</v>
      </c>
    </row>
    <row r="1604" spans="1:2" x14ac:dyDescent="0.25">
      <c r="A1604" s="29" t="s">
        <v>1578</v>
      </c>
      <c r="B1604" t="s">
        <v>1579</v>
      </c>
    </row>
    <row r="1605" spans="1:2" x14ac:dyDescent="0.25">
      <c r="A1605" s="29" t="s">
        <v>2473</v>
      </c>
      <c r="B1605" s="29" t="s">
        <v>2510</v>
      </c>
    </row>
    <row r="1606" spans="1:2" x14ac:dyDescent="0.25">
      <c r="A1606" t="s">
        <v>1919</v>
      </c>
      <c r="B1606" s="32" t="s">
        <v>1920</v>
      </c>
    </row>
    <row r="1607" spans="1:2" x14ac:dyDescent="0.25">
      <c r="A1607" s="29" t="s">
        <v>1580</v>
      </c>
      <c r="B1607" t="s">
        <v>1581</v>
      </c>
    </row>
    <row r="1608" spans="1:2" x14ac:dyDescent="0.25">
      <c r="A1608" s="29" t="s">
        <v>2457</v>
      </c>
      <c r="B1608" s="29" t="s">
        <v>1583</v>
      </c>
    </row>
    <row r="1609" spans="1:2" x14ac:dyDescent="0.25">
      <c r="A1609" s="29" t="s">
        <v>167</v>
      </c>
      <c r="B1609" s="29" t="s">
        <v>1074</v>
      </c>
    </row>
    <row r="1610" spans="1:2" x14ac:dyDescent="0.25">
      <c r="A1610" s="29" t="s">
        <v>1582</v>
      </c>
      <c r="B1610" t="s">
        <v>1583</v>
      </c>
    </row>
    <row r="1611" spans="1:2" x14ac:dyDescent="0.25">
      <c r="A1611" s="31" t="s">
        <v>2524</v>
      </c>
      <c r="B1611" s="31" t="s">
        <v>2605</v>
      </c>
    </row>
    <row r="1612" spans="1:2" x14ac:dyDescent="0.25">
      <c r="A1612" s="31" t="s">
        <v>2523</v>
      </c>
      <c r="B1612" s="31" t="s">
        <v>2605</v>
      </c>
    </row>
    <row r="1613" spans="1:2" x14ac:dyDescent="0.25">
      <c r="A1613" s="31" t="s">
        <v>3939</v>
      </c>
      <c r="B1613" s="31" t="s">
        <v>4466</v>
      </c>
    </row>
    <row r="1614" spans="1:2" x14ac:dyDescent="0.25">
      <c r="A1614" s="29" t="s">
        <v>2404</v>
      </c>
      <c r="B1614" s="29" t="s">
        <v>2405</v>
      </c>
    </row>
    <row r="1615" spans="1:2" x14ac:dyDescent="0.25">
      <c r="A1615" s="29" t="s">
        <v>105</v>
      </c>
      <c r="B1615" s="29" t="s">
        <v>237</v>
      </c>
    </row>
    <row r="1616" spans="1:2" x14ac:dyDescent="0.25">
      <c r="A1616" s="31" t="s">
        <v>3322</v>
      </c>
      <c r="B1616" s="31" t="s">
        <v>1922</v>
      </c>
    </row>
    <row r="1617" spans="1:2" x14ac:dyDescent="0.25">
      <c r="A1617" s="29" t="s">
        <v>1629</v>
      </c>
      <c r="B1617" s="29" t="s">
        <v>1922</v>
      </c>
    </row>
    <row r="1618" spans="1:2" x14ac:dyDescent="0.25">
      <c r="A1618" s="29" t="s">
        <v>1921</v>
      </c>
      <c r="B1618" s="29" t="s">
        <v>1922</v>
      </c>
    </row>
    <row r="1619" spans="1:2" x14ac:dyDescent="0.25">
      <c r="A1619" s="29" t="s">
        <v>1660</v>
      </c>
      <c r="B1619" s="29" t="s">
        <v>1975</v>
      </c>
    </row>
    <row r="1620" spans="1:2" x14ac:dyDescent="0.25">
      <c r="A1620" s="29" t="s">
        <v>1648</v>
      </c>
      <c r="B1620" s="29" t="s">
        <v>1974</v>
      </c>
    </row>
    <row r="1621" spans="1:2" x14ac:dyDescent="0.25">
      <c r="A1621" s="29" t="s">
        <v>1075</v>
      </c>
      <c r="B1621" s="29" t="s">
        <v>1076</v>
      </c>
    </row>
    <row r="1622" spans="1:2" x14ac:dyDescent="0.25">
      <c r="A1622" s="29" t="s">
        <v>188</v>
      </c>
      <c r="B1622" s="29" t="s">
        <v>1078</v>
      </c>
    </row>
    <row r="1623" spans="1:2" x14ac:dyDescent="0.25">
      <c r="A1623" s="29" t="s">
        <v>1085</v>
      </c>
      <c r="B1623" s="29" t="s">
        <v>1078</v>
      </c>
    </row>
    <row r="1624" spans="1:2" x14ac:dyDescent="0.25">
      <c r="A1624" s="29" t="s">
        <v>154</v>
      </c>
      <c r="B1624" s="29" t="s">
        <v>1078</v>
      </c>
    </row>
    <row r="1625" spans="1:2" x14ac:dyDescent="0.25">
      <c r="A1625" s="29" t="s">
        <v>219</v>
      </c>
      <c r="B1625" s="29" t="s">
        <v>1078</v>
      </c>
    </row>
    <row r="1626" spans="1:2" x14ac:dyDescent="0.25">
      <c r="A1626" s="29" t="s">
        <v>1086</v>
      </c>
      <c r="B1626" s="29" t="s">
        <v>1078</v>
      </c>
    </row>
    <row r="1627" spans="1:2" x14ac:dyDescent="0.25">
      <c r="A1627" s="29" t="s">
        <v>200</v>
      </c>
      <c r="B1627" s="29" t="s">
        <v>1078</v>
      </c>
    </row>
    <row r="1628" spans="1:2" x14ac:dyDescent="0.25">
      <c r="A1628" s="29" t="s">
        <v>1087</v>
      </c>
      <c r="B1628" s="29" t="s">
        <v>1078</v>
      </c>
    </row>
    <row r="1629" spans="1:2" x14ac:dyDescent="0.25">
      <c r="A1629" s="29" t="s">
        <v>1088</v>
      </c>
      <c r="B1629" s="29" t="s">
        <v>1089</v>
      </c>
    </row>
    <row r="1630" spans="1:2" x14ac:dyDescent="0.25">
      <c r="A1630" s="31" t="s">
        <v>4299</v>
      </c>
      <c r="B1630" s="31" t="s">
        <v>4467</v>
      </c>
    </row>
    <row r="1631" spans="1:2" x14ac:dyDescent="0.25">
      <c r="A1631" s="29" t="s">
        <v>1221</v>
      </c>
      <c r="B1631" t="s">
        <v>1259</v>
      </c>
    </row>
    <row r="1632" spans="1:2" x14ac:dyDescent="0.25">
      <c r="A1632" s="29" t="s">
        <v>2441</v>
      </c>
      <c r="B1632" s="29" t="s">
        <v>1078</v>
      </c>
    </row>
    <row r="1633" spans="1:2" x14ac:dyDescent="0.25">
      <c r="A1633" s="29" t="s">
        <v>129</v>
      </c>
      <c r="B1633" s="29" t="s">
        <v>241</v>
      </c>
    </row>
    <row r="1634" spans="1:2" x14ac:dyDescent="0.25">
      <c r="A1634" s="31" t="s">
        <v>4468</v>
      </c>
      <c r="B1634" s="31" t="s">
        <v>4469</v>
      </c>
    </row>
    <row r="1635" spans="1:2" x14ac:dyDescent="0.25">
      <c r="A1635" s="31" t="s">
        <v>2894</v>
      </c>
      <c r="B1635" s="31" t="s">
        <v>3017</v>
      </c>
    </row>
    <row r="1636" spans="1:2" x14ac:dyDescent="0.25">
      <c r="A1636" s="29" t="s">
        <v>1091</v>
      </c>
      <c r="B1636" s="29" t="s">
        <v>1092</v>
      </c>
    </row>
    <row r="1637" spans="1:2" x14ac:dyDescent="0.25">
      <c r="A1637" s="29" t="s">
        <v>91</v>
      </c>
      <c r="B1637" s="29" t="s">
        <v>1090</v>
      </c>
    </row>
    <row r="1638" spans="1:2" x14ac:dyDescent="0.25">
      <c r="A1638" s="31" t="s">
        <v>4470</v>
      </c>
      <c r="B1638" s="31" t="s">
        <v>4471</v>
      </c>
    </row>
    <row r="1639" spans="1:2" x14ac:dyDescent="0.25">
      <c r="A1639" s="29" t="s">
        <v>77</v>
      </c>
      <c r="B1639" s="29" t="s">
        <v>1090</v>
      </c>
    </row>
    <row r="1640" spans="1:2" x14ac:dyDescent="0.25">
      <c r="A1640" s="29" t="s">
        <v>2098</v>
      </c>
      <c r="B1640" s="29" t="s">
        <v>2099</v>
      </c>
    </row>
    <row r="1641" spans="1:2" x14ac:dyDescent="0.25">
      <c r="A1641" s="31" t="s">
        <v>2830</v>
      </c>
      <c r="B1641" s="31" t="s">
        <v>2831</v>
      </c>
    </row>
    <row r="1642" spans="1:2" x14ac:dyDescent="0.25">
      <c r="A1642" t="s">
        <v>1923</v>
      </c>
      <c r="B1642" s="32" t="s">
        <v>1924</v>
      </c>
    </row>
    <row r="1643" spans="1:2" x14ac:dyDescent="0.25">
      <c r="A1643" s="31" t="s">
        <v>3417</v>
      </c>
      <c r="B1643" s="31" t="s">
        <v>1924</v>
      </c>
    </row>
    <row r="1644" spans="1:2" x14ac:dyDescent="0.25">
      <c r="A1644" s="31" t="s">
        <v>2832</v>
      </c>
      <c r="B1644" s="31" t="s">
        <v>1924</v>
      </c>
    </row>
    <row r="1645" spans="1:2" x14ac:dyDescent="0.25">
      <c r="A1645" s="29" t="s">
        <v>1630</v>
      </c>
      <c r="B1645" s="29" t="s">
        <v>1924</v>
      </c>
    </row>
    <row r="1646" spans="1:2" x14ac:dyDescent="0.25">
      <c r="A1646" s="31" t="s">
        <v>3458</v>
      </c>
      <c r="B1646" s="31" t="s">
        <v>3534</v>
      </c>
    </row>
    <row r="1647" spans="1:2" x14ac:dyDescent="0.25">
      <c r="A1647" s="29" t="s">
        <v>1925</v>
      </c>
      <c r="B1647" s="29" t="s">
        <v>1926</v>
      </c>
    </row>
    <row r="1648" spans="1:2" x14ac:dyDescent="0.25">
      <c r="A1648" s="29" t="s">
        <v>1094</v>
      </c>
      <c r="B1648" s="29" t="s">
        <v>1095</v>
      </c>
    </row>
    <row r="1649" spans="1:2" x14ac:dyDescent="0.25">
      <c r="A1649" s="31" t="s">
        <v>3275</v>
      </c>
      <c r="B1649" s="31" t="s">
        <v>3320</v>
      </c>
    </row>
    <row r="1650" spans="1:2" x14ac:dyDescent="0.25">
      <c r="A1650" s="29" t="s">
        <v>1584</v>
      </c>
      <c r="B1650" t="s">
        <v>1585</v>
      </c>
    </row>
    <row r="1651" spans="1:2" x14ac:dyDescent="0.25">
      <c r="A1651" s="29" t="s">
        <v>63</v>
      </c>
      <c r="B1651" s="29" t="s">
        <v>1096</v>
      </c>
    </row>
    <row r="1652" spans="1:2" x14ac:dyDescent="0.25">
      <c r="A1652" s="31" t="s">
        <v>3025</v>
      </c>
      <c r="B1652" s="31" t="s">
        <v>1098</v>
      </c>
    </row>
    <row r="1653" spans="1:2" x14ac:dyDescent="0.25">
      <c r="A1653" s="29" t="s">
        <v>1097</v>
      </c>
      <c r="B1653" s="29" t="s">
        <v>1098</v>
      </c>
    </row>
    <row r="1654" spans="1:2" x14ac:dyDescent="0.25">
      <c r="A1654" s="31" t="s">
        <v>3032</v>
      </c>
      <c r="B1654" s="31" t="s">
        <v>3062</v>
      </c>
    </row>
    <row r="1655" spans="1:2" x14ac:dyDescent="0.25">
      <c r="A1655" s="29" t="s">
        <v>124</v>
      </c>
      <c r="B1655" s="29" t="s">
        <v>1099</v>
      </c>
    </row>
    <row r="1656" spans="1:2" x14ac:dyDescent="0.25">
      <c r="A1656" s="29" t="s">
        <v>1632</v>
      </c>
      <c r="B1656" s="29" t="s">
        <v>1973</v>
      </c>
    </row>
    <row r="1657" spans="1:2" x14ac:dyDescent="0.25">
      <c r="A1657" s="29" t="s">
        <v>1927</v>
      </c>
      <c r="B1657" t="s">
        <v>1585</v>
      </c>
    </row>
    <row r="1658" spans="1:2" x14ac:dyDescent="0.25">
      <c r="A1658" s="29" t="s">
        <v>1928</v>
      </c>
      <c r="B1658" s="29" t="s">
        <v>1929</v>
      </c>
    </row>
    <row r="1659" spans="1:2" x14ac:dyDescent="0.25">
      <c r="A1659" s="31" t="s">
        <v>3788</v>
      </c>
      <c r="B1659" s="31" t="s">
        <v>3789</v>
      </c>
    </row>
    <row r="1660" spans="1:2" x14ac:dyDescent="0.25">
      <c r="A1660" s="29" t="s">
        <v>104</v>
      </c>
      <c r="B1660" s="29" t="s">
        <v>1100</v>
      </c>
    </row>
    <row r="1661" spans="1:2" x14ac:dyDescent="0.25">
      <c r="A1661" s="29" t="s">
        <v>1101</v>
      </c>
      <c r="B1661" s="29" t="s">
        <v>1102</v>
      </c>
    </row>
    <row r="1662" spans="1:2" x14ac:dyDescent="0.25">
      <c r="A1662" s="29" t="s">
        <v>1103</v>
      </c>
      <c r="B1662" s="29" t="s">
        <v>1104</v>
      </c>
    </row>
    <row r="1663" spans="1:2" x14ac:dyDescent="0.25">
      <c r="A1663" s="29" t="s">
        <v>144</v>
      </c>
      <c r="B1663" s="29" t="s">
        <v>245</v>
      </c>
    </row>
    <row r="1664" spans="1:2" x14ac:dyDescent="0.25">
      <c r="A1664" s="29" t="s">
        <v>2261</v>
      </c>
      <c r="B1664" s="29" t="s">
        <v>2262</v>
      </c>
    </row>
    <row r="1665" spans="1:2" x14ac:dyDescent="0.25">
      <c r="A1665" s="29" t="s">
        <v>2471</v>
      </c>
      <c r="B1665" s="29" t="s">
        <v>2508</v>
      </c>
    </row>
    <row r="1666" spans="1:2" x14ac:dyDescent="0.25">
      <c r="A1666" s="29" t="s">
        <v>143</v>
      </c>
      <c r="B1666" s="29" t="s">
        <v>1105</v>
      </c>
    </row>
    <row r="1667" spans="1:2" x14ac:dyDescent="0.25">
      <c r="A1667" t="s">
        <v>1374</v>
      </c>
      <c r="B1667" t="s">
        <v>1375</v>
      </c>
    </row>
    <row r="1668" spans="1:2" x14ac:dyDescent="0.25">
      <c r="A1668" s="29" t="s">
        <v>134</v>
      </c>
      <c r="B1668" s="29" t="s">
        <v>242</v>
      </c>
    </row>
    <row r="1669" spans="1:2" x14ac:dyDescent="0.25">
      <c r="A1669" s="29" t="s">
        <v>1106</v>
      </c>
      <c r="B1669" s="29" t="s">
        <v>242</v>
      </c>
    </row>
    <row r="1670" spans="1:2" x14ac:dyDescent="0.25">
      <c r="A1670" s="29" t="s">
        <v>1107</v>
      </c>
      <c r="B1670" s="29" t="s">
        <v>242</v>
      </c>
    </row>
    <row r="1671" spans="1:2" x14ac:dyDescent="0.25">
      <c r="A1671" s="31" t="s">
        <v>3274</v>
      </c>
      <c r="B1671" s="31" t="s">
        <v>3321</v>
      </c>
    </row>
    <row r="1672" spans="1:2" x14ac:dyDescent="0.25">
      <c r="A1672" s="29" t="s">
        <v>1109</v>
      </c>
      <c r="B1672" s="29" t="s">
        <v>1109</v>
      </c>
    </row>
    <row r="1673" spans="1:2" x14ac:dyDescent="0.25">
      <c r="A1673" s="29" t="s">
        <v>1108</v>
      </c>
      <c r="B1673" s="29" t="s">
        <v>1109</v>
      </c>
    </row>
    <row r="1674" spans="1:2" x14ac:dyDescent="0.25">
      <c r="A1674" s="31" t="s">
        <v>2659</v>
      </c>
      <c r="B1674" s="31" t="s">
        <v>2833</v>
      </c>
    </row>
    <row r="1675" spans="1:2" x14ac:dyDescent="0.25">
      <c r="A1675" s="31" t="s">
        <v>2528</v>
      </c>
      <c r="B1675" s="31" t="s">
        <v>2606</v>
      </c>
    </row>
    <row r="1676" spans="1:2" x14ac:dyDescent="0.25">
      <c r="A1676" t="s">
        <v>1930</v>
      </c>
      <c r="B1676" s="32" t="s">
        <v>1931</v>
      </c>
    </row>
    <row r="1677" spans="1:2" x14ac:dyDescent="0.25">
      <c r="A1677" s="31" t="s">
        <v>2563</v>
      </c>
      <c r="B1677" s="31" t="s">
        <v>2607</v>
      </c>
    </row>
    <row r="1678" spans="1:2" x14ac:dyDescent="0.25">
      <c r="A1678" s="29" t="s">
        <v>1586</v>
      </c>
      <c r="B1678" t="s">
        <v>1587</v>
      </c>
    </row>
    <row r="1679" spans="1:2" x14ac:dyDescent="0.25">
      <c r="A1679" s="29" t="s">
        <v>1654</v>
      </c>
      <c r="B1679" s="29" t="s">
        <v>1972</v>
      </c>
    </row>
    <row r="1680" spans="1:2" x14ac:dyDescent="0.25">
      <c r="A1680" s="29" t="s">
        <v>100</v>
      </c>
      <c r="B1680" s="29" t="s">
        <v>1146</v>
      </c>
    </row>
    <row r="1681" spans="1:2" x14ac:dyDescent="0.25">
      <c r="A1681" s="29" t="s">
        <v>2472</v>
      </c>
      <c r="B1681" s="29" t="s">
        <v>2509</v>
      </c>
    </row>
    <row r="1682" spans="1:2" x14ac:dyDescent="0.25">
      <c r="A1682" s="29" t="s">
        <v>1113</v>
      </c>
      <c r="B1682" s="29" t="s">
        <v>1114</v>
      </c>
    </row>
    <row r="1683" spans="1:2" x14ac:dyDescent="0.25">
      <c r="A1683" s="31" t="s">
        <v>3659</v>
      </c>
      <c r="B1683" s="31" t="s">
        <v>3790</v>
      </c>
    </row>
    <row r="1684" spans="1:2" x14ac:dyDescent="0.25">
      <c r="A1684" s="29" t="s">
        <v>1669</v>
      </c>
      <c r="B1684" s="29" t="s">
        <v>1115</v>
      </c>
    </row>
    <row r="1685" spans="1:2" x14ac:dyDescent="0.25">
      <c r="A1685" s="29" t="s">
        <v>2244</v>
      </c>
      <c r="B1685" s="29" t="s">
        <v>1115</v>
      </c>
    </row>
    <row r="1686" spans="1:2" x14ac:dyDescent="0.25">
      <c r="A1686" s="29" t="s">
        <v>145</v>
      </c>
      <c r="B1686" s="29" t="s">
        <v>1115</v>
      </c>
    </row>
    <row r="1687" spans="1:2" x14ac:dyDescent="0.25">
      <c r="A1687" s="29" t="s">
        <v>169</v>
      </c>
      <c r="B1687" s="29" t="s">
        <v>1116</v>
      </c>
    </row>
    <row r="1688" spans="1:2" x14ac:dyDescent="0.25">
      <c r="A1688" s="31" t="s">
        <v>4472</v>
      </c>
      <c r="B1688" s="31" t="s">
        <v>4473</v>
      </c>
    </row>
    <row r="1689" spans="1:2" x14ac:dyDescent="0.25">
      <c r="A1689" s="29" t="s">
        <v>1117</v>
      </c>
      <c r="B1689" s="29" t="s">
        <v>1118</v>
      </c>
    </row>
    <row r="1690" spans="1:2" x14ac:dyDescent="0.25">
      <c r="A1690" s="31" t="s">
        <v>3542</v>
      </c>
      <c r="B1690" s="31" t="s">
        <v>2835</v>
      </c>
    </row>
    <row r="1691" spans="1:2" x14ac:dyDescent="0.25">
      <c r="A1691" s="31" t="s">
        <v>2834</v>
      </c>
      <c r="B1691" s="31" t="s">
        <v>2835</v>
      </c>
    </row>
    <row r="1692" spans="1:2" x14ac:dyDescent="0.25">
      <c r="A1692" s="29" t="s">
        <v>1588</v>
      </c>
      <c r="B1692" t="s">
        <v>1589</v>
      </c>
    </row>
    <row r="1693" spans="1:2" x14ac:dyDescent="0.25">
      <c r="A1693" s="31" t="s">
        <v>4230</v>
      </c>
      <c r="B1693" s="31" t="s">
        <v>2835</v>
      </c>
    </row>
    <row r="1694" spans="1:2" x14ac:dyDescent="0.25">
      <c r="A1694" s="31" t="s">
        <v>2836</v>
      </c>
      <c r="B1694" s="31" t="s">
        <v>2837</v>
      </c>
    </row>
    <row r="1695" spans="1:2" x14ac:dyDescent="0.25">
      <c r="A1695" s="31" t="s">
        <v>2546</v>
      </c>
      <c r="B1695" s="31" t="s">
        <v>2120</v>
      </c>
    </row>
    <row r="1696" spans="1:2" x14ac:dyDescent="0.25">
      <c r="A1696" s="29" t="s">
        <v>2119</v>
      </c>
      <c r="B1696" s="29" t="s">
        <v>2120</v>
      </c>
    </row>
    <row r="1697" spans="1:2" x14ac:dyDescent="0.25">
      <c r="A1697" s="31" t="s">
        <v>4329</v>
      </c>
      <c r="B1697" s="31" t="s">
        <v>4474</v>
      </c>
    </row>
    <row r="1698" spans="1:2" x14ac:dyDescent="0.25">
      <c r="A1698" s="29" t="s">
        <v>2318</v>
      </c>
      <c r="B1698" s="29" t="s">
        <v>2319</v>
      </c>
    </row>
    <row r="1699" spans="1:2" x14ac:dyDescent="0.25">
      <c r="A1699" s="31" t="s">
        <v>2557</v>
      </c>
      <c r="B1699" s="31" t="s">
        <v>2608</v>
      </c>
    </row>
    <row r="1700" spans="1:2" x14ac:dyDescent="0.25">
      <c r="A1700" s="31" t="s">
        <v>3157</v>
      </c>
      <c r="B1700" s="31" t="s">
        <v>3225</v>
      </c>
    </row>
    <row r="1701" spans="1:2" x14ac:dyDescent="0.25">
      <c r="A1701" s="29" t="s">
        <v>1932</v>
      </c>
      <c r="B1701" s="29" t="s">
        <v>1933</v>
      </c>
    </row>
    <row r="1702" spans="1:2" x14ac:dyDescent="0.25">
      <c r="A1702" s="31" t="s">
        <v>3142</v>
      </c>
      <c r="B1702" s="31" t="s">
        <v>3226</v>
      </c>
    </row>
    <row r="1703" spans="1:2" x14ac:dyDescent="0.25">
      <c r="A1703" s="29" t="s">
        <v>2296</v>
      </c>
      <c r="B1703" s="29" t="s">
        <v>2297</v>
      </c>
    </row>
    <row r="1704" spans="1:2" x14ac:dyDescent="0.25">
      <c r="A1704" s="29" t="s">
        <v>1639</v>
      </c>
      <c r="B1704" s="29" t="s">
        <v>1971</v>
      </c>
    </row>
    <row r="1705" spans="1:2" x14ac:dyDescent="0.25">
      <c r="A1705" s="29" t="s">
        <v>1681</v>
      </c>
      <c r="B1705" s="29" t="s">
        <v>1970</v>
      </c>
    </row>
    <row r="1706" spans="1:2" x14ac:dyDescent="0.25">
      <c r="A1706" s="31" t="s">
        <v>2904</v>
      </c>
      <c r="B1706" s="31" t="s">
        <v>3018</v>
      </c>
    </row>
    <row r="1707" spans="1:2" x14ac:dyDescent="0.25">
      <c r="A1707" s="31" t="s">
        <v>2838</v>
      </c>
      <c r="B1707" s="31" t="s">
        <v>2839</v>
      </c>
    </row>
    <row r="1708" spans="1:2" x14ac:dyDescent="0.25">
      <c r="A1708" s="31" t="s">
        <v>2549</v>
      </c>
      <c r="B1708" s="31" t="s">
        <v>2609</v>
      </c>
    </row>
    <row r="1709" spans="1:2" x14ac:dyDescent="0.25">
      <c r="A1709" s="29" t="s">
        <v>2135</v>
      </c>
      <c r="B1709" s="29" t="s">
        <v>2136</v>
      </c>
    </row>
    <row r="1710" spans="1:2" x14ac:dyDescent="0.25">
      <c r="A1710" t="s">
        <v>1376</v>
      </c>
      <c r="B1710" t="s">
        <v>1377</v>
      </c>
    </row>
    <row r="1711" spans="1:2" x14ac:dyDescent="0.25">
      <c r="A1711" s="31" t="s">
        <v>2936</v>
      </c>
      <c r="B1711" s="31" t="s">
        <v>3019</v>
      </c>
    </row>
    <row r="1712" spans="1:2" x14ac:dyDescent="0.25">
      <c r="A1712" s="29" t="s">
        <v>1119</v>
      </c>
      <c r="B1712" s="29" t="s">
        <v>1120</v>
      </c>
    </row>
    <row r="1713" spans="1:2" x14ac:dyDescent="0.25">
      <c r="A1713" s="31" t="s">
        <v>3487</v>
      </c>
      <c r="B1713" s="31" t="s">
        <v>3535</v>
      </c>
    </row>
    <row r="1714" spans="1:2" x14ac:dyDescent="0.25">
      <c r="A1714" s="29" t="s">
        <v>1590</v>
      </c>
      <c r="B1714" t="s">
        <v>1591</v>
      </c>
    </row>
    <row r="1715" spans="1:2" x14ac:dyDescent="0.25">
      <c r="A1715" s="29" t="s">
        <v>1121</v>
      </c>
      <c r="B1715" s="29" t="s">
        <v>1122</v>
      </c>
    </row>
    <row r="1716" spans="1:2" x14ac:dyDescent="0.25">
      <c r="A1716" s="31" t="s">
        <v>3498</v>
      </c>
      <c r="B1716" s="31" t="s">
        <v>3536</v>
      </c>
    </row>
    <row r="1717" spans="1:2" x14ac:dyDescent="0.25">
      <c r="A1717" s="29" t="s">
        <v>1123</v>
      </c>
      <c r="B1717" s="29" t="s">
        <v>1124</v>
      </c>
    </row>
    <row r="1718" spans="1:2" x14ac:dyDescent="0.25">
      <c r="A1718" s="29" t="s">
        <v>1592</v>
      </c>
      <c r="B1718" t="s">
        <v>1593</v>
      </c>
    </row>
    <row r="1719" spans="1:2" x14ac:dyDescent="0.25">
      <c r="A1719" s="31" t="s">
        <v>3034</v>
      </c>
      <c r="B1719" s="31" t="s">
        <v>3064</v>
      </c>
    </row>
    <row r="1720" spans="1:2" x14ac:dyDescent="0.25">
      <c r="A1720" s="29" t="s">
        <v>627</v>
      </c>
      <c r="B1720" s="29" t="s">
        <v>628</v>
      </c>
    </row>
    <row r="1721" spans="1:2" x14ac:dyDescent="0.25">
      <c r="A1721" s="31" t="s">
        <v>3028</v>
      </c>
      <c r="B1721" s="31" t="s">
        <v>3059</v>
      </c>
    </row>
    <row r="1722" spans="1:2" x14ac:dyDescent="0.25">
      <c r="A1722" s="31" t="s">
        <v>3435</v>
      </c>
      <c r="B1722" s="31" t="s">
        <v>3450</v>
      </c>
    </row>
    <row r="1723" spans="1:2" x14ac:dyDescent="0.25">
      <c r="A1723" s="29" t="s">
        <v>760</v>
      </c>
      <c r="B1723" s="29" t="s">
        <v>761</v>
      </c>
    </row>
    <row r="1724" spans="1:2" x14ac:dyDescent="0.25">
      <c r="A1724" t="s">
        <v>1743</v>
      </c>
      <c r="B1724" s="32" t="s">
        <v>1744</v>
      </c>
    </row>
    <row r="1725" spans="1:2" x14ac:dyDescent="0.25">
      <c r="A1725" s="31" t="s">
        <v>3128</v>
      </c>
      <c r="B1725" s="31" t="s">
        <v>3227</v>
      </c>
    </row>
    <row r="1726" spans="1:2" x14ac:dyDescent="0.25">
      <c r="A1726" s="31" t="s">
        <v>3480</v>
      </c>
      <c r="B1726" s="31" t="s">
        <v>3537</v>
      </c>
    </row>
    <row r="1727" spans="1:2" x14ac:dyDescent="0.25">
      <c r="A1727" s="29" t="s">
        <v>2096</v>
      </c>
      <c r="B1727" s="29" t="s">
        <v>2097</v>
      </c>
    </row>
    <row r="1728" spans="1:2" x14ac:dyDescent="0.25">
      <c r="A1728" s="31" t="s">
        <v>3685</v>
      </c>
      <c r="B1728" s="31" t="s">
        <v>3791</v>
      </c>
    </row>
    <row r="1729" spans="1:2" x14ac:dyDescent="0.25">
      <c r="A1729" s="31" t="s">
        <v>3553</v>
      </c>
      <c r="B1729" s="31" t="s">
        <v>3584</v>
      </c>
    </row>
    <row r="1730" spans="1:2" x14ac:dyDescent="0.25">
      <c r="A1730" s="29" t="s">
        <v>2159</v>
      </c>
      <c r="B1730" s="29" t="s">
        <v>2160</v>
      </c>
    </row>
    <row r="1731" spans="1:2" x14ac:dyDescent="0.25">
      <c r="A1731" s="31" t="s">
        <v>3120</v>
      </c>
      <c r="B1731" s="31" t="s">
        <v>3228</v>
      </c>
    </row>
    <row r="1732" spans="1:2" x14ac:dyDescent="0.25">
      <c r="A1732" s="31" t="s">
        <v>3644</v>
      </c>
      <c r="B1732" s="31" t="s">
        <v>3792</v>
      </c>
    </row>
    <row r="1733" spans="1:2" x14ac:dyDescent="0.25">
      <c r="A1733" s="29" t="s">
        <v>2284</v>
      </c>
      <c r="B1733" s="29" t="s">
        <v>2285</v>
      </c>
    </row>
    <row r="1734" spans="1:2" x14ac:dyDescent="0.25">
      <c r="A1734" s="29" t="s">
        <v>2292</v>
      </c>
      <c r="B1734" s="29" t="s">
        <v>2293</v>
      </c>
    </row>
    <row r="1735" spans="1:2" x14ac:dyDescent="0.25">
      <c r="A1735" s="31" t="s">
        <v>3665</v>
      </c>
      <c r="B1735" s="31" t="s">
        <v>3793</v>
      </c>
    </row>
    <row r="1736" spans="1:2" x14ac:dyDescent="0.25">
      <c r="A1736" s="31" t="s">
        <v>3268</v>
      </c>
      <c r="B1736" s="31" t="s">
        <v>3312</v>
      </c>
    </row>
    <row r="1737" spans="1:2" x14ac:dyDescent="0.25">
      <c r="A1737" s="31" t="s">
        <v>3794</v>
      </c>
      <c r="B1737" s="31" t="s">
        <v>3795</v>
      </c>
    </row>
    <row r="1738" spans="1:2" x14ac:dyDescent="0.25">
      <c r="A1738" s="29" t="s">
        <v>2206</v>
      </c>
      <c r="B1738" s="29" t="s">
        <v>2207</v>
      </c>
    </row>
    <row r="1739" spans="1:2" x14ac:dyDescent="0.25">
      <c r="A1739" s="29" t="s">
        <v>1594</v>
      </c>
      <c r="B1739" t="s">
        <v>1595</v>
      </c>
    </row>
    <row r="1740" spans="1:2" x14ac:dyDescent="0.25">
      <c r="A1740" s="29" t="s">
        <v>732</v>
      </c>
      <c r="B1740" s="29" t="s">
        <v>733</v>
      </c>
    </row>
    <row r="1741" spans="1:2" x14ac:dyDescent="0.25">
      <c r="A1741" s="29" t="s">
        <v>1596</v>
      </c>
      <c r="B1741" t="s">
        <v>1597</v>
      </c>
    </row>
    <row r="1742" spans="1:2" x14ac:dyDescent="0.25">
      <c r="A1742" s="31" t="s">
        <v>3472</v>
      </c>
      <c r="B1742" s="31" t="s">
        <v>3538</v>
      </c>
    </row>
    <row r="1743" spans="1:2" x14ac:dyDescent="0.25">
      <c r="A1743" s="31" t="s">
        <v>3796</v>
      </c>
      <c r="B1743" s="31" t="s">
        <v>3797</v>
      </c>
    </row>
    <row r="1744" spans="1:2" x14ac:dyDescent="0.25">
      <c r="A1744" s="29" t="s">
        <v>2263</v>
      </c>
      <c r="B1744" s="29" t="s">
        <v>2264</v>
      </c>
    </row>
    <row r="1745" spans="1:2" x14ac:dyDescent="0.25">
      <c r="A1745" s="29" t="s">
        <v>2454</v>
      </c>
      <c r="B1745" s="29" t="s">
        <v>2494</v>
      </c>
    </row>
    <row r="1746" spans="1:2" x14ac:dyDescent="0.25">
      <c r="A1746" t="s">
        <v>1808</v>
      </c>
      <c r="B1746" s="32" t="s">
        <v>1809</v>
      </c>
    </row>
    <row r="1747" spans="1:2" x14ac:dyDescent="0.25">
      <c r="A1747" s="29" t="s">
        <v>1127</v>
      </c>
      <c r="B1747" s="29" t="s">
        <v>1128</v>
      </c>
    </row>
    <row r="1748" spans="1:2" x14ac:dyDescent="0.25">
      <c r="A1748" s="29" t="s">
        <v>2076</v>
      </c>
      <c r="B1748" s="29" t="s">
        <v>2077</v>
      </c>
    </row>
    <row r="1749" spans="1:2" x14ac:dyDescent="0.25">
      <c r="A1749" s="31" t="s">
        <v>3264</v>
      </c>
      <c r="B1749" s="31" t="s">
        <v>3313</v>
      </c>
    </row>
    <row r="1750" spans="1:2" x14ac:dyDescent="0.25">
      <c r="A1750" s="31" t="s">
        <v>2840</v>
      </c>
      <c r="B1750" s="31" t="s">
        <v>2841</v>
      </c>
    </row>
    <row r="1751" spans="1:2" x14ac:dyDescent="0.25">
      <c r="A1751" t="s">
        <v>1934</v>
      </c>
      <c r="B1751" s="32" t="s">
        <v>1935</v>
      </c>
    </row>
    <row r="1752" spans="1:2" x14ac:dyDescent="0.25">
      <c r="A1752" t="s">
        <v>1378</v>
      </c>
      <c r="B1752" t="s">
        <v>1379</v>
      </c>
    </row>
    <row r="1753" spans="1:2" x14ac:dyDescent="0.25">
      <c r="A1753" s="31" t="s">
        <v>2842</v>
      </c>
      <c r="B1753" s="31" t="s">
        <v>2843</v>
      </c>
    </row>
    <row r="1754" spans="1:2" x14ac:dyDescent="0.25">
      <c r="A1754" t="s">
        <v>1936</v>
      </c>
      <c r="B1754" s="32" t="s">
        <v>1937</v>
      </c>
    </row>
    <row r="1755" spans="1:2" x14ac:dyDescent="0.25">
      <c r="A1755" s="31" t="s">
        <v>3258</v>
      </c>
      <c r="B1755" s="31" t="s">
        <v>3314</v>
      </c>
    </row>
    <row r="1756" spans="1:2" x14ac:dyDescent="0.25">
      <c r="A1756" s="31" t="s">
        <v>3123</v>
      </c>
      <c r="B1756" s="31" t="s">
        <v>3229</v>
      </c>
    </row>
    <row r="1757" spans="1:2" x14ac:dyDescent="0.25">
      <c r="A1757" s="29" t="s">
        <v>2357</v>
      </c>
      <c r="B1757" s="29" t="s">
        <v>2358</v>
      </c>
    </row>
    <row r="1758" spans="1:2" x14ac:dyDescent="0.25">
      <c r="A1758" s="29" t="s">
        <v>197</v>
      </c>
      <c r="B1758" s="29" t="s">
        <v>254</v>
      </c>
    </row>
    <row r="1759" spans="1:2" x14ac:dyDescent="0.25">
      <c r="A1759" s="29" t="s">
        <v>2461</v>
      </c>
      <c r="B1759" s="29" t="s">
        <v>2499</v>
      </c>
    </row>
    <row r="1760" spans="1:2" x14ac:dyDescent="0.25">
      <c r="A1760" t="s">
        <v>1380</v>
      </c>
      <c r="B1760" t="s">
        <v>1381</v>
      </c>
    </row>
    <row r="1761" spans="1:2" x14ac:dyDescent="0.25">
      <c r="A1761" s="31" t="s">
        <v>2844</v>
      </c>
      <c r="B1761" s="31" t="s">
        <v>2845</v>
      </c>
    </row>
    <row r="1762" spans="1:2" x14ac:dyDescent="0.25">
      <c r="A1762" s="31" t="s">
        <v>3688</v>
      </c>
      <c r="B1762" s="31" t="s">
        <v>3798</v>
      </c>
    </row>
    <row r="1763" spans="1:2" x14ac:dyDescent="0.25">
      <c r="A1763" s="31" t="s">
        <v>4475</v>
      </c>
      <c r="B1763" s="31" t="s">
        <v>4476</v>
      </c>
    </row>
    <row r="1764" spans="1:2" x14ac:dyDescent="0.25">
      <c r="A1764" s="31" t="s">
        <v>2529</v>
      </c>
      <c r="B1764" s="31" t="s">
        <v>2610</v>
      </c>
    </row>
    <row r="1765" spans="1:2" x14ac:dyDescent="0.25">
      <c r="A1765" s="29" t="s">
        <v>2173</v>
      </c>
      <c r="B1765" s="29" t="s">
        <v>2174</v>
      </c>
    </row>
    <row r="1766" spans="1:2" x14ac:dyDescent="0.25">
      <c r="A1766" s="29" t="s">
        <v>66</v>
      </c>
      <c r="B1766" s="29" t="s">
        <v>233</v>
      </c>
    </row>
    <row r="1767" spans="1:2" x14ac:dyDescent="0.25">
      <c r="A1767" s="29" t="s">
        <v>2477</v>
      </c>
      <c r="B1767" s="29" t="s">
        <v>2513</v>
      </c>
    </row>
    <row r="1768" spans="1:2" x14ac:dyDescent="0.25">
      <c r="A1768" s="29" t="s">
        <v>2408</v>
      </c>
      <c r="B1768" s="29" t="s">
        <v>2409</v>
      </c>
    </row>
    <row r="1769" spans="1:2" x14ac:dyDescent="0.25">
      <c r="A1769" s="29" t="s">
        <v>1598</v>
      </c>
      <c r="B1769" t="s">
        <v>1599</v>
      </c>
    </row>
    <row r="1770" spans="1:2" x14ac:dyDescent="0.25">
      <c r="A1770" t="s">
        <v>1938</v>
      </c>
      <c r="B1770" s="32" t="s">
        <v>1939</v>
      </c>
    </row>
    <row r="1771" spans="1:2" x14ac:dyDescent="0.25">
      <c r="A1771" s="29" t="s">
        <v>1191</v>
      </c>
      <c r="B1771" t="s">
        <v>1260</v>
      </c>
    </row>
    <row r="1772" spans="1:2" x14ac:dyDescent="0.25">
      <c r="A1772" s="29" t="s">
        <v>1133</v>
      </c>
      <c r="B1772" s="29" t="s">
        <v>1134</v>
      </c>
    </row>
    <row r="1773" spans="1:2" x14ac:dyDescent="0.25">
      <c r="A1773" s="31" t="s">
        <v>2888</v>
      </c>
      <c r="B1773" s="31" t="s">
        <v>3020</v>
      </c>
    </row>
    <row r="1774" spans="1:2" x14ac:dyDescent="0.25">
      <c r="A1774" s="31" t="s">
        <v>3433</v>
      </c>
      <c r="B1774" s="31" t="s">
        <v>3451</v>
      </c>
    </row>
    <row r="1775" spans="1:2" x14ac:dyDescent="0.25">
      <c r="A1775" s="29" t="s">
        <v>150</v>
      </c>
      <c r="B1775" s="29" t="s">
        <v>1135</v>
      </c>
    </row>
    <row r="1776" spans="1:2" x14ac:dyDescent="0.25">
      <c r="A1776" t="s">
        <v>1382</v>
      </c>
      <c r="B1776" t="s">
        <v>1383</v>
      </c>
    </row>
    <row r="1777" spans="1:2" x14ac:dyDescent="0.25">
      <c r="A1777" s="31" t="s">
        <v>2846</v>
      </c>
      <c r="B1777" s="31" t="s">
        <v>2847</v>
      </c>
    </row>
    <row r="1778" spans="1:2" x14ac:dyDescent="0.25">
      <c r="A1778" s="31" t="s">
        <v>3418</v>
      </c>
      <c r="B1778" s="31" t="s">
        <v>3419</v>
      </c>
    </row>
    <row r="1779" spans="1:2" x14ac:dyDescent="0.25">
      <c r="A1779" s="31" t="s">
        <v>3244</v>
      </c>
      <c r="B1779" s="31" t="s">
        <v>3315</v>
      </c>
    </row>
    <row r="1780" spans="1:2" x14ac:dyDescent="0.25">
      <c r="A1780" s="31" t="s">
        <v>3653</v>
      </c>
      <c r="B1780" s="31" t="s">
        <v>3799</v>
      </c>
    </row>
    <row r="1781" spans="1:2" x14ac:dyDescent="0.25">
      <c r="A1781" s="31" t="s">
        <v>3489</v>
      </c>
      <c r="B1781" s="31" t="s">
        <v>3539</v>
      </c>
    </row>
    <row r="1782" spans="1:2" x14ac:dyDescent="0.25">
      <c r="A1782" s="31" t="s">
        <v>3027</v>
      </c>
      <c r="B1782" s="31" t="s">
        <v>3058</v>
      </c>
    </row>
    <row r="1783" spans="1:2" x14ac:dyDescent="0.25">
      <c r="A1783" s="29" t="s">
        <v>2377</v>
      </c>
      <c r="B1783" s="29" t="s">
        <v>1036</v>
      </c>
    </row>
    <row r="1784" spans="1:2" x14ac:dyDescent="0.25">
      <c r="A1784" s="31" t="s">
        <v>2848</v>
      </c>
      <c r="B1784" s="31" t="s">
        <v>2849</v>
      </c>
    </row>
    <row r="1785" spans="1:2" x14ac:dyDescent="0.25">
      <c r="A1785" s="29" t="s">
        <v>2071</v>
      </c>
      <c r="B1785" s="29" t="s">
        <v>2611</v>
      </c>
    </row>
    <row r="1786" spans="1:2" x14ac:dyDescent="0.25">
      <c r="A1786" s="29" t="s">
        <v>2464</v>
      </c>
      <c r="B1786" s="29" t="s">
        <v>2501</v>
      </c>
    </row>
    <row r="1787" spans="1:2" x14ac:dyDescent="0.25">
      <c r="A1787" s="29" t="s">
        <v>2612</v>
      </c>
      <c r="B1787" s="29" t="s">
        <v>2405</v>
      </c>
    </row>
    <row r="1788" spans="1:2" x14ac:dyDescent="0.25">
      <c r="A1788" s="29" t="s">
        <v>2257</v>
      </c>
      <c r="B1788" s="29" t="s">
        <v>2405</v>
      </c>
    </row>
    <row r="1789" spans="1:2" x14ac:dyDescent="0.25">
      <c r="A1789" s="29" t="s">
        <v>2258</v>
      </c>
      <c r="B1789" s="29" t="s">
        <v>2405</v>
      </c>
    </row>
    <row r="1790" spans="1:2" x14ac:dyDescent="0.25">
      <c r="A1790" s="31" t="s">
        <v>4477</v>
      </c>
      <c r="B1790" s="31" t="s">
        <v>4478</v>
      </c>
    </row>
    <row r="1791" spans="1:2" x14ac:dyDescent="0.25">
      <c r="A1791" s="31" t="s">
        <v>2850</v>
      </c>
      <c r="B1791" s="31" t="s">
        <v>2851</v>
      </c>
    </row>
    <row r="1792" spans="1:2" x14ac:dyDescent="0.25">
      <c r="A1792" s="31" t="s">
        <v>2628</v>
      </c>
      <c r="B1792" s="31" t="s">
        <v>2852</v>
      </c>
    </row>
    <row r="1793" spans="1:2" x14ac:dyDescent="0.25">
      <c r="A1793" s="29" t="s">
        <v>1600</v>
      </c>
      <c r="B1793" t="s">
        <v>1601</v>
      </c>
    </row>
    <row r="1794" spans="1:2" x14ac:dyDescent="0.25">
      <c r="A1794" s="29" t="s">
        <v>1136</v>
      </c>
      <c r="B1794" s="29" t="s">
        <v>1137</v>
      </c>
    </row>
    <row r="1795" spans="1:2" x14ac:dyDescent="0.25">
      <c r="A1795" s="29" t="s">
        <v>1170</v>
      </c>
      <c r="B1795" s="29" t="s">
        <v>1137</v>
      </c>
    </row>
    <row r="1796" spans="1:2" x14ac:dyDescent="0.25">
      <c r="A1796" s="29" t="s">
        <v>46</v>
      </c>
      <c r="B1796" s="29" t="s">
        <v>1137</v>
      </c>
    </row>
    <row r="1797" spans="1:2" x14ac:dyDescent="0.25">
      <c r="A1797" s="29" t="s">
        <v>1138</v>
      </c>
      <c r="B1797" s="29" t="s">
        <v>1139</v>
      </c>
    </row>
    <row r="1798" spans="1:2" x14ac:dyDescent="0.25">
      <c r="A1798" s="31" t="s">
        <v>2877</v>
      </c>
      <c r="B1798" s="31" t="s">
        <v>3021</v>
      </c>
    </row>
    <row r="1799" spans="1:2" x14ac:dyDescent="0.25">
      <c r="A1799" s="29" t="s">
        <v>1602</v>
      </c>
      <c r="B1799" t="s">
        <v>1603</v>
      </c>
    </row>
    <row r="1800" spans="1:2" x14ac:dyDescent="0.25">
      <c r="A1800" s="29" t="s">
        <v>1140</v>
      </c>
      <c r="B1800" s="29" t="s">
        <v>1141</v>
      </c>
    </row>
    <row r="1801" spans="1:2" x14ac:dyDescent="0.25">
      <c r="A1801" s="31" t="s">
        <v>3335</v>
      </c>
      <c r="B1801" s="31" t="s">
        <v>3420</v>
      </c>
    </row>
    <row r="1802" spans="1:2" x14ac:dyDescent="0.25">
      <c r="A1802" s="29" t="s">
        <v>1670</v>
      </c>
      <c r="B1802" s="29" t="s">
        <v>1969</v>
      </c>
    </row>
    <row r="1803" spans="1:2" x14ac:dyDescent="0.25">
      <c r="A1803" s="31" t="s">
        <v>2619</v>
      </c>
      <c r="B1803" s="31" t="s">
        <v>2853</v>
      </c>
    </row>
    <row r="1804" spans="1:2" x14ac:dyDescent="0.25">
      <c r="A1804" s="31" t="s">
        <v>2935</v>
      </c>
      <c r="B1804" s="31" t="s">
        <v>3022</v>
      </c>
    </row>
    <row r="1805" spans="1:2" x14ac:dyDescent="0.25">
      <c r="A1805" s="29" t="s">
        <v>1142</v>
      </c>
      <c r="B1805" s="29" t="s">
        <v>1143</v>
      </c>
    </row>
    <row r="1806" spans="1:2" x14ac:dyDescent="0.25">
      <c r="A1806" s="31" t="s">
        <v>3800</v>
      </c>
      <c r="B1806" s="31" t="s">
        <v>3801</v>
      </c>
    </row>
    <row r="1807" spans="1:2" x14ac:dyDescent="0.25">
      <c r="A1807" s="31" t="s">
        <v>2854</v>
      </c>
      <c r="B1807" s="31" t="s">
        <v>2855</v>
      </c>
    </row>
    <row r="1808" spans="1:2" x14ac:dyDescent="0.25">
      <c r="A1808" t="s">
        <v>1953</v>
      </c>
      <c r="B1808" s="32" t="s">
        <v>1954</v>
      </c>
    </row>
    <row r="1809" spans="1:2" x14ac:dyDescent="0.25">
      <c r="A1809" s="29" t="s">
        <v>2108</v>
      </c>
      <c r="B1809" s="29" t="s">
        <v>2109</v>
      </c>
    </row>
    <row r="1810" spans="1:2" x14ac:dyDescent="0.25">
      <c r="A1810" s="31" t="s">
        <v>3129</v>
      </c>
      <c r="B1810" s="31" t="s">
        <v>3230</v>
      </c>
    </row>
    <row r="1811" spans="1:2" x14ac:dyDescent="0.25">
      <c r="A1811" s="31" t="s">
        <v>4046</v>
      </c>
      <c r="B1811" s="31" t="s">
        <v>4479</v>
      </c>
    </row>
    <row r="1812" spans="1:2" x14ac:dyDescent="0.25">
      <c r="A1812" s="31" t="s">
        <v>3122</v>
      </c>
      <c r="B1812" s="31" t="s">
        <v>3231</v>
      </c>
    </row>
    <row r="1813" spans="1:2" x14ac:dyDescent="0.25">
      <c r="A1813" s="29" t="s">
        <v>2056</v>
      </c>
      <c r="B1813" s="29" t="s">
        <v>2057</v>
      </c>
    </row>
    <row r="1814" spans="1:2" x14ac:dyDescent="0.25">
      <c r="A1814" t="s">
        <v>1384</v>
      </c>
      <c r="B1814" t="s">
        <v>1385</v>
      </c>
    </row>
    <row r="1815" spans="1:2" x14ac:dyDescent="0.25">
      <c r="A1815" s="31" t="s">
        <v>3243</v>
      </c>
      <c r="B1815" s="31" t="s">
        <v>3316</v>
      </c>
    </row>
    <row r="1816" spans="1:2" x14ac:dyDescent="0.25">
      <c r="A1816" s="29" t="s">
        <v>1604</v>
      </c>
      <c r="B1816" t="s">
        <v>1605</v>
      </c>
    </row>
    <row r="1817" spans="1:2" x14ac:dyDescent="0.25">
      <c r="A1817" s="29" t="s">
        <v>1606</v>
      </c>
      <c r="B1817" t="s">
        <v>1607</v>
      </c>
    </row>
    <row r="1818" spans="1:2" x14ac:dyDescent="0.25">
      <c r="A1818" t="s">
        <v>1940</v>
      </c>
      <c r="B1818" s="32" t="s">
        <v>1941</v>
      </c>
    </row>
    <row r="1819" spans="1:2" x14ac:dyDescent="0.25">
      <c r="A1819" s="29" t="s">
        <v>1652</v>
      </c>
      <c r="B1819" s="29" t="s">
        <v>1968</v>
      </c>
    </row>
    <row r="1820" spans="1:2" x14ac:dyDescent="0.25">
      <c r="A1820" s="31" t="s">
        <v>3169</v>
      </c>
      <c r="B1820" s="31" t="s">
        <v>3232</v>
      </c>
    </row>
    <row r="1821" spans="1:2" x14ac:dyDescent="0.25">
      <c r="A1821" s="29" t="s">
        <v>1147</v>
      </c>
      <c r="B1821" s="29" t="s">
        <v>1148</v>
      </c>
    </row>
    <row r="1822" spans="1:2" x14ac:dyDescent="0.25">
      <c r="A1822" s="29" t="s">
        <v>1608</v>
      </c>
      <c r="B1822" t="s">
        <v>1609</v>
      </c>
    </row>
    <row r="1823" spans="1:2" x14ac:dyDescent="0.25">
      <c r="A1823" s="29" t="s">
        <v>30</v>
      </c>
      <c r="B1823" s="29" t="s">
        <v>790</v>
      </c>
    </row>
    <row r="1824" spans="1:2" x14ac:dyDescent="0.25">
      <c r="A1824" s="29" t="s">
        <v>825</v>
      </c>
      <c r="B1824" s="29" t="s">
        <v>826</v>
      </c>
    </row>
    <row r="1825" spans="1:2" x14ac:dyDescent="0.25">
      <c r="A1825" s="29" t="s">
        <v>2069</v>
      </c>
      <c r="B1825" s="29" t="s">
        <v>2070</v>
      </c>
    </row>
    <row r="1826" spans="1:2" x14ac:dyDescent="0.25">
      <c r="A1826" t="s">
        <v>1942</v>
      </c>
      <c r="B1826" s="32" t="s">
        <v>1943</v>
      </c>
    </row>
    <row r="1827" spans="1:2" x14ac:dyDescent="0.25">
      <c r="A1827" s="31" t="s">
        <v>2856</v>
      </c>
      <c r="B1827" s="31" t="s">
        <v>2857</v>
      </c>
    </row>
    <row r="1828" spans="1:2" x14ac:dyDescent="0.25">
      <c r="A1828" t="s">
        <v>1386</v>
      </c>
      <c r="B1828" t="s">
        <v>1387</v>
      </c>
    </row>
    <row r="1829" spans="1:2" x14ac:dyDescent="0.25">
      <c r="A1829" s="29" t="s">
        <v>1610</v>
      </c>
      <c r="B1829" t="s">
        <v>1611</v>
      </c>
    </row>
    <row r="1830" spans="1:2" x14ac:dyDescent="0.25">
      <c r="A1830" t="s">
        <v>1388</v>
      </c>
      <c r="B1830" t="s">
        <v>1389</v>
      </c>
    </row>
    <row r="1831" spans="1:2" x14ac:dyDescent="0.25">
      <c r="A1831" s="29" t="s">
        <v>1217</v>
      </c>
      <c r="B1831" s="29" t="s">
        <v>1261</v>
      </c>
    </row>
    <row r="1832" spans="1:2" x14ac:dyDescent="0.25">
      <c r="A1832" s="31" t="s">
        <v>4480</v>
      </c>
      <c r="B1832" s="31" t="s">
        <v>4481</v>
      </c>
    </row>
    <row r="1833" spans="1:2" x14ac:dyDescent="0.25">
      <c r="A1833" s="29" t="s">
        <v>1612</v>
      </c>
      <c r="B1833" t="s">
        <v>1261</v>
      </c>
    </row>
    <row r="1834" spans="1:2" x14ac:dyDescent="0.25">
      <c r="A1834" s="29" t="s">
        <v>2286</v>
      </c>
      <c r="B1834" s="29" t="s">
        <v>2287</v>
      </c>
    </row>
    <row r="1835" spans="1:2" x14ac:dyDescent="0.25">
      <c r="A1835" s="31" t="s">
        <v>3421</v>
      </c>
      <c r="B1835" s="31" t="s">
        <v>3422</v>
      </c>
    </row>
    <row r="1836" spans="1:2" x14ac:dyDescent="0.25">
      <c r="A1836" s="29" t="s">
        <v>2371</v>
      </c>
      <c r="B1836" s="29" t="s">
        <v>2372</v>
      </c>
    </row>
    <row r="1837" spans="1:2" x14ac:dyDescent="0.25">
      <c r="A1837" s="31" t="s">
        <v>3423</v>
      </c>
      <c r="B1837" s="31" t="s">
        <v>3424</v>
      </c>
    </row>
    <row r="1838" spans="1:2" x14ac:dyDescent="0.25">
      <c r="A1838" s="31" t="s">
        <v>3591</v>
      </c>
      <c r="B1838" s="31" t="s">
        <v>3634</v>
      </c>
    </row>
    <row r="1839" spans="1:2" x14ac:dyDescent="0.25">
      <c r="A1839" s="29" t="s">
        <v>111</v>
      </c>
      <c r="B1839" s="29" t="s">
        <v>239</v>
      </c>
    </row>
    <row r="1840" spans="1:2" x14ac:dyDescent="0.25">
      <c r="A1840" s="29" t="s">
        <v>183</v>
      </c>
      <c r="B1840" s="29" t="s">
        <v>239</v>
      </c>
    </row>
    <row r="1841" spans="1:2" x14ac:dyDescent="0.25">
      <c r="A1841" s="29" t="s">
        <v>95</v>
      </c>
      <c r="B1841" s="29" t="s">
        <v>236</v>
      </c>
    </row>
    <row r="1842" spans="1:2" x14ac:dyDescent="0.25">
      <c r="A1842" s="29" t="s">
        <v>182</v>
      </c>
      <c r="B1842" s="29" t="s">
        <v>252</v>
      </c>
    </row>
    <row r="1843" spans="1:2" x14ac:dyDescent="0.25">
      <c r="A1843" s="29" t="s">
        <v>1149</v>
      </c>
      <c r="B1843" s="29" t="s">
        <v>239</v>
      </c>
    </row>
    <row r="1844" spans="1:2" x14ac:dyDescent="0.25">
      <c r="A1844" s="29" t="s">
        <v>22</v>
      </c>
      <c r="B1844" s="29" t="s">
        <v>239</v>
      </c>
    </row>
    <row r="1845" spans="1:2" x14ac:dyDescent="0.25">
      <c r="A1845" s="29" t="s">
        <v>2163</v>
      </c>
      <c r="B1845" s="29" t="s">
        <v>2164</v>
      </c>
    </row>
    <row r="1846" spans="1:2" x14ac:dyDescent="0.25">
      <c r="A1846" s="29" t="s">
        <v>2163</v>
      </c>
      <c r="B1846" s="29" t="s">
        <v>2165</v>
      </c>
    </row>
    <row r="1847" spans="1:2" x14ac:dyDescent="0.25">
      <c r="A1847" s="31" t="s">
        <v>2858</v>
      </c>
      <c r="B1847" s="31" t="s">
        <v>2859</v>
      </c>
    </row>
    <row r="1848" spans="1:2" x14ac:dyDescent="0.25">
      <c r="A1848" s="31" t="s">
        <v>2860</v>
      </c>
      <c r="B1848" s="31" t="s">
        <v>2861</v>
      </c>
    </row>
    <row r="1849" spans="1:2" x14ac:dyDescent="0.25">
      <c r="A1849" s="29" t="s">
        <v>799</v>
      </c>
      <c r="B1849" s="29" t="s">
        <v>800</v>
      </c>
    </row>
    <row r="1850" spans="1:2" x14ac:dyDescent="0.25">
      <c r="A1850" s="31" t="s">
        <v>4482</v>
      </c>
      <c r="B1850" s="31" t="s">
        <v>4483</v>
      </c>
    </row>
    <row r="1851" spans="1:2" x14ac:dyDescent="0.25">
      <c r="A1851" s="29" t="s">
        <v>29</v>
      </c>
      <c r="B1851" s="29" t="s">
        <v>29</v>
      </c>
    </row>
    <row r="1852" spans="1:2" x14ac:dyDescent="0.25">
      <c r="A1852" s="29" t="s">
        <v>93</v>
      </c>
      <c r="B1852" s="29" t="s">
        <v>29</v>
      </c>
    </row>
    <row r="1853" spans="1:2" x14ac:dyDescent="0.25">
      <c r="A1853" s="29" t="s">
        <v>32</v>
      </c>
      <c r="B1853" s="29" t="s">
        <v>29</v>
      </c>
    </row>
    <row r="1854" spans="1:2" x14ac:dyDescent="0.25">
      <c r="A1854" s="29" t="s">
        <v>1150</v>
      </c>
      <c r="B1854" s="29" t="s">
        <v>29</v>
      </c>
    </row>
    <row r="1855" spans="1:2" x14ac:dyDescent="0.25">
      <c r="A1855" s="31" t="s">
        <v>3687</v>
      </c>
      <c r="B1855" s="31" t="s">
        <v>3802</v>
      </c>
    </row>
    <row r="1856" spans="1:2" x14ac:dyDescent="0.25">
      <c r="A1856" t="s">
        <v>1696</v>
      </c>
      <c r="B1856" s="32" t="s">
        <v>1152</v>
      </c>
    </row>
    <row r="1857" spans="1:2" x14ac:dyDescent="0.25">
      <c r="A1857" s="29" t="s">
        <v>1151</v>
      </c>
      <c r="B1857" s="29" t="s">
        <v>1152</v>
      </c>
    </row>
    <row r="1858" spans="1:2" x14ac:dyDescent="0.25">
      <c r="A1858" s="29" t="s">
        <v>1153</v>
      </c>
      <c r="B1858" s="29" t="s">
        <v>1154</v>
      </c>
    </row>
    <row r="1859" spans="1:2" x14ac:dyDescent="0.25">
      <c r="A1859" s="29" t="s">
        <v>1155</v>
      </c>
      <c r="B1859" s="29" t="s">
        <v>1156</v>
      </c>
    </row>
    <row r="1860" spans="1:2" x14ac:dyDescent="0.25">
      <c r="A1860" s="29" t="s">
        <v>1944</v>
      </c>
      <c r="B1860" s="29" t="s">
        <v>1945</v>
      </c>
    </row>
    <row r="1861" spans="1:2" x14ac:dyDescent="0.25">
      <c r="A1861" s="31" t="s">
        <v>3174</v>
      </c>
      <c r="B1861" s="31" t="s">
        <v>3233</v>
      </c>
    </row>
    <row r="1862" spans="1:2" x14ac:dyDescent="0.25">
      <c r="A1862" s="29" t="s">
        <v>2129</v>
      </c>
      <c r="B1862" s="29" t="s">
        <v>2130</v>
      </c>
    </row>
    <row r="1863" spans="1:2" x14ac:dyDescent="0.25">
      <c r="A1863" s="29" t="s">
        <v>1947</v>
      </c>
      <c r="B1863" s="29" t="s">
        <v>1157</v>
      </c>
    </row>
    <row r="1864" spans="1:2" x14ac:dyDescent="0.25">
      <c r="A1864" s="29" t="s">
        <v>213</v>
      </c>
      <c r="B1864" s="29" t="s">
        <v>1157</v>
      </c>
    </row>
    <row r="1865" spans="1:2" x14ac:dyDescent="0.25">
      <c r="A1865" s="29" t="s">
        <v>1946</v>
      </c>
      <c r="B1865" s="29" t="s">
        <v>1157</v>
      </c>
    </row>
    <row r="1866" spans="1:2" x14ac:dyDescent="0.25">
      <c r="A1866" s="29" t="s">
        <v>1948</v>
      </c>
      <c r="B1866" s="29" t="s">
        <v>1157</v>
      </c>
    </row>
    <row r="1867" spans="1:2" x14ac:dyDescent="0.25">
      <c r="A1867" s="31" t="s">
        <v>2907</v>
      </c>
      <c r="B1867" s="31" t="s">
        <v>3023</v>
      </c>
    </row>
    <row r="1868" spans="1:2" x14ac:dyDescent="0.25">
      <c r="A1868" s="31" t="s">
        <v>4007</v>
      </c>
      <c r="B1868" s="31" t="s">
        <v>4484</v>
      </c>
    </row>
    <row r="1869" spans="1:2" x14ac:dyDescent="0.25">
      <c r="A1869" s="29" t="s">
        <v>1613</v>
      </c>
      <c r="B1869" t="s">
        <v>1614</v>
      </c>
    </row>
    <row r="1870" spans="1:2" x14ac:dyDescent="0.25">
      <c r="A1870" s="29" t="s">
        <v>1711</v>
      </c>
      <c r="B1870" s="29" t="s">
        <v>1966</v>
      </c>
    </row>
    <row r="1871" spans="1:2" x14ac:dyDescent="0.25">
      <c r="A1871" s="29" t="s">
        <v>1706</v>
      </c>
      <c r="B1871" s="29" t="s">
        <v>1966</v>
      </c>
    </row>
    <row r="1872" spans="1:2" x14ac:dyDescent="0.25">
      <c r="A1872" s="31" t="s">
        <v>3803</v>
      </c>
      <c r="B1872" s="31" t="s">
        <v>3804</v>
      </c>
    </row>
    <row r="1873" spans="1:2" x14ac:dyDescent="0.25">
      <c r="A1873" s="31" t="s">
        <v>3666</v>
      </c>
      <c r="B1873" s="31" t="s">
        <v>918</v>
      </c>
    </row>
    <row r="1874" spans="1:2" x14ac:dyDescent="0.25">
      <c r="A1874" s="31" t="s">
        <v>3331</v>
      </c>
      <c r="B1874" s="31" t="s">
        <v>3425</v>
      </c>
    </row>
    <row r="1875" spans="1:2" x14ac:dyDescent="0.25">
      <c r="A1875" s="31" t="s">
        <v>2520</v>
      </c>
      <c r="B1875" s="31" t="s">
        <v>2613</v>
      </c>
    </row>
    <row r="1876" spans="1:2" x14ac:dyDescent="0.25">
      <c r="A1876" s="29" t="s">
        <v>1649</v>
      </c>
      <c r="B1876" s="29" t="s">
        <v>1965</v>
      </c>
    </row>
    <row r="1877" spans="1:2" x14ac:dyDescent="0.25">
      <c r="A1877" s="31" t="s">
        <v>4055</v>
      </c>
      <c r="B1877" s="31" t="s">
        <v>4485</v>
      </c>
    </row>
    <row r="1878" spans="1:2" x14ac:dyDescent="0.25">
      <c r="A1878" s="29" t="s">
        <v>2431</v>
      </c>
      <c r="B1878" s="29" t="s">
        <v>2432</v>
      </c>
    </row>
    <row r="1879" spans="1:2" x14ac:dyDescent="0.25">
      <c r="A1879" s="31" t="s">
        <v>3426</v>
      </c>
      <c r="B1879" s="31" t="s">
        <v>3427</v>
      </c>
    </row>
    <row r="1880" spans="1:2" x14ac:dyDescent="0.25">
      <c r="A1880" s="31" t="s">
        <v>3271</v>
      </c>
      <c r="B1880" s="31" t="s">
        <v>3317</v>
      </c>
    </row>
    <row r="1881" spans="1:2" x14ac:dyDescent="0.25">
      <c r="A1881" s="29" t="s">
        <v>2400</v>
      </c>
      <c r="B1881" s="29" t="s">
        <v>2401</v>
      </c>
    </row>
    <row r="1882" spans="1:2" x14ac:dyDescent="0.25">
      <c r="A1882" s="29" t="s">
        <v>1160</v>
      </c>
      <c r="B1882" s="29" t="s">
        <v>1161</v>
      </c>
    </row>
    <row r="1883" spans="1:2" x14ac:dyDescent="0.25">
      <c r="A1883" s="31" t="s">
        <v>3033</v>
      </c>
      <c r="B1883" s="31" t="s">
        <v>3063</v>
      </c>
    </row>
    <row r="1884" spans="1:2" x14ac:dyDescent="0.25">
      <c r="A1884" s="31" t="s">
        <v>3162</v>
      </c>
      <c r="B1884" s="31" t="s">
        <v>3234</v>
      </c>
    </row>
    <row r="1885" spans="1:2" x14ac:dyDescent="0.25">
      <c r="A1885" s="29" t="s">
        <v>2259</v>
      </c>
      <c r="B1885" s="29" t="s">
        <v>2260</v>
      </c>
    </row>
    <row r="1886" spans="1:2" x14ac:dyDescent="0.25">
      <c r="A1886" s="29" t="s">
        <v>1615</v>
      </c>
      <c r="B1886" t="s">
        <v>1616</v>
      </c>
    </row>
    <row r="1887" spans="1:2" x14ac:dyDescent="0.25">
      <c r="A1887" s="29" t="s">
        <v>971</v>
      </c>
      <c r="B1887" s="29" t="s">
        <v>809</v>
      </c>
    </row>
    <row r="1888" spans="1:2" x14ac:dyDescent="0.25">
      <c r="A1888" s="29" t="s">
        <v>2143</v>
      </c>
      <c r="B1888" s="29" t="s">
        <v>2144</v>
      </c>
    </row>
    <row r="1889" spans="1:2" x14ac:dyDescent="0.25">
      <c r="A1889" s="29" t="s">
        <v>711</v>
      </c>
      <c r="B1889" s="29" t="s">
        <v>709</v>
      </c>
    </row>
    <row r="1890" spans="1:2" x14ac:dyDescent="0.25">
      <c r="A1890" s="29" t="s">
        <v>1205</v>
      </c>
      <c r="B1890" t="s">
        <v>1262</v>
      </c>
    </row>
    <row r="1891" spans="1:2" x14ac:dyDescent="0.25">
      <c r="A1891" s="29" t="s">
        <v>712</v>
      </c>
      <c r="B1891" s="29" t="s">
        <v>709</v>
      </c>
    </row>
    <row r="1892" spans="1:2" x14ac:dyDescent="0.25">
      <c r="A1892" s="29" t="s">
        <v>972</v>
      </c>
      <c r="B1892" s="29" t="s">
        <v>809</v>
      </c>
    </row>
    <row r="1893" spans="1:2" x14ac:dyDescent="0.25">
      <c r="A1893" s="31" t="s">
        <v>3040</v>
      </c>
      <c r="B1893" s="31" t="s">
        <v>3069</v>
      </c>
    </row>
    <row r="1894" spans="1:2" x14ac:dyDescent="0.25">
      <c r="A1894" s="29" t="s">
        <v>973</v>
      </c>
      <c r="B1894" s="29" t="s">
        <v>809</v>
      </c>
    </row>
    <row r="1895" spans="1:2" x14ac:dyDescent="0.25">
      <c r="A1895" s="29" t="s">
        <v>2094</v>
      </c>
      <c r="B1895" s="29" t="s">
        <v>2095</v>
      </c>
    </row>
    <row r="1896" spans="1:2" x14ac:dyDescent="0.25">
      <c r="A1896" t="s">
        <v>1390</v>
      </c>
      <c r="B1896" t="s">
        <v>1391</v>
      </c>
    </row>
    <row r="1897" spans="1:2" x14ac:dyDescent="0.25">
      <c r="A1897" s="31" t="s">
        <v>3252</v>
      </c>
      <c r="B1897" s="31" t="s">
        <v>3318</v>
      </c>
    </row>
    <row r="1898" spans="1:2" x14ac:dyDescent="0.25">
      <c r="A1898" s="29" t="s">
        <v>2356</v>
      </c>
      <c r="B1898" s="29" t="s">
        <v>2356</v>
      </c>
    </row>
    <row r="1899" spans="1:2" x14ac:dyDescent="0.25">
      <c r="A1899" s="31" t="s">
        <v>4486</v>
      </c>
      <c r="B1899" s="31" t="s">
        <v>4487</v>
      </c>
    </row>
    <row r="1900" spans="1:2" x14ac:dyDescent="0.25">
      <c r="A1900" s="29" t="s">
        <v>207</v>
      </c>
      <c r="B1900" s="29" t="s">
        <v>255</v>
      </c>
    </row>
    <row r="1901" spans="1:2" x14ac:dyDescent="0.25">
      <c r="A1901" s="31" t="s">
        <v>2862</v>
      </c>
      <c r="B1901" s="31" t="s">
        <v>2863</v>
      </c>
    </row>
    <row r="1902" spans="1:2" x14ac:dyDescent="0.25">
      <c r="A1902" s="29" t="s">
        <v>1691</v>
      </c>
      <c r="B1902" s="29" t="s">
        <v>1964</v>
      </c>
    </row>
    <row r="1903" spans="1:2" x14ac:dyDescent="0.25">
      <c r="A1903" s="31" t="s">
        <v>3029</v>
      </c>
      <c r="B1903" s="31" t="s">
        <v>3060</v>
      </c>
    </row>
    <row r="1904" spans="1:2" x14ac:dyDescent="0.25">
      <c r="A1904" s="31" t="s">
        <v>3642</v>
      </c>
      <c r="B1904" s="31" t="s">
        <v>1165</v>
      </c>
    </row>
    <row r="1905" spans="1:2" x14ac:dyDescent="0.25">
      <c r="A1905" s="29" t="s">
        <v>1164</v>
      </c>
      <c r="B1905" s="29" t="s">
        <v>1165</v>
      </c>
    </row>
    <row r="1906" spans="1:2" x14ac:dyDescent="0.25">
      <c r="A1906" s="29" t="s">
        <v>1166</v>
      </c>
      <c r="B1906" s="29" t="s">
        <v>1165</v>
      </c>
    </row>
    <row r="1907" spans="1:2" x14ac:dyDescent="0.25">
      <c r="A1907" s="31" t="s">
        <v>4298</v>
      </c>
      <c r="B1907" s="31" t="s">
        <v>1165</v>
      </c>
    </row>
    <row r="1908" spans="1:2" x14ac:dyDescent="0.25">
      <c r="A1908" s="29" t="s">
        <v>1906</v>
      </c>
      <c r="B1908" s="29" t="s">
        <v>1058</v>
      </c>
    </row>
    <row r="1909" spans="1:2" x14ac:dyDescent="0.25">
      <c r="A1909" s="29" t="s">
        <v>1167</v>
      </c>
      <c r="B1909" s="29" t="s">
        <v>1168</v>
      </c>
    </row>
    <row r="1910" spans="1:2" x14ac:dyDescent="0.25">
      <c r="A1910" s="29" t="s">
        <v>218</v>
      </c>
      <c r="B1910" s="29" t="s">
        <v>1169</v>
      </c>
    </row>
    <row r="1911" spans="1:2" x14ac:dyDescent="0.25">
      <c r="A1911" s="29" t="s">
        <v>2100</v>
      </c>
      <c r="B1911" s="29" t="s">
        <v>2101</v>
      </c>
    </row>
    <row r="1912" spans="1:2" x14ac:dyDescent="0.25">
      <c r="A1912" s="29" t="s">
        <v>1617</v>
      </c>
      <c r="B1912" t="s">
        <v>1618</v>
      </c>
    </row>
    <row r="1913" spans="1:2" x14ac:dyDescent="0.25">
      <c r="A1913" s="31" t="s">
        <v>3805</v>
      </c>
      <c r="B1913" s="31" t="s">
        <v>3806</v>
      </c>
    </row>
    <row r="1914" spans="1:2" x14ac:dyDescent="0.25">
      <c r="A1914" s="29" t="s">
        <v>2363</v>
      </c>
      <c r="B1914" s="29" t="s">
        <v>2364</v>
      </c>
    </row>
    <row r="1915" spans="1:2" x14ac:dyDescent="0.25">
      <c r="A1915" s="29" t="s">
        <v>1210</v>
      </c>
      <c r="B1915" s="29" t="s">
        <v>1263</v>
      </c>
    </row>
    <row r="1916" spans="1:2" x14ac:dyDescent="0.25">
      <c r="A1916" s="31" t="s">
        <v>2662</v>
      </c>
      <c r="B1916" s="31" t="s">
        <v>2864</v>
      </c>
    </row>
    <row r="1917" spans="1:2" x14ac:dyDescent="0.25">
      <c r="A1917" s="31" t="s">
        <v>3050</v>
      </c>
      <c r="B1917" s="31" t="s">
        <v>3078</v>
      </c>
    </row>
    <row r="1918" spans="1:2" x14ac:dyDescent="0.25">
      <c r="A1918" s="29" t="s">
        <v>1223</v>
      </c>
      <c r="B1918" t="s">
        <v>1264</v>
      </c>
    </row>
    <row r="1919" spans="1:2" x14ac:dyDescent="0.25">
      <c r="A1919" s="31" t="s">
        <v>3166</v>
      </c>
      <c r="B1919" s="31" t="s">
        <v>3235</v>
      </c>
    </row>
    <row r="1920" spans="1:2" x14ac:dyDescent="0.25">
      <c r="A1920" s="31" t="s">
        <v>4111</v>
      </c>
      <c r="B1920" s="31" t="s">
        <v>4488</v>
      </c>
    </row>
    <row r="1921" spans="1:2" x14ac:dyDescent="0.25">
      <c r="A1921" s="31" t="s">
        <v>3647</v>
      </c>
      <c r="B1921" s="31" t="s">
        <v>2483</v>
      </c>
    </row>
    <row r="1922" spans="1:2" x14ac:dyDescent="0.25">
      <c r="A1922" s="29" t="s">
        <v>1619</v>
      </c>
      <c r="B1922" t="s">
        <v>1620</v>
      </c>
    </row>
    <row r="1923" spans="1:2" x14ac:dyDescent="0.25">
      <c r="A1923" s="29" t="s">
        <v>2442</v>
      </c>
      <c r="B1923" s="29" t="s">
        <v>2483</v>
      </c>
    </row>
    <row r="1924" spans="1:2" x14ac:dyDescent="0.25">
      <c r="A1924" s="31" t="s">
        <v>3492</v>
      </c>
      <c r="B1924" s="31" t="s">
        <v>2483</v>
      </c>
    </row>
    <row r="1925" spans="1:2" x14ac:dyDescent="0.25">
      <c r="A1925" s="31" t="s">
        <v>2865</v>
      </c>
      <c r="B1925" s="31" t="s">
        <v>2483</v>
      </c>
    </row>
    <row r="1926" spans="1:2" x14ac:dyDescent="0.25">
      <c r="A1926" t="s">
        <v>1955</v>
      </c>
      <c r="B1926" s="32" t="s">
        <v>1956</v>
      </c>
    </row>
    <row r="1927" spans="1:2" x14ac:dyDescent="0.25">
      <c r="A1927" s="31" t="s">
        <v>3807</v>
      </c>
      <c r="B1927" s="31" t="s">
        <v>918</v>
      </c>
    </row>
    <row r="1928" spans="1:2" x14ac:dyDescent="0.25">
      <c r="A1928" s="29" t="s">
        <v>1171</v>
      </c>
      <c r="B1928" s="29" t="s">
        <v>1137</v>
      </c>
    </row>
    <row r="1929" spans="1:2" x14ac:dyDescent="0.25">
      <c r="A1929" s="29" t="s">
        <v>1172</v>
      </c>
      <c r="B1929" s="29" t="s">
        <v>1137</v>
      </c>
    </row>
    <row r="1930" spans="1:2" x14ac:dyDescent="0.25">
      <c r="A1930" s="29" t="s">
        <v>56</v>
      </c>
      <c r="B1930" s="29" t="s">
        <v>1137</v>
      </c>
    </row>
    <row r="1931" spans="1:2" x14ac:dyDescent="0.25">
      <c r="A1931" s="29" t="s">
        <v>1173</v>
      </c>
      <c r="B1931" s="29" t="s">
        <v>1137</v>
      </c>
    </row>
    <row r="1932" spans="1:2" x14ac:dyDescent="0.25">
      <c r="A1932" s="29" t="s">
        <v>1174</v>
      </c>
      <c r="B1932" s="29" t="s">
        <v>1137</v>
      </c>
    </row>
    <row r="1933" spans="1:2" x14ac:dyDescent="0.25">
      <c r="A1933" s="29" t="s">
        <v>38</v>
      </c>
      <c r="B1933" s="29" t="s">
        <v>1137</v>
      </c>
    </row>
    <row r="1934" spans="1:2" x14ac:dyDescent="0.25">
      <c r="A1934" s="31" t="s">
        <v>2570</v>
      </c>
      <c r="B1934" s="31" t="s">
        <v>2614</v>
      </c>
    </row>
    <row r="1935" spans="1:2" x14ac:dyDescent="0.25">
      <c r="A1935" s="31" t="s">
        <v>3439</v>
      </c>
      <c r="B1935" s="31" t="s">
        <v>3452</v>
      </c>
    </row>
    <row r="1936" spans="1:2" x14ac:dyDescent="0.25">
      <c r="A1936" s="31" t="s">
        <v>3460</v>
      </c>
      <c r="B1936" s="31" t="s">
        <v>3540</v>
      </c>
    </row>
    <row r="1937" spans="1:2" x14ac:dyDescent="0.25">
      <c r="A1937" s="31" t="s">
        <v>3152</v>
      </c>
      <c r="B1937" s="31" t="s">
        <v>3236</v>
      </c>
    </row>
    <row r="1938" spans="1:2" x14ac:dyDescent="0.25">
      <c r="A1938" s="31" t="s">
        <v>2866</v>
      </c>
      <c r="B1938" s="31" t="s">
        <v>2407</v>
      </c>
    </row>
    <row r="1939" spans="1:2" x14ac:dyDescent="0.25">
      <c r="A1939" s="31" t="s">
        <v>3808</v>
      </c>
      <c r="B1939" s="31" t="s">
        <v>3809</v>
      </c>
    </row>
    <row r="1940" spans="1:2" x14ac:dyDescent="0.25">
      <c r="A1940" s="31" t="s">
        <v>3664</v>
      </c>
      <c r="B1940" s="31" t="s">
        <v>3810</v>
      </c>
    </row>
    <row r="1941" spans="1:2" x14ac:dyDescent="0.25">
      <c r="A1941" s="29" t="s">
        <v>185</v>
      </c>
      <c r="B1941" s="29" t="s">
        <v>253</v>
      </c>
    </row>
    <row r="1942" spans="1:2" x14ac:dyDescent="0.25">
      <c r="A1942" s="31" t="s">
        <v>3471</v>
      </c>
      <c r="B1942" s="31" t="s">
        <v>3541</v>
      </c>
    </row>
    <row r="1943" spans="1:2" x14ac:dyDescent="0.25">
      <c r="A1943" s="31" t="s">
        <v>3330</v>
      </c>
      <c r="B1943" s="31" t="s">
        <v>3428</v>
      </c>
    </row>
    <row r="1944" spans="1:2" x14ac:dyDescent="0.25">
      <c r="A1944" s="31" t="s">
        <v>2571</v>
      </c>
      <c r="B1944" s="31" t="s">
        <v>2615</v>
      </c>
    </row>
    <row r="1945" spans="1:2" x14ac:dyDescent="0.25">
      <c r="A1945" s="29" t="s">
        <v>2479</v>
      </c>
      <c r="B1945" s="29" t="s">
        <v>2514</v>
      </c>
    </row>
    <row r="1946" spans="1:2" x14ac:dyDescent="0.25">
      <c r="A1946" s="29" t="s">
        <v>2316</v>
      </c>
      <c r="B1946" s="29" t="s">
        <v>2317</v>
      </c>
    </row>
    <row r="1947" spans="1:2" x14ac:dyDescent="0.25">
      <c r="A1947" t="s">
        <v>1957</v>
      </c>
      <c r="B1947" s="32" t="s">
        <v>1958</v>
      </c>
    </row>
    <row r="1948" spans="1:2" x14ac:dyDescent="0.25">
      <c r="A1948" s="31" t="s">
        <v>3172</v>
      </c>
      <c r="B1948" s="31" t="s">
        <v>3237</v>
      </c>
    </row>
    <row r="1949" spans="1:2" x14ac:dyDescent="0.25">
      <c r="A1949" s="31" t="s">
        <v>3429</v>
      </c>
      <c r="B1949" s="31" t="s">
        <v>3430</v>
      </c>
    </row>
    <row r="1950" spans="1:2" x14ac:dyDescent="0.25">
      <c r="A1950" s="29" t="s">
        <v>1175</v>
      </c>
      <c r="B1950" s="29" t="s">
        <v>1176</v>
      </c>
    </row>
    <row r="1951" spans="1:2" x14ac:dyDescent="0.25">
      <c r="A1951" t="s">
        <v>1959</v>
      </c>
      <c r="B1951" s="32" t="s">
        <v>1960</v>
      </c>
    </row>
    <row r="1952" spans="1:2" x14ac:dyDescent="0.25">
      <c r="A1952" t="s">
        <v>1961</v>
      </c>
      <c r="B1952" s="32" t="s">
        <v>1962</v>
      </c>
    </row>
    <row r="1953" spans="1:2" x14ac:dyDescent="0.25">
      <c r="A1953" s="29" t="s">
        <v>2037</v>
      </c>
      <c r="B1953" s="29" t="s">
        <v>2038</v>
      </c>
    </row>
    <row r="1954" spans="1:2" x14ac:dyDescent="0.25">
      <c r="A1954" s="29" t="s">
        <v>2429</v>
      </c>
      <c r="B1954" s="29" t="s">
        <v>2430</v>
      </c>
    </row>
    <row r="1955" spans="1:2" x14ac:dyDescent="0.25">
      <c r="A1955" s="29" t="s">
        <v>1215</v>
      </c>
      <c r="B1955" s="29" t="s">
        <v>1265</v>
      </c>
    </row>
    <row r="1956" spans="1:2" x14ac:dyDescent="0.25">
      <c r="A1956" t="s">
        <v>1392</v>
      </c>
      <c r="B1956" t="s">
        <v>1393</v>
      </c>
    </row>
    <row r="1957" spans="1:2" x14ac:dyDescent="0.25">
      <c r="A1957" s="31" t="s">
        <v>4489</v>
      </c>
      <c r="B1957" s="31" t="s">
        <v>2592</v>
      </c>
    </row>
    <row r="1958" spans="1:2" x14ac:dyDescent="0.25">
      <c r="A1958" s="31" t="s">
        <v>2946</v>
      </c>
      <c r="B1958" s="31" t="s">
        <v>3024</v>
      </c>
    </row>
    <row r="1959" spans="1:2" x14ac:dyDescent="0.25">
      <c r="A1959" s="31" t="s">
        <v>2867</v>
      </c>
      <c r="B1959" s="31" t="s">
        <v>2868</v>
      </c>
    </row>
    <row r="1960" spans="1:2" x14ac:dyDescent="0.25">
      <c r="A1960" s="29" t="s">
        <v>927</v>
      </c>
      <c r="B1960" s="29" t="s">
        <v>1294</v>
      </c>
    </row>
    <row r="1961" spans="1:2" x14ac:dyDescent="0.25">
      <c r="A1961" s="29" t="s">
        <v>636</v>
      </c>
      <c r="B1961" s="29" t="s">
        <v>635</v>
      </c>
    </row>
    <row r="1962" spans="1:2" x14ac:dyDescent="0.25">
      <c r="A1962" t="s">
        <v>1780</v>
      </c>
      <c r="B1962" s="32" t="s">
        <v>1781</v>
      </c>
    </row>
    <row r="1963" spans="1:2" x14ac:dyDescent="0.25">
      <c r="A1963" s="29" t="s">
        <v>2198</v>
      </c>
      <c r="B1963" s="29" t="s">
        <v>2199</v>
      </c>
    </row>
    <row r="1964" spans="1:2" x14ac:dyDescent="0.25">
      <c r="A1964" s="31" t="s">
        <v>3849</v>
      </c>
      <c r="B1964" s="31" t="s">
        <v>1922</v>
      </c>
    </row>
    <row r="1965" spans="1:2" x14ac:dyDescent="0.25">
      <c r="A1965" s="29" t="s">
        <v>1002</v>
      </c>
      <c r="B1965" s="29" t="s">
        <v>1003</v>
      </c>
    </row>
    <row r="1966" spans="1:2" x14ac:dyDescent="0.25">
      <c r="A1966" s="31" t="s">
        <v>2869</v>
      </c>
      <c r="B1966" s="31" t="s">
        <v>2870</v>
      </c>
    </row>
    <row r="1967" spans="1:2" x14ac:dyDescent="0.25">
      <c r="A1967" s="31" t="s">
        <v>2871</v>
      </c>
      <c r="B1967" s="31" t="s">
        <v>2872</v>
      </c>
    </row>
    <row r="1968" spans="1:2" x14ac:dyDescent="0.25">
      <c r="A1968" s="29" t="s">
        <v>1177</v>
      </c>
      <c r="B1968" s="29" t="s">
        <v>1178</v>
      </c>
    </row>
    <row r="1969" spans="1:2" x14ac:dyDescent="0.25">
      <c r="A1969" s="31" t="s">
        <v>3030</v>
      </c>
      <c r="B1969" s="31" t="s">
        <v>3061</v>
      </c>
    </row>
    <row r="1970" spans="1:2" x14ac:dyDescent="0.25">
      <c r="A1970" s="31" t="s">
        <v>2676</v>
      </c>
      <c r="B1970" s="31" t="s">
        <v>2873</v>
      </c>
    </row>
    <row r="1971" spans="1:2" x14ac:dyDescent="0.25">
      <c r="A1971" s="29" t="s">
        <v>1179</v>
      </c>
      <c r="B1971" s="29" t="s">
        <v>1180</v>
      </c>
    </row>
    <row r="1972" spans="1:2" x14ac:dyDescent="0.25">
      <c r="A1972" s="31" t="s">
        <v>2874</v>
      </c>
      <c r="B1972" s="31" t="s">
        <v>2875</v>
      </c>
    </row>
    <row r="1973" spans="1:2" x14ac:dyDescent="0.25">
      <c r="A1973" s="29" t="s">
        <v>2125</v>
      </c>
      <c r="B1973" s="29" t="s">
        <v>2126</v>
      </c>
    </row>
    <row r="1974" spans="1:2" x14ac:dyDescent="0.25">
      <c r="A1974" s="31" t="s">
        <v>4200</v>
      </c>
      <c r="B1974" s="31" t="s">
        <v>4490</v>
      </c>
    </row>
    <row r="1975" spans="1:2" x14ac:dyDescent="0.25">
      <c r="A1975" s="29" t="s">
        <v>2373</v>
      </c>
      <c r="B1975" s="29" t="s">
        <v>2374</v>
      </c>
    </row>
    <row r="1976" spans="1:2" x14ac:dyDescent="0.25">
      <c r="A1976" s="29" t="s">
        <v>2375</v>
      </c>
      <c r="B1976" s="29" t="s">
        <v>2376</v>
      </c>
    </row>
    <row r="1977" spans="1:2" x14ac:dyDescent="0.25">
      <c r="A1977" s="29" t="s">
        <v>2474</v>
      </c>
      <c r="B1977" s="29" t="s">
        <v>2511</v>
      </c>
    </row>
    <row r="1978" spans="1:2" x14ac:dyDescent="0.25">
      <c r="A1978" s="29" t="s">
        <v>2269</v>
      </c>
      <c r="B1978" s="29" t="s">
        <v>2270</v>
      </c>
    </row>
    <row r="1979" spans="1:2" x14ac:dyDescent="0.25">
      <c r="A1979" s="31" t="s">
        <v>4491</v>
      </c>
      <c r="B1979" s="31" t="s">
        <v>4492</v>
      </c>
    </row>
    <row r="1980" spans="1:2" x14ac:dyDescent="0.25">
      <c r="A1980" s="29" t="s">
        <v>1181</v>
      </c>
      <c r="B1980" s="29" t="s">
        <v>1182</v>
      </c>
    </row>
    <row r="1981" spans="1:2" x14ac:dyDescent="0.25">
      <c r="A1981" s="31" t="s">
        <v>3686</v>
      </c>
      <c r="B1981" s="31" t="s">
        <v>3811</v>
      </c>
    </row>
    <row r="1982" spans="1:2" x14ac:dyDescent="0.25">
      <c r="A1982" s="31" t="s">
        <v>4493</v>
      </c>
      <c r="B1982" s="31" t="s">
        <v>4494</v>
      </c>
    </row>
    <row r="1983" spans="1:2" x14ac:dyDescent="0.25">
      <c r="A1983" s="29" t="s">
        <v>2324</v>
      </c>
      <c r="B1983" s="29" t="s">
        <v>2325</v>
      </c>
    </row>
    <row r="1984" spans="1:2" x14ac:dyDescent="0.25">
      <c r="A1984" s="29" t="s">
        <v>2326</v>
      </c>
      <c r="B1984" s="29" t="s">
        <v>2327</v>
      </c>
    </row>
    <row r="1985" spans="1:2" x14ac:dyDescent="0.25">
      <c r="A1985" s="31" t="s">
        <v>3333</v>
      </c>
      <c r="B1985" s="31" t="s">
        <v>3431</v>
      </c>
    </row>
  </sheetData>
  <sortState xmlns:xlrd2="http://schemas.microsoft.com/office/spreadsheetml/2017/richdata2" ref="A2:B1180">
    <sortCondition ref="A2:A1180"/>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47BCD-AC16-4ADD-84E6-F9DBBBB823CD}">
  <sheetPr codeName="Sheet1">
    <tabColor rgb="FFFF0000"/>
  </sheetPr>
  <dimension ref="A1:O997"/>
  <sheetViews>
    <sheetView topLeftCell="A135" workbookViewId="0">
      <selection activeCell="J162" sqref="E162:J162"/>
    </sheetView>
  </sheetViews>
  <sheetFormatPr defaultColWidth="9.140625" defaultRowHeight="15" x14ac:dyDescent="0.25"/>
  <cols>
    <col min="1" max="1" width="19.7109375" bestFit="1" customWidth="1"/>
    <col min="2" max="2" width="22" bestFit="1" customWidth="1"/>
    <col min="3" max="3" width="19.42578125" bestFit="1" customWidth="1"/>
    <col min="4" max="4" width="17.5703125" bestFit="1" customWidth="1"/>
    <col min="5" max="5" width="27.42578125" bestFit="1" customWidth="1"/>
    <col min="6" max="6" width="59.7109375" bestFit="1" customWidth="1"/>
    <col min="7" max="7" width="15" bestFit="1" customWidth="1"/>
    <col min="8" max="8" width="36.140625" bestFit="1" customWidth="1"/>
    <col min="9" max="9" width="29.85546875" bestFit="1" customWidth="1"/>
    <col min="10" max="10" width="34.7109375" bestFit="1" customWidth="1"/>
    <col min="11" max="11" width="24.28515625" bestFit="1" customWidth="1"/>
    <col min="12" max="12" width="7.42578125" bestFit="1" customWidth="1"/>
    <col min="13" max="13" width="10.85546875" bestFit="1" customWidth="1"/>
    <col min="14" max="14" width="43" bestFit="1" customWidth="1"/>
    <col min="15" max="15" width="11.7109375" bestFit="1" customWidth="1"/>
    <col min="16" max="16384" width="9.140625" style="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t="s">
        <v>3814</v>
      </c>
      <c r="C2" t="s">
        <v>3815</v>
      </c>
      <c r="E2" s="13">
        <v>46064</v>
      </c>
      <c r="F2" t="s">
        <v>3816</v>
      </c>
      <c r="G2">
        <v>276.08999999999997</v>
      </c>
      <c r="H2" t="s">
        <v>15</v>
      </c>
      <c r="I2" t="s">
        <v>16</v>
      </c>
      <c r="J2" t="s">
        <v>3817</v>
      </c>
      <c r="L2">
        <v>3336</v>
      </c>
      <c r="M2" t="s">
        <v>34</v>
      </c>
      <c r="N2" t="s">
        <v>4337</v>
      </c>
      <c r="O2" t="s">
        <v>505</v>
      </c>
    </row>
    <row r="3" spans="1:15" x14ac:dyDescent="0.25">
      <c r="A3" t="s">
        <v>3814</v>
      </c>
      <c r="C3" t="s">
        <v>3815</v>
      </c>
      <c r="E3" s="13">
        <v>46064</v>
      </c>
      <c r="F3" t="s">
        <v>3816</v>
      </c>
      <c r="G3">
        <v>249.09</v>
      </c>
      <c r="H3" t="s">
        <v>15</v>
      </c>
      <c r="I3" t="s">
        <v>16</v>
      </c>
      <c r="J3" t="s">
        <v>3817</v>
      </c>
      <c r="L3">
        <v>3336</v>
      </c>
      <c r="M3" t="s">
        <v>34</v>
      </c>
      <c r="N3" t="s">
        <v>4337</v>
      </c>
      <c r="O3" t="s">
        <v>505</v>
      </c>
    </row>
    <row r="4" spans="1:15" x14ac:dyDescent="0.25">
      <c r="A4" t="s">
        <v>3814</v>
      </c>
      <c r="C4" t="s">
        <v>3815</v>
      </c>
      <c r="E4" s="13">
        <v>46082</v>
      </c>
      <c r="F4" t="s">
        <v>3818</v>
      </c>
      <c r="G4">
        <v>130.63</v>
      </c>
      <c r="H4" t="s">
        <v>15</v>
      </c>
      <c r="I4" t="s">
        <v>3819</v>
      </c>
      <c r="J4" t="s">
        <v>3642</v>
      </c>
      <c r="L4">
        <v>3500</v>
      </c>
      <c r="M4" t="s">
        <v>3820</v>
      </c>
      <c r="N4" t="s">
        <v>4337</v>
      </c>
      <c r="O4" t="s">
        <v>505</v>
      </c>
    </row>
    <row r="5" spans="1:15" x14ac:dyDescent="0.25">
      <c r="A5" t="s">
        <v>3814</v>
      </c>
      <c r="C5" t="s">
        <v>3815</v>
      </c>
      <c r="E5" s="13">
        <v>46078</v>
      </c>
      <c r="F5" t="s">
        <v>3821</v>
      </c>
      <c r="G5">
        <v>32.24</v>
      </c>
      <c r="H5" t="s">
        <v>15</v>
      </c>
      <c r="I5" t="s">
        <v>3822</v>
      </c>
      <c r="J5" t="s">
        <v>138</v>
      </c>
      <c r="L5">
        <v>3500</v>
      </c>
      <c r="M5" t="s">
        <v>3820</v>
      </c>
      <c r="N5" t="s">
        <v>4337</v>
      </c>
      <c r="O5" t="s">
        <v>505</v>
      </c>
    </row>
    <row r="6" spans="1:15" x14ac:dyDescent="0.25">
      <c r="A6" t="s">
        <v>3814</v>
      </c>
      <c r="C6" t="s">
        <v>3815</v>
      </c>
      <c r="E6" s="13">
        <v>46076</v>
      </c>
      <c r="F6" t="s">
        <v>3821</v>
      </c>
      <c r="G6">
        <v>15.78</v>
      </c>
      <c r="H6" t="s">
        <v>15</v>
      </c>
      <c r="I6" t="s">
        <v>3822</v>
      </c>
      <c r="J6" t="s">
        <v>138</v>
      </c>
      <c r="L6">
        <v>3500</v>
      </c>
      <c r="M6" t="s">
        <v>3820</v>
      </c>
      <c r="N6" t="s">
        <v>4337</v>
      </c>
      <c r="O6" t="s">
        <v>505</v>
      </c>
    </row>
    <row r="7" spans="1:15" x14ac:dyDescent="0.25">
      <c r="A7" t="s">
        <v>3814</v>
      </c>
      <c r="C7" t="s">
        <v>3815</v>
      </c>
      <c r="E7" s="13">
        <v>46076</v>
      </c>
      <c r="F7" t="s">
        <v>3821</v>
      </c>
      <c r="G7">
        <v>105.21</v>
      </c>
      <c r="H7" t="s">
        <v>15</v>
      </c>
      <c r="I7" t="s">
        <v>3822</v>
      </c>
      <c r="J7" t="s">
        <v>138</v>
      </c>
      <c r="L7">
        <v>3500</v>
      </c>
      <c r="M7" t="s">
        <v>3820</v>
      </c>
      <c r="N7" t="s">
        <v>4337</v>
      </c>
      <c r="O7" t="s">
        <v>505</v>
      </c>
    </row>
    <row r="8" spans="1:15" x14ac:dyDescent="0.25">
      <c r="A8" t="s">
        <v>3814</v>
      </c>
      <c r="C8" t="s">
        <v>3815</v>
      </c>
      <c r="E8" s="13">
        <v>46072</v>
      </c>
      <c r="F8" t="s">
        <v>3823</v>
      </c>
      <c r="G8">
        <v>45.09</v>
      </c>
      <c r="H8" t="s">
        <v>15</v>
      </c>
      <c r="I8" t="s">
        <v>3819</v>
      </c>
      <c r="J8" t="s">
        <v>3453</v>
      </c>
      <c r="L8">
        <v>3500</v>
      </c>
      <c r="M8" t="s">
        <v>3820</v>
      </c>
      <c r="N8" t="s">
        <v>4337</v>
      </c>
      <c r="O8" t="s">
        <v>505</v>
      </c>
    </row>
    <row r="9" spans="1:15" x14ac:dyDescent="0.25">
      <c r="A9" t="s">
        <v>3814</v>
      </c>
      <c r="C9" t="s">
        <v>3815</v>
      </c>
      <c r="E9" s="13">
        <v>46084</v>
      </c>
      <c r="F9" t="s">
        <v>3818</v>
      </c>
      <c r="G9">
        <v>52.39</v>
      </c>
      <c r="H9" t="s">
        <v>15</v>
      </c>
      <c r="I9" t="s">
        <v>3819</v>
      </c>
      <c r="J9" t="s">
        <v>3641</v>
      </c>
      <c r="L9">
        <v>3500</v>
      </c>
      <c r="M9" t="s">
        <v>3820</v>
      </c>
      <c r="N9" t="s">
        <v>4337</v>
      </c>
      <c r="O9" t="s">
        <v>505</v>
      </c>
    </row>
    <row r="10" spans="1:15" x14ac:dyDescent="0.25">
      <c r="A10" t="s">
        <v>3814</v>
      </c>
      <c r="C10" t="s">
        <v>3815</v>
      </c>
      <c r="E10" s="13">
        <v>46084</v>
      </c>
      <c r="F10" t="s">
        <v>3824</v>
      </c>
      <c r="G10">
        <v>242.6</v>
      </c>
      <c r="H10" t="s">
        <v>15</v>
      </c>
      <c r="I10" t="s">
        <v>16</v>
      </c>
      <c r="J10" t="s">
        <v>3817</v>
      </c>
      <c r="L10">
        <v>3369</v>
      </c>
      <c r="M10" t="s">
        <v>34</v>
      </c>
      <c r="N10" t="s">
        <v>4337</v>
      </c>
      <c r="O10" t="s">
        <v>505</v>
      </c>
    </row>
    <row r="11" spans="1:15" x14ac:dyDescent="0.25">
      <c r="A11" t="s">
        <v>3814</v>
      </c>
      <c r="C11" t="s">
        <v>3815</v>
      </c>
      <c r="E11" s="13">
        <v>46084</v>
      </c>
      <c r="F11" t="s">
        <v>3824</v>
      </c>
      <c r="G11">
        <v>528</v>
      </c>
      <c r="H11" t="s">
        <v>15</v>
      </c>
      <c r="I11" t="s">
        <v>16</v>
      </c>
      <c r="J11" t="s">
        <v>3817</v>
      </c>
      <c r="L11">
        <v>3369</v>
      </c>
      <c r="M11" t="s">
        <v>34</v>
      </c>
      <c r="N11" t="s">
        <v>4337</v>
      </c>
      <c r="O11" t="s">
        <v>505</v>
      </c>
    </row>
    <row r="12" spans="1:15" x14ac:dyDescent="0.25">
      <c r="A12" t="s">
        <v>3814</v>
      </c>
      <c r="C12" t="s">
        <v>3815</v>
      </c>
      <c r="E12" s="13">
        <v>46057</v>
      </c>
      <c r="F12" t="s">
        <v>3825</v>
      </c>
      <c r="G12">
        <v>25</v>
      </c>
      <c r="H12" t="s">
        <v>15</v>
      </c>
      <c r="I12" t="s">
        <v>16</v>
      </c>
      <c r="J12" t="s">
        <v>936</v>
      </c>
      <c r="L12">
        <v>3500</v>
      </c>
      <c r="M12" t="s">
        <v>34</v>
      </c>
      <c r="N12" t="s">
        <v>4337</v>
      </c>
      <c r="O12" t="s">
        <v>505</v>
      </c>
    </row>
    <row r="13" spans="1:15" x14ac:dyDescent="0.25">
      <c r="A13" t="s">
        <v>3814</v>
      </c>
      <c r="C13" t="s">
        <v>3815</v>
      </c>
      <c r="E13" s="13">
        <v>46057</v>
      </c>
      <c r="F13" t="s">
        <v>3826</v>
      </c>
      <c r="G13">
        <v>25</v>
      </c>
      <c r="H13" t="s">
        <v>15</v>
      </c>
      <c r="I13" t="s">
        <v>16</v>
      </c>
      <c r="J13" t="s">
        <v>936</v>
      </c>
      <c r="L13">
        <v>3500</v>
      </c>
      <c r="M13" t="s">
        <v>34</v>
      </c>
      <c r="N13" t="s">
        <v>4337</v>
      </c>
      <c r="O13" t="s">
        <v>505</v>
      </c>
    </row>
    <row r="14" spans="1:15" x14ac:dyDescent="0.25">
      <c r="A14" t="s">
        <v>3814</v>
      </c>
      <c r="C14" t="s">
        <v>3815</v>
      </c>
      <c r="E14" s="13">
        <v>46057</v>
      </c>
      <c r="F14" t="s">
        <v>3827</v>
      </c>
      <c r="G14">
        <v>25</v>
      </c>
      <c r="H14" t="s">
        <v>15</v>
      </c>
      <c r="I14" t="s">
        <v>16</v>
      </c>
      <c r="J14" t="s">
        <v>936</v>
      </c>
      <c r="L14">
        <v>3500</v>
      </c>
      <c r="M14" t="s">
        <v>34</v>
      </c>
      <c r="N14" t="s">
        <v>4337</v>
      </c>
      <c r="O14" t="s">
        <v>505</v>
      </c>
    </row>
    <row r="15" spans="1:15" x14ac:dyDescent="0.25">
      <c r="A15" t="s">
        <v>3814</v>
      </c>
      <c r="C15" t="s">
        <v>3815</v>
      </c>
      <c r="E15" s="13">
        <v>46057</v>
      </c>
      <c r="F15" t="s">
        <v>3828</v>
      </c>
      <c r="G15">
        <v>25</v>
      </c>
      <c r="H15" t="s">
        <v>15</v>
      </c>
      <c r="I15" t="s">
        <v>16</v>
      </c>
      <c r="J15" t="s">
        <v>936</v>
      </c>
      <c r="L15">
        <v>3500</v>
      </c>
      <c r="M15" t="s">
        <v>34</v>
      </c>
      <c r="N15" t="s">
        <v>4337</v>
      </c>
      <c r="O15" t="s">
        <v>505</v>
      </c>
    </row>
    <row r="16" spans="1:15" x14ac:dyDescent="0.25">
      <c r="A16" t="s">
        <v>3814</v>
      </c>
      <c r="C16" t="s">
        <v>3815</v>
      </c>
      <c r="E16" s="13">
        <v>46057</v>
      </c>
      <c r="F16" t="s">
        <v>3829</v>
      </c>
      <c r="G16">
        <v>17.170000000000002</v>
      </c>
      <c r="H16" t="s">
        <v>15</v>
      </c>
      <c r="I16" t="s">
        <v>16</v>
      </c>
      <c r="J16" t="s">
        <v>936</v>
      </c>
      <c r="L16">
        <v>3500</v>
      </c>
      <c r="M16" t="s">
        <v>34</v>
      </c>
      <c r="N16" t="s">
        <v>4337</v>
      </c>
      <c r="O16" t="s">
        <v>505</v>
      </c>
    </row>
    <row r="17" spans="1:15" x14ac:dyDescent="0.25">
      <c r="A17" t="s">
        <v>3814</v>
      </c>
      <c r="C17" t="s">
        <v>3815</v>
      </c>
      <c r="E17" s="13">
        <v>46084</v>
      </c>
      <c r="F17" t="s">
        <v>3830</v>
      </c>
      <c r="G17">
        <v>25</v>
      </c>
      <c r="H17" t="s">
        <v>15</v>
      </c>
      <c r="I17" t="s">
        <v>16</v>
      </c>
      <c r="J17" t="s">
        <v>55</v>
      </c>
      <c r="L17">
        <v>3500</v>
      </c>
      <c r="M17" t="s">
        <v>34</v>
      </c>
      <c r="N17" t="s">
        <v>4337</v>
      </c>
      <c r="O17" t="s">
        <v>505</v>
      </c>
    </row>
    <row r="18" spans="1:15" x14ac:dyDescent="0.25">
      <c r="A18" t="s">
        <v>3814</v>
      </c>
      <c r="C18" t="s">
        <v>3815</v>
      </c>
      <c r="E18" s="13">
        <v>46084</v>
      </c>
      <c r="F18" t="s">
        <v>3831</v>
      </c>
      <c r="G18">
        <v>19.79</v>
      </c>
      <c r="H18" t="s">
        <v>15</v>
      </c>
      <c r="I18" t="s">
        <v>16</v>
      </c>
      <c r="J18" t="s">
        <v>55</v>
      </c>
      <c r="L18">
        <v>3500</v>
      </c>
      <c r="M18" t="s">
        <v>34</v>
      </c>
      <c r="N18" t="s">
        <v>4337</v>
      </c>
      <c r="O18" t="s">
        <v>505</v>
      </c>
    </row>
    <row r="19" spans="1:15" x14ac:dyDescent="0.25">
      <c r="A19" t="s">
        <v>3832</v>
      </c>
      <c r="B19" t="s">
        <v>3833</v>
      </c>
      <c r="C19" t="s">
        <v>3834</v>
      </c>
      <c r="E19" s="13">
        <v>46064</v>
      </c>
      <c r="F19" t="s">
        <v>3835</v>
      </c>
      <c r="G19">
        <v>-4027.97</v>
      </c>
      <c r="H19" t="s">
        <v>15</v>
      </c>
      <c r="I19" t="s">
        <v>3594</v>
      </c>
      <c r="J19" t="s">
        <v>47</v>
      </c>
      <c r="L19">
        <v>1035</v>
      </c>
      <c r="M19" t="s">
        <v>3836</v>
      </c>
      <c r="N19" t="s">
        <v>4337</v>
      </c>
      <c r="O19" t="s">
        <v>520</v>
      </c>
    </row>
    <row r="20" spans="1:15" x14ac:dyDescent="0.25">
      <c r="A20" t="s">
        <v>3837</v>
      </c>
      <c r="B20" t="s">
        <v>3838</v>
      </c>
      <c r="C20" t="s">
        <v>3839</v>
      </c>
      <c r="E20" s="13">
        <v>46086</v>
      </c>
      <c r="F20" t="s">
        <v>3840</v>
      </c>
      <c r="G20">
        <v>22.84</v>
      </c>
      <c r="H20" t="s">
        <v>15</v>
      </c>
      <c r="I20" t="s">
        <v>16</v>
      </c>
      <c r="J20" t="s">
        <v>3457</v>
      </c>
      <c r="L20">
        <v>7500</v>
      </c>
      <c r="M20" t="s">
        <v>171</v>
      </c>
      <c r="N20" t="s">
        <v>4337</v>
      </c>
      <c r="O20" t="s">
        <v>321</v>
      </c>
    </row>
    <row r="21" spans="1:15" x14ac:dyDescent="0.25">
      <c r="A21" t="s">
        <v>3837</v>
      </c>
      <c r="B21" t="s">
        <v>3838</v>
      </c>
      <c r="C21" t="s">
        <v>3839</v>
      </c>
      <c r="E21" s="13">
        <v>46075</v>
      </c>
      <c r="F21" t="s">
        <v>3841</v>
      </c>
      <c r="G21">
        <v>2108.11</v>
      </c>
      <c r="H21" t="s">
        <v>15</v>
      </c>
      <c r="I21" t="s">
        <v>3594</v>
      </c>
      <c r="J21" t="s">
        <v>47</v>
      </c>
      <c r="L21">
        <v>1035</v>
      </c>
      <c r="M21" t="s">
        <v>171</v>
      </c>
      <c r="N21" t="s">
        <v>4337</v>
      </c>
      <c r="O21" t="s">
        <v>321</v>
      </c>
    </row>
    <row r="22" spans="1:15" x14ac:dyDescent="0.25">
      <c r="A22" t="s">
        <v>3837</v>
      </c>
      <c r="B22" t="s">
        <v>3838</v>
      </c>
      <c r="C22" t="s">
        <v>3839</v>
      </c>
      <c r="E22" s="13">
        <v>46075</v>
      </c>
      <c r="F22" t="s">
        <v>3842</v>
      </c>
      <c r="G22">
        <v>13.25</v>
      </c>
      <c r="H22" t="s">
        <v>15</v>
      </c>
      <c r="I22" t="s">
        <v>3843</v>
      </c>
      <c r="J22" t="s">
        <v>3844</v>
      </c>
      <c r="L22">
        <v>1035</v>
      </c>
      <c r="M22" t="s">
        <v>171</v>
      </c>
      <c r="N22" t="s">
        <v>4337</v>
      </c>
      <c r="O22" t="s">
        <v>321</v>
      </c>
    </row>
    <row r="23" spans="1:15" x14ac:dyDescent="0.25">
      <c r="A23" t="s">
        <v>3837</v>
      </c>
      <c r="B23" t="s">
        <v>3838</v>
      </c>
      <c r="C23" t="s">
        <v>3839</v>
      </c>
      <c r="E23" s="13">
        <v>46066</v>
      </c>
      <c r="F23" t="s">
        <v>3840</v>
      </c>
      <c r="G23">
        <v>22.67</v>
      </c>
      <c r="H23" t="s">
        <v>15</v>
      </c>
      <c r="I23" t="s">
        <v>16</v>
      </c>
      <c r="J23" t="s">
        <v>1034</v>
      </c>
      <c r="L23">
        <v>7500</v>
      </c>
      <c r="M23" t="s">
        <v>171</v>
      </c>
      <c r="N23" t="s">
        <v>4337</v>
      </c>
      <c r="O23" t="s">
        <v>321</v>
      </c>
    </row>
    <row r="24" spans="1:15" x14ac:dyDescent="0.25">
      <c r="A24" t="s">
        <v>3837</v>
      </c>
      <c r="B24" t="s">
        <v>3838</v>
      </c>
      <c r="C24" t="s">
        <v>3839</v>
      </c>
      <c r="E24" s="13">
        <v>46064</v>
      </c>
      <c r="F24" t="s">
        <v>3845</v>
      </c>
      <c r="G24">
        <v>83.01</v>
      </c>
      <c r="H24" t="s">
        <v>15</v>
      </c>
      <c r="I24" t="s">
        <v>16</v>
      </c>
      <c r="J24" t="s">
        <v>2158</v>
      </c>
      <c r="L24">
        <v>7501</v>
      </c>
      <c r="M24" t="s">
        <v>171</v>
      </c>
      <c r="N24" t="s">
        <v>4337</v>
      </c>
      <c r="O24" t="s">
        <v>321</v>
      </c>
    </row>
    <row r="25" spans="1:15" x14ac:dyDescent="0.25">
      <c r="A25" t="s">
        <v>3837</v>
      </c>
      <c r="B25" t="s">
        <v>3838</v>
      </c>
      <c r="C25" t="s">
        <v>3839</v>
      </c>
      <c r="E25" s="13">
        <v>46063</v>
      </c>
      <c r="F25" t="s">
        <v>3846</v>
      </c>
      <c r="G25">
        <v>44.55</v>
      </c>
      <c r="H25" t="s">
        <v>15</v>
      </c>
      <c r="I25" t="s">
        <v>16</v>
      </c>
      <c r="J25" t="s">
        <v>1421</v>
      </c>
      <c r="L25">
        <v>7500</v>
      </c>
      <c r="M25" t="s">
        <v>171</v>
      </c>
      <c r="N25" t="s">
        <v>4337</v>
      </c>
      <c r="O25" t="s">
        <v>321</v>
      </c>
    </row>
    <row r="26" spans="1:15" x14ac:dyDescent="0.25">
      <c r="A26" t="s">
        <v>3837</v>
      </c>
      <c r="B26" t="s">
        <v>3838</v>
      </c>
      <c r="C26" t="s">
        <v>3839</v>
      </c>
      <c r="E26" s="13">
        <v>46062</v>
      </c>
      <c r="F26" t="s">
        <v>3847</v>
      </c>
      <c r="G26">
        <v>849.81</v>
      </c>
      <c r="H26" t="s">
        <v>15</v>
      </c>
      <c r="I26" t="s">
        <v>3594</v>
      </c>
      <c r="J26" t="s">
        <v>41</v>
      </c>
      <c r="L26">
        <v>1035</v>
      </c>
      <c r="M26" t="s">
        <v>171</v>
      </c>
      <c r="N26" t="s">
        <v>4337</v>
      </c>
      <c r="O26" t="s">
        <v>321</v>
      </c>
    </row>
    <row r="27" spans="1:15" x14ac:dyDescent="0.25">
      <c r="A27" t="s">
        <v>3837</v>
      </c>
      <c r="B27" t="s">
        <v>3838</v>
      </c>
      <c r="C27" t="s">
        <v>3839</v>
      </c>
      <c r="E27" s="13">
        <v>46060</v>
      </c>
      <c r="F27" t="s">
        <v>3840</v>
      </c>
      <c r="G27">
        <v>24.33</v>
      </c>
      <c r="H27" t="s">
        <v>15</v>
      </c>
      <c r="I27" t="s">
        <v>16</v>
      </c>
      <c r="J27" t="s">
        <v>1034</v>
      </c>
      <c r="L27">
        <v>7500</v>
      </c>
      <c r="M27" t="s">
        <v>171</v>
      </c>
      <c r="N27" t="s">
        <v>4337</v>
      </c>
      <c r="O27" t="s">
        <v>321</v>
      </c>
    </row>
    <row r="28" spans="1:15" x14ac:dyDescent="0.25">
      <c r="A28" t="s">
        <v>3837</v>
      </c>
      <c r="B28" t="s">
        <v>3838</v>
      </c>
      <c r="C28" t="s">
        <v>3839</v>
      </c>
      <c r="E28" s="13">
        <v>46060</v>
      </c>
      <c r="F28" t="s">
        <v>3848</v>
      </c>
      <c r="G28">
        <v>59.52</v>
      </c>
      <c r="H28" t="s">
        <v>15</v>
      </c>
      <c r="I28" t="s">
        <v>3822</v>
      </c>
      <c r="J28" t="s">
        <v>3849</v>
      </c>
      <c r="L28">
        <v>7500</v>
      </c>
      <c r="M28" t="s">
        <v>171</v>
      </c>
      <c r="N28" t="s">
        <v>4337</v>
      </c>
      <c r="O28" t="s">
        <v>321</v>
      </c>
    </row>
    <row r="29" spans="1:15" x14ac:dyDescent="0.25">
      <c r="A29" t="s">
        <v>3837</v>
      </c>
      <c r="B29" t="s">
        <v>3838</v>
      </c>
      <c r="C29" t="s">
        <v>3839</v>
      </c>
      <c r="E29" s="13">
        <v>46062</v>
      </c>
      <c r="F29" t="s">
        <v>3850</v>
      </c>
      <c r="G29">
        <v>30</v>
      </c>
      <c r="H29" t="s">
        <v>15</v>
      </c>
      <c r="I29" t="s">
        <v>3594</v>
      </c>
      <c r="J29" t="s">
        <v>30</v>
      </c>
      <c r="L29">
        <v>1035</v>
      </c>
      <c r="M29" t="s">
        <v>171</v>
      </c>
      <c r="N29" t="s">
        <v>4337</v>
      </c>
      <c r="O29" t="s">
        <v>321</v>
      </c>
    </row>
    <row r="30" spans="1:15" x14ac:dyDescent="0.25">
      <c r="A30" t="s">
        <v>3851</v>
      </c>
      <c r="B30" t="s">
        <v>3852</v>
      </c>
      <c r="C30" t="s">
        <v>3853</v>
      </c>
      <c r="E30" s="13">
        <v>46055</v>
      </c>
      <c r="F30" t="s">
        <v>3854</v>
      </c>
      <c r="G30">
        <v>-414.1</v>
      </c>
      <c r="H30" t="s">
        <v>15</v>
      </c>
      <c r="I30" t="s">
        <v>3594</v>
      </c>
      <c r="J30" t="s">
        <v>70</v>
      </c>
      <c r="L30">
        <v>4263</v>
      </c>
      <c r="M30" t="s">
        <v>3855</v>
      </c>
      <c r="N30" t="s">
        <v>4337</v>
      </c>
      <c r="O30" t="s">
        <v>575</v>
      </c>
    </row>
    <row r="31" spans="1:15" x14ac:dyDescent="0.25">
      <c r="A31" t="s">
        <v>3851</v>
      </c>
      <c r="B31" t="s">
        <v>3852</v>
      </c>
      <c r="C31" t="s">
        <v>3853</v>
      </c>
      <c r="E31" s="13">
        <v>46079</v>
      </c>
      <c r="F31" t="s">
        <v>3856</v>
      </c>
      <c r="G31">
        <v>1375</v>
      </c>
      <c r="H31" t="s">
        <v>15</v>
      </c>
      <c r="I31" t="s">
        <v>16</v>
      </c>
      <c r="J31" t="s">
        <v>938</v>
      </c>
      <c r="L31">
        <v>6470</v>
      </c>
      <c r="M31" t="s">
        <v>3836</v>
      </c>
      <c r="N31" t="s">
        <v>4337</v>
      </c>
      <c r="O31" t="s">
        <v>575</v>
      </c>
    </row>
    <row r="32" spans="1:15" x14ac:dyDescent="0.25">
      <c r="A32" t="s">
        <v>3851</v>
      </c>
      <c r="B32" t="s">
        <v>3852</v>
      </c>
      <c r="C32" t="s">
        <v>3853</v>
      </c>
      <c r="E32" s="13">
        <v>46085</v>
      </c>
      <c r="F32" t="s">
        <v>3857</v>
      </c>
      <c r="G32">
        <v>1056.52</v>
      </c>
      <c r="H32" t="s">
        <v>15</v>
      </c>
      <c r="I32" t="s">
        <v>3594</v>
      </c>
      <c r="J32" t="s">
        <v>29</v>
      </c>
      <c r="L32">
        <v>6645</v>
      </c>
      <c r="M32" t="s">
        <v>3836</v>
      </c>
      <c r="N32" t="s">
        <v>4337</v>
      </c>
      <c r="O32" t="s">
        <v>575</v>
      </c>
    </row>
    <row r="33" spans="1:15" x14ac:dyDescent="0.25">
      <c r="A33" t="s">
        <v>3851</v>
      </c>
      <c r="B33" t="s">
        <v>3852</v>
      </c>
      <c r="C33" t="s">
        <v>3853</v>
      </c>
      <c r="E33" s="13">
        <v>46063</v>
      </c>
      <c r="F33" t="s">
        <v>3858</v>
      </c>
      <c r="G33">
        <v>-1186.8399999999999</v>
      </c>
      <c r="H33" t="s">
        <v>15</v>
      </c>
      <c r="I33" t="s">
        <v>3594</v>
      </c>
      <c r="J33" t="s">
        <v>32</v>
      </c>
      <c r="L33">
        <v>1035</v>
      </c>
      <c r="M33" t="s">
        <v>3836</v>
      </c>
      <c r="N33" t="s">
        <v>4337</v>
      </c>
      <c r="O33" t="s">
        <v>575</v>
      </c>
    </row>
    <row r="34" spans="1:15" x14ac:dyDescent="0.25">
      <c r="A34" t="s">
        <v>3851</v>
      </c>
      <c r="B34" t="s">
        <v>3852</v>
      </c>
      <c r="C34" t="s">
        <v>3853</v>
      </c>
      <c r="E34" s="13">
        <v>46063</v>
      </c>
      <c r="F34" t="s">
        <v>3859</v>
      </c>
      <c r="G34">
        <v>-853.49</v>
      </c>
      <c r="H34" t="s">
        <v>15</v>
      </c>
      <c r="I34" t="s">
        <v>3594</v>
      </c>
      <c r="J34" t="s">
        <v>47</v>
      </c>
      <c r="L34">
        <v>1035</v>
      </c>
      <c r="M34" t="s">
        <v>3836</v>
      </c>
      <c r="N34" t="s">
        <v>4337</v>
      </c>
      <c r="O34" t="s">
        <v>575</v>
      </c>
    </row>
    <row r="35" spans="1:15" x14ac:dyDescent="0.25">
      <c r="A35" t="s">
        <v>3851</v>
      </c>
      <c r="B35" t="s">
        <v>3852</v>
      </c>
      <c r="C35" t="s">
        <v>3853</v>
      </c>
      <c r="E35" s="13">
        <v>46085</v>
      </c>
      <c r="F35" t="s">
        <v>3860</v>
      </c>
      <c r="G35">
        <v>30</v>
      </c>
      <c r="H35" t="s">
        <v>15</v>
      </c>
      <c r="I35" t="s">
        <v>3843</v>
      </c>
      <c r="J35" t="s">
        <v>30</v>
      </c>
      <c r="L35">
        <v>6645</v>
      </c>
      <c r="M35" t="s">
        <v>3836</v>
      </c>
      <c r="N35" t="s">
        <v>4337</v>
      </c>
      <c r="O35" t="s">
        <v>575</v>
      </c>
    </row>
    <row r="36" spans="1:15" x14ac:dyDescent="0.25">
      <c r="A36" t="s">
        <v>3851</v>
      </c>
      <c r="B36" t="s">
        <v>3852</v>
      </c>
      <c r="C36" t="s">
        <v>3853</v>
      </c>
      <c r="E36" s="13">
        <v>46057</v>
      </c>
      <c r="F36" t="s">
        <v>3861</v>
      </c>
      <c r="G36">
        <v>8.58</v>
      </c>
      <c r="H36" t="s">
        <v>15</v>
      </c>
      <c r="I36" t="s">
        <v>16</v>
      </c>
      <c r="J36" t="s">
        <v>2628</v>
      </c>
      <c r="L36">
        <v>4263</v>
      </c>
      <c r="M36" t="s">
        <v>3855</v>
      </c>
      <c r="N36" t="s">
        <v>4337</v>
      </c>
      <c r="O36" t="s">
        <v>575</v>
      </c>
    </row>
    <row r="37" spans="1:15" x14ac:dyDescent="0.25">
      <c r="A37" t="s">
        <v>3851</v>
      </c>
      <c r="B37" t="s">
        <v>3852</v>
      </c>
      <c r="C37" t="s">
        <v>3853</v>
      </c>
      <c r="E37" s="13">
        <v>46057</v>
      </c>
      <c r="F37" t="s">
        <v>3862</v>
      </c>
      <c r="G37">
        <v>64.67</v>
      </c>
      <c r="H37" t="s">
        <v>15</v>
      </c>
      <c r="I37" t="s">
        <v>16</v>
      </c>
      <c r="J37" t="s">
        <v>2628</v>
      </c>
      <c r="L37">
        <v>6409</v>
      </c>
      <c r="M37" t="s">
        <v>3836</v>
      </c>
      <c r="N37" t="s">
        <v>4337</v>
      </c>
      <c r="O37" t="s">
        <v>575</v>
      </c>
    </row>
    <row r="38" spans="1:15" x14ac:dyDescent="0.25">
      <c r="A38" t="s">
        <v>3851</v>
      </c>
      <c r="B38" t="s">
        <v>3852</v>
      </c>
      <c r="C38" t="s">
        <v>3853</v>
      </c>
      <c r="E38" s="13">
        <v>46057</v>
      </c>
      <c r="F38" t="s">
        <v>3862</v>
      </c>
      <c r="G38">
        <v>59.38</v>
      </c>
      <c r="H38" t="s">
        <v>15</v>
      </c>
      <c r="I38" t="s">
        <v>16</v>
      </c>
      <c r="J38" t="s">
        <v>2628</v>
      </c>
      <c r="L38">
        <v>6409</v>
      </c>
      <c r="M38" t="s">
        <v>3836</v>
      </c>
      <c r="N38" t="s">
        <v>4337</v>
      </c>
      <c r="O38" t="s">
        <v>575</v>
      </c>
    </row>
    <row r="39" spans="1:15" x14ac:dyDescent="0.25">
      <c r="A39" t="s">
        <v>3851</v>
      </c>
      <c r="B39" t="s">
        <v>3852</v>
      </c>
      <c r="C39" t="s">
        <v>3853</v>
      </c>
      <c r="E39" s="13">
        <v>46057</v>
      </c>
      <c r="F39" t="s">
        <v>3863</v>
      </c>
      <c r="G39">
        <v>583.16</v>
      </c>
      <c r="H39" t="s">
        <v>15</v>
      </c>
      <c r="I39" t="s">
        <v>3864</v>
      </c>
      <c r="J39" t="s">
        <v>2628</v>
      </c>
      <c r="L39">
        <v>6409</v>
      </c>
      <c r="M39" t="s">
        <v>3836</v>
      </c>
      <c r="N39" t="s">
        <v>4337</v>
      </c>
      <c r="O39" t="s">
        <v>575</v>
      </c>
    </row>
    <row r="40" spans="1:15" x14ac:dyDescent="0.25">
      <c r="A40" t="s">
        <v>3851</v>
      </c>
      <c r="B40" t="s">
        <v>3852</v>
      </c>
      <c r="C40" t="s">
        <v>3853</v>
      </c>
      <c r="E40" s="13">
        <v>46057</v>
      </c>
      <c r="F40" t="s">
        <v>3865</v>
      </c>
      <c r="G40">
        <v>1749.45</v>
      </c>
      <c r="H40" t="s">
        <v>15</v>
      </c>
      <c r="I40" t="s">
        <v>3864</v>
      </c>
      <c r="J40" t="s">
        <v>2628</v>
      </c>
      <c r="L40">
        <v>4263</v>
      </c>
      <c r="M40" t="s">
        <v>3855</v>
      </c>
      <c r="N40" t="s">
        <v>4337</v>
      </c>
      <c r="O40" t="s">
        <v>575</v>
      </c>
    </row>
    <row r="41" spans="1:15" x14ac:dyDescent="0.25">
      <c r="A41" t="s">
        <v>3837</v>
      </c>
      <c r="B41" t="s">
        <v>3866</v>
      </c>
      <c r="C41" t="s">
        <v>3867</v>
      </c>
      <c r="E41" s="13">
        <v>46058</v>
      </c>
      <c r="F41" t="s">
        <v>3868</v>
      </c>
      <c r="G41">
        <v>214.12</v>
      </c>
      <c r="H41" t="s">
        <v>15</v>
      </c>
      <c r="I41" t="s">
        <v>21</v>
      </c>
      <c r="J41" t="s">
        <v>3025</v>
      </c>
      <c r="L41">
        <v>6454</v>
      </c>
      <c r="M41" t="s">
        <v>3836</v>
      </c>
      <c r="N41" t="s">
        <v>4337</v>
      </c>
      <c r="O41" t="s">
        <v>567</v>
      </c>
    </row>
    <row r="42" spans="1:15" x14ac:dyDescent="0.25">
      <c r="A42" t="s">
        <v>3837</v>
      </c>
      <c r="B42" t="s">
        <v>3866</v>
      </c>
      <c r="C42" t="s">
        <v>3867</v>
      </c>
      <c r="E42" s="13">
        <v>46077</v>
      </c>
      <c r="F42" t="s">
        <v>3869</v>
      </c>
      <c r="G42">
        <v>41.97</v>
      </c>
      <c r="H42" t="s">
        <v>15</v>
      </c>
      <c r="I42" t="s">
        <v>21</v>
      </c>
      <c r="J42" t="s">
        <v>111</v>
      </c>
      <c r="L42">
        <v>1035</v>
      </c>
      <c r="M42" t="s">
        <v>3836</v>
      </c>
      <c r="N42" t="s">
        <v>4337</v>
      </c>
      <c r="O42" t="s">
        <v>567</v>
      </c>
    </row>
    <row r="43" spans="1:15" x14ac:dyDescent="0.25">
      <c r="A43" t="s">
        <v>3837</v>
      </c>
      <c r="B43" t="s">
        <v>3866</v>
      </c>
      <c r="C43" t="s">
        <v>3867</v>
      </c>
      <c r="E43" s="13">
        <v>46077</v>
      </c>
      <c r="F43" t="s">
        <v>3870</v>
      </c>
      <c r="G43">
        <v>828.28</v>
      </c>
      <c r="H43" t="s">
        <v>15</v>
      </c>
      <c r="I43" t="s">
        <v>16</v>
      </c>
      <c r="J43" t="s">
        <v>3871</v>
      </c>
      <c r="L43">
        <v>1035</v>
      </c>
      <c r="M43" t="s">
        <v>3836</v>
      </c>
      <c r="N43" t="s">
        <v>4337</v>
      </c>
      <c r="O43" t="s">
        <v>567</v>
      </c>
    </row>
    <row r="44" spans="1:15" x14ac:dyDescent="0.25">
      <c r="A44" t="s">
        <v>3837</v>
      </c>
      <c r="B44" t="s">
        <v>3866</v>
      </c>
      <c r="C44" t="s">
        <v>3867</v>
      </c>
      <c r="E44" s="13">
        <v>46066</v>
      </c>
      <c r="F44" t="s">
        <v>3872</v>
      </c>
      <c r="G44">
        <v>214.12</v>
      </c>
      <c r="H44" t="s">
        <v>15</v>
      </c>
      <c r="I44" t="s">
        <v>21</v>
      </c>
      <c r="J44" t="s">
        <v>3025</v>
      </c>
      <c r="L44">
        <v>6961</v>
      </c>
      <c r="M44" t="s">
        <v>3836</v>
      </c>
      <c r="N44" t="s">
        <v>4337</v>
      </c>
      <c r="O44" t="s">
        <v>567</v>
      </c>
    </row>
    <row r="45" spans="1:15" x14ac:dyDescent="0.25">
      <c r="A45" t="s">
        <v>3837</v>
      </c>
      <c r="B45" t="s">
        <v>3866</v>
      </c>
      <c r="C45" t="s">
        <v>3867</v>
      </c>
      <c r="E45" s="13">
        <v>46065</v>
      </c>
      <c r="F45" t="s">
        <v>3873</v>
      </c>
      <c r="G45">
        <v>214.12</v>
      </c>
      <c r="H45" t="s">
        <v>15</v>
      </c>
      <c r="I45" t="s">
        <v>21</v>
      </c>
      <c r="J45" t="s">
        <v>3025</v>
      </c>
      <c r="L45">
        <v>6456</v>
      </c>
      <c r="M45" t="s">
        <v>3836</v>
      </c>
      <c r="N45" t="s">
        <v>4337</v>
      </c>
      <c r="O45" t="s">
        <v>567</v>
      </c>
    </row>
    <row r="46" spans="1:15" x14ac:dyDescent="0.25">
      <c r="A46" t="s">
        <v>3837</v>
      </c>
      <c r="B46" t="s">
        <v>3866</v>
      </c>
      <c r="C46" t="s">
        <v>3867</v>
      </c>
      <c r="E46" s="13">
        <v>46065</v>
      </c>
      <c r="F46" t="s">
        <v>3874</v>
      </c>
      <c r="G46">
        <v>640.41</v>
      </c>
      <c r="H46" t="s">
        <v>15</v>
      </c>
      <c r="I46" t="s">
        <v>16</v>
      </c>
      <c r="J46" t="s">
        <v>3026</v>
      </c>
      <c r="L46">
        <v>6961</v>
      </c>
      <c r="M46" t="s">
        <v>3836</v>
      </c>
      <c r="N46" t="s">
        <v>4337</v>
      </c>
      <c r="O46" t="s">
        <v>567</v>
      </c>
    </row>
    <row r="47" spans="1:15" x14ac:dyDescent="0.25">
      <c r="A47" t="s">
        <v>3875</v>
      </c>
      <c r="B47" t="s">
        <v>3876</v>
      </c>
      <c r="C47" t="s">
        <v>3877</v>
      </c>
      <c r="E47" s="13">
        <v>46079</v>
      </c>
      <c r="F47" t="s">
        <v>3878</v>
      </c>
      <c r="G47">
        <v>0.02</v>
      </c>
      <c r="H47" t="s">
        <v>15</v>
      </c>
      <c r="I47" t="s">
        <v>3594</v>
      </c>
      <c r="J47" t="s">
        <v>3879</v>
      </c>
      <c r="K47" t="s">
        <v>3879</v>
      </c>
      <c r="L47">
        <v>1035</v>
      </c>
      <c r="M47" t="s">
        <v>3836</v>
      </c>
      <c r="N47" t="s">
        <v>4337</v>
      </c>
      <c r="O47" t="s">
        <v>565</v>
      </c>
    </row>
    <row r="48" spans="1:15" x14ac:dyDescent="0.25">
      <c r="A48" t="s">
        <v>3875</v>
      </c>
      <c r="B48" t="s">
        <v>3876</v>
      </c>
      <c r="C48" t="s">
        <v>3877</v>
      </c>
      <c r="E48" s="13">
        <v>46079</v>
      </c>
      <c r="F48" t="s">
        <v>3880</v>
      </c>
      <c r="G48">
        <v>30</v>
      </c>
      <c r="H48" t="s">
        <v>15</v>
      </c>
      <c r="I48" t="s">
        <v>3594</v>
      </c>
      <c r="J48" t="s">
        <v>30</v>
      </c>
      <c r="L48">
        <v>1035</v>
      </c>
      <c r="M48" t="s">
        <v>3836</v>
      </c>
      <c r="N48" t="s">
        <v>4337</v>
      </c>
      <c r="O48" t="s">
        <v>565</v>
      </c>
    </row>
    <row r="49" spans="1:15" x14ac:dyDescent="0.25">
      <c r="A49" t="s">
        <v>3875</v>
      </c>
      <c r="B49" t="s">
        <v>3876</v>
      </c>
      <c r="C49" t="s">
        <v>3877</v>
      </c>
      <c r="E49" s="13">
        <v>46079</v>
      </c>
      <c r="F49" t="s">
        <v>3881</v>
      </c>
      <c r="G49">
        <v>7.41</v>
      </c>
      <c r="H49" t="s">
        <v>15</v>
      </c>
      <c r="I49" t="s">
        <v>16</v>
      </c>
      <c r="J49" t="s">
        <v>3882</v>
      </c>
      <c r="L49">
        <v>6001</v>
      </c>
      <c r="M49" t="s">
        <v>3836</v>
      </c>
      <c r="N49" t="s">
        <v>4337</v>
      </c>
      <c r="O49" t="s">
        <v>565</v>
      </c>
    </row>
    <row r="50" spans="1:15" x14ac:dyDescent="0.25">
      <c r="A50" t="s">
        <v>3875</v>
      </c>
      <c r="B50" t="s">
        <v>3876</v>
      </c>
      <c r="C50" t="s">
        <v>3877</v>
      </c>
      <c r="E50" s="13">
        <v>46076</v>
      </c>
      <c r="F50" t="s">
        <v>3883</v>
      </c>
      <c r="G50">
        <v>28.19</v>
      </c>
      <c r="H50" t="s">
        <v>15</v>
      </c>
      <c r="I50" t="s">
        <v>16</v>
      </c>
      <c r="J50" t="s">
        <v>3884</v>
      </c>
      <c r="L50">
        <v>1035</v>
      </c>
      <c r="M50" t="s">
        <v>3836</v>
      </c>
      <c r="N50" t="s">
        <v>4337</v>
      </c>
      <c r="O50" t="s">
        <v>565</v>
      </c>
    </row>
    <row r="51" spans="1:15" x14ac:dyDescent="0.25">
      <c r="A51" t="s">
        <v>3875</v>
      </c>
      <c r="B51" t="s">
        <v>3876</v>
      </c>
      <c r="C51" t="s">
        <v>3877</v>
      </c>
      <c r="E51" s="13">
        <v>46075</v>
      </c>
      <c r="F51" t="s">
        <v>3881</v>
      </c>
      <c r="G51">
        <v>11.82</v>
      </c>
      <c r="H51" t="s">
        <v>15</v>
      </c>
      <c r="I51" t="s">
        <v>16</v>
      </c>
      <c r="J51" t="s">
        <v>220</v>
      </c>
      <c r="L51">
        <v>1035</v>
      </c>
      <c r="M51" t="s">
        <v>3836</v>
      </c>
      <c r="N51" t="s">
        <v>4337</v>
      </c>
      <c r="O51" t="s">
        <v>565</v>
      </c>
    </row>
    <row r="52" spans="1:15" x14ac:dyDescent="0.25">
      <c r="A52" t="s">
        <v>3875</v>
      </c>
      <c r="B52" t="s">
        <v>3876</v>
      </c>
      <c r="C52" t="s">
        <v>3877</v>
      </c>
      <c r="E52" s="13">
        <v>46065</v>
      </c>
      <c r="F52" t="s">
        <v>3885</v>
      </c>
      <c r="G52">
        <v>68.98</v>
      </c>
      <c r="H52" t="s">
        <v>15</v>
      </c>
      <c r="I52" t="s">
        <v>21</v>
      </c>
      <c r="J52" t="s">
        <v>111</v>
      </c>
      <c r="L52">
        <v>6448</v>
      </c>
      <c r="M52" t="s">
        <v>3836</v>
      </c>
      <c r="N52" t="s">
        <v>4337</v>
      </c>
      <c r="O52" t="s">
        <v>565</v>
      </c>
    </row>
    <row r="53" spans="1:15" x14ac:dyDescent="0.25">
      <c r="A53" t="s">
        <v>3875</v>
      </c>
      <c r="B53" t="s">
        <v>3876</v>
      </c>
      <c r="C53" t="s">
        <v>3877</v>
      </c>
      <c r="E53" s="13">
        <v>46065</v>
      </c>
      <c r="F53" t="s">
        <v>3886</v>
      </c>
      <c r="G53">
        <v>26.94</v>
      </c>
      <c r="H53" t="s">
        <v>15</v>
      </c>
      <c r="I53" t="s">
        <v>21</v>
      </c>
      <c r="J53" t="s">
        <v>111</v>
      </c>
      <c r="L53">
        <v>6448</v>
      </c>
      <c r="M53" t="s">
        <v>3836</v>
      </c>
      <c r="N53" t="s">
        <v>4337</v>
      </c>
      <c r="O53" t="s">
        <v>565</v>
      </c>
    </row>
    <row r="54" spans="1:15" x14ac:dyDescent="0.25">
      <c r="A54" t="s">
        <v>3875</v>
      </c>
      <c r="B54" t="s">
        <v>3876</v>
      </c>
      <c r="C54" t="s">
        <v>3877</v>
      </c>
      <c r="E54" s="13">
        <v>46065</v>
      </c>
      <c r="F54" t="s">
        <v>3887</v>
      </c>
      <c r="G54">
        <v>637.32000000000005</v>
      </c>
      <c r="H54" t="s">
        <v>15</v>
      </c>
      <c r="I54" t="s">
        <v>3864</v>
      </c>
      <c r="J54" t="s">
        <v>226</v>
      </c>
      <c r="L54">
        <v>6448</v>
      </c>
      <c r="M54" t="s">
        <v>3836</v>
      </c>
      <c r="N54" t="s">
        <v>4337</v>
      </c>
      <c r="O54" t="s">
        <v>565</v>
      </c>
    </row>
    <row r="55" spans="1:15" x14ac:dyDescent="0.25">
      <c r="A55" t="s">
        <v>3875</v>
      </c>
      <c r="B55" t="s">
        <v>3876</v>
      </c>
      <c r="C55" t="s">
        <v>3877</v>
      </c>
      <c r="E55" s="13">
        <v>46065</v>
      </c>
      <c r="F55" t="s">
        <v>3888</v>
      </c>
      <c r="G55">
        <v>13.49</v>
      </c>
      <c r="H55" t="s">
        <v>15</v>
      </c>
      <c r="I55" t="s">
        <v>16</v>
      </c>
      <c r="J55" t="s">
        <v>1432</v>
      </c>
      <c r="L55">
        <v>6448</v>
      </c>
      <c r="M55" t="s">
        <v>3836</v>
      </c>
      <c r="N55" t="s">
        <v>4337</v>
      </c>
      <c r="O55" t="s">
        <v>565</v>
      </c>
    </row>
    <row r="56" spans="1:15" x14ac:dyDescent="0.25">
      <c r="A56" t="s">
        <v>3875</v>
      </c>
      <c r="B56" t="s">
        <v>3876</v>
      </c>
      <c r="C56" t="s">
        <v>3877</v>
      </c>
      <c r="E56" s="13">
        <v>46064</v>
      </c>
      <c r="F56" t="s">
        <v>3889</v>
      </c>
      <c r="G56">
        <v>23.72</v>
      </c>
      <c r="H56" t="s">
        <v>15</v>
      </c>
      <c r="I56" t="s">
        <v>21</v>
      </c>
      <c r="J56" t="s">
        <v>111</v>
      </c>
      <c r="L56">
        <v>6448</v>
      </c>
      <c r="M56" t="s">
        <v>3836</v>
      </c>
      <c r="N56" t="s">
        <v>4337</v>
      </c>
      <c r="O56" t="s">
        <v>565</v>
      </c>
    </row>
    <row r="57" spans="1:15" x14ac:dyDescent="0.25">
      <c r="A57" t="s">
        <v>3875</v>
      </c>
      <c r="B57" t="s">
        <v>3876</v>
      </c>
      <c r="C57" t="s">
        <v>3877</v>
      </c>
      <c r="E57" s="13">
        <v>46064</v>
      </c>
      <c r="F57" t="s">
        <v>3886</v>
      </c>
      <c r="G57">
        <v>20.7</v>
      </c>
      <c r="H57" t="s">
        <v>15</v>
      </c>
      <c r="I57" t="s">
        <v>21</v>
      </c>
      <c r="J57" t="s">
        <v>111</v>
      </c>
      <c r="L57">
        <v>6448</v>
      </c>
      <c r="M57" t="s">
        <v>3836</v>
      </c>
      <c r="N57" t="s">
        <v>4337</v>
      </c>
      <c r="O57" t="s">
        <v>565</v>
      </c>
    </row>
    <row r="58" spans="1:15" x14ac:dyDescent="0.25">
      <c r="A58" t="s">
        <v>3875</v>
      </c>
      <c r="B58" t="s">
        <v>3876</v>
      </c>
      <c r="C58" t="s">
        <v>3877</v>
      </c>
      <c r="E58" s="13">
        <v>46064</v>
      </c>
      <c r="F58" t="s">
        <v>3890</v>
      </c>
      <c r="G58">
        <v>8.1999999999999993</v>
      </c>
      <c r="H58" t="s">
        <v>15</v>
      </c>
      <c r="I58" t="s">
        <v>16</v>
      </c>
      <c r="J58" t="s">
        <v>3891</v>
      </c>
      <c r="L58">
        <v>6448</v>
      </c>
      <c r="M58" t="s">
        <v>3836</v>
      </c>
      <c r="N58" t="s">
        <v>4337</v>
      </c>
      <c r="O58" t="s">
        <v>565</v>
      </c>
    </row>
    <row r="59" spans="1:15" x14ac:dyDescent="0.25">
      <c r="A59" t="s">
        <v>3875</v>
      </c>
      <c r="B59" t="s">
        <v>3876</v>
      </c>
      <c r="C59" t="s">
        <v>3877</v>
      </c>
      <c r="E59" s="13">
        <v>46063</v>
      </c>
      <c r="F59" t="s">
        <v>3886</v>
      </c>
      <c r="G59">
        <v>25.99</v>
      </c>
      <c r="H59" t="s">
        <v>15</v>
      </c>
      <c r="I59" t="s">
        <v>21</v>
      </c>
      <c r="J59" t="s">
        <v>111</v>
      </c>
      <c r="L59">
        <v>6448</v>
      </c>
      <c r="M59" t="s">
        <v>3836</v>
      </c>
      <c r="N59" t="s">
        <v>4337</v>
      </c>
      <c r="O59" t="s">
        <v>565</v>
      </c>
    </row>
    <row r="60" spans="1:15" x14ac:dyDescent="0.25">
      <c r="A60" t="s">
        <v>3875</v>
      </c>
      <c r="B60" t="s">
        <v>3876</v>
      </c>
      <c r="C60" t="s">
        <v>3877</v>
      </c>
      <c r="E60" s="13">
        <v>46057</v>
      </c>
      <c r="F60" t="s">
        <v>3892</v>
      </c>
      <c r="G60">
        <v>17726.63</v>
      </c>
      <c r="H60" t="s">
        <v>15</v>
      </c>
      <c r="I60" t="s">
        <v>3594</v>
      </c>
      <c r="J60" t="s">
        <v>1844</v>
      </c>
      <c r="K60" t="s">
        <v>1844</v>
      </c>
      <c r="L60">
        <v>6915</v>
      </c>
      <c r="M60" t="s">
        <v>3836</v>
      </c>
      <c r="N60" t="s">
        <v>4337</v>
      </c>
      <c r="O60" t="s">
        <v>565</v>
      </c>
    </row>
    <row r="61" spans="1:15" x14ac:dyDescent="0.25">
      <c r="A61" t="s">
        <v>3875</v>
      </c>
      <c r="B61" t="s">
        <v>3876</v>
      </c>
      <c r="C61" t="s">
        <v>3877</v>
      </c>
      <c r="E61" s="13">
        <v>46057</v>
      </c>
      <c r="F61" t="s">
        <v>3893</v>
      </c>
      <c r="G61">
        <v>45</v>
      </c>
      <c r="H61" t="s">
        <v>15</v>
      </c>
      <c r="I61" t="s">
        <v>3594</v>
      </c>
      <c r="J61" t="s">
        <v>30</v>
      </c>
      <c r="L61">
        <v>6915</v>
      </c>
      <c r="M61" t="s">
        <v>3836</v>
      </c>
      <c r="N61" t="s">
        <v>4337</v>
      </c>
      <c r="O61" t="s">
        <v>565</v>
      </c>
    </row>
    <row r="62" spans="1:15" x14ac:dyDescent="0.25">
      <c r="A62" t="s">
        <v>3875</v>
      </c>
      <c r="B62" t="s">
        <v>3876</v>
      </c>
      <c r="C62" t="s">
        <v>3877</v>
      </c>
      <c r="E62" s="13">
        <v>46084</v>
      </c>
      <c r="F62" t="s">
        <v>3894</v>
      </c>
      <c r="G62">
        <v>-2185.1999999999998</v>
      </c>
      <c r="H62" t="s">
        <v>15</v>
      </c>
      <c r="I62" t="s">
        <v>3594</v>
      </c>
      <c r="J62" t="s">
        <v>70</v>
      </c>
      <c r="K62" t="s">
        <v>3879</v>
      </c>
      <c r="L62">
        <v>1035</v>
      </c>
      <c r="M62" t="s">
        <v>3836</v>
      </c>
      <c r="N62" t="s">
        <v>4337</v>
      </c>
      <c r="O62" t="s">
        <v>565</v>
      </c>
    </row>
    <row r="63" spans="1:15" x14ac:dyDescent="0.25">
      <c r="A63" t="s">
        <v>3875</v>
      </c>
      <c r="B63" t="s">
        <v>3876</v>
      </c>
      <c r="C63" t="s">
        <v>3877</v>
      </c>
      <c r="E63" s="13">
        <v>46084</v>
      </c>
      <c r="F63" t="s">
        <v>3895</v>
      </c>
      <c r="G63">
        <v>956.41</v>
      </c>
      <c r="H63" t="s">
        <v>15</v>
      </c>
      <c r="I63" t="s">
        <v>3594</v>
      </c>
      <c r="J63" t="s">
        <v>32</v>
      </c>
      <c r="K63" t="s">
        <v>3896</v>
      </c>
      <c r="L63">
        <v>1035</v>
      </c>
      <c r="M63" t="s">
        <v>3836</v>
      </c>
      <c r="N63" t="s">
        <v>4337</v>
      </c>
      <c r="O63" t="s">
        <v>565</v>
      </c>
    </row>
    <row r="64" spans="1:15" x14ac:dyDescent="0.25">
      <c r="A64" t="s">
        <v>3875</v>
      </c>
      <c r="B64" t="s">
        <v>3876</v>
      </c>
      <c r="C64" t="s">
        <v>3877</v>
      </c>
      <c r="E64" s="13">
        <v>46084</v>
      </c>
      <c r="F64" t="s">
        <v>3897</v>
      </c>
      <c r="G64">
        <v>30</v>
      </c>
      <c r="H64" t="s">
        <v>15</v>
      </c>
      <c r="I64" t="s">
        <v>3594</v>
      </c>
      <c r="J64" t="s">
        <v>30</v>
      </c>
      <c r="L64">
        <v>1035</v>
      </c>
      <c r="M64" t="s">
        <v>3836</v>
      </c>
      <c r="N64" t="s">
        <v>4337</v>
      </c>
      <c r="O64" t="s">
        <v>565</v>
      </c>
    </row>
    <row r="65" spans="1:15" x14ac:dyDescent="0.25">
      <c r="A65" t="s">
        <v>3875</v>
      </c>
      <c r="B65" t="s">
        <v>3876</v>
      </c>
      <c r="C65" t="s">
        <v>3877</v>
      </c>
      <c r="E65" s="13">
        <v>46086</v>
      </c>
      <c r="F65" t="s">
        <v>3898</v>
      </c>
      <c r="G65">
        <v>30</v>
      </c>
      <c r="H65" t="s">
        <v>15</v>
      </c>
      <c r="I65" t="s">
        <v>3594</v>
      </c>
      <c r="J65" t="s">
        <v>30</v>
      </c>
      <c r="L65">
        <v>6448</v>
      </c>
      <c r="M65" t="s">
        <v>3836</v>
      </c>
      <c r="N65" t="s">
        <v>4337</v>
      </c>
      <c r="O65" t="s">
        <v>565</v>
      </c>
    </row>
    <row r="66" spans="1:15" x14ac:dyDescent="0.25">
      <c r="A66" t="s">
        <v>3875</v>
      </c>
      <c r="B66" t="s">
        <v>3876</v>
      </c>
      <c r="C66" t="s">
        <v>3877</v>
      </c>
      <c r="E66" s="13">
        <v>46086</v>
      </c>
      <c r="F66" t="s">
        <v>3899</v>
      </c>
      <c r="G66">
        <v>30</v>
      </c>
      <c r="H66" t="s">
        <v>15</v>
      </c>
      <c r="I66" t="s">
        <v>3594</v>
      </c>
      <c r="J66" t="s">
        <v>30</v>
      </c>
      <c r="L66">
        <v>1008</v>
      </c>
      <c r="M66" t="s">
        <v>3836</v>
      </c>
      <c r="N66" t="s">
        <v>4337</v>
      </c>
      <c r="O66" t="s">
        <v>565</v>
      </c>
    </row>
    <row r="67" spans="1:15" x14ac:dyDescent="0.25">
      <c r="A67" t="s">
        <v>3875</v>
      </c>
      <c r="B67" t="s">
        <v>3876</v>
      </c>
      <c r="C67" t="s">
        <v>3877</v>
      </c>
      <c r="E67" s="13">
        <v>46086</v>
      </c>
      <c r="F67" t="s">
        <v>3900</v>
      </c>
      <c r="G67">
        <v>591.4</v>
      </c>
      <c r="H67" t="s">
        <v>15</v>
      </c>
      <c r="I67" t="s">
        <v>3594</v>
      </c>
      <c r="J67" t="s">
        <v>1071</v>
      </c>
      <c r="K67" t="s">
        <v>3901</v>
      </c>
      <c r="L67">
        <v>6448</v>
      </c>
      <c r="M67" t="s">
        <v>3836</v>
      </c>
      <c r="N67" t="s">
        <v>4337</v>
      </c>
      <c r="O67" t="s">
        <v>565</v>
      </c>
    </row>
    <row r="68" spans="1:15" x14ac:dyDescent="0.25">
      <c r="A68" t="s">
        <v>3875</v>
      </c>
      <c r="B68" t="s">
        <v>3876</v>
      </c>
      <c r="C68" t="s">
        <v>3877</v>
      </c>
      <c r="E68" s="13">
        <v>46086</v>
      </c>
      <c r="F68" t="s">
        <v>3899</v>
      </c>
      <c r="G68">
        <v>293.39999999999998</v>
      </c>
      <c r="H68" t="s">
        <v>15</v>
      </c>
      <c r="I68" t="s">
        <v>3594</v>
      </c>
      <c r="J68" t="s">
        <v>32</v>
      </c>
      <c r="K68" t="s">
        <v>3896</v>
      </c>
      <c r="L68">
        <v>1008</v>
      </c>
      <c r="M68" t="s">
        <v>3836</v>
      </c>
      <c r="N68" t="s">
        <v>4337</v>
      </c>
      <c r="O68" t="s">
        <v>565</v>
      </c>
    </row>
    <row r="69" spans="1:15" x14ac:dyDescent="0.25">
      <c r="A69" t="s">
        <v>3875</v>
      </c>
      <c r="B69" t="s">
        <v>3876</v>
      </c>
      <c r="C69" t="s">
        <v>3877</v>
      </c>
      <c r="E69" s="13">
        <v>46070</v>
      </c>
      <c r="F69" t="s">
        <v>3902</v>
      </c>
      <c r="G69">
        <v>19.440000000000001</v>
      </c>
      <c r="H69" t="s">
        <v>15</v>
      </c>
      <c r="I69" t="s">
        <v>16</v>
      </c>
      <c r="J69" t="s">
        <v>3903</v>
      </c>
      <c r="L69">
        <v>6915</v>
      </c>
      <c r="M69" t="s">
        <v>3836</v>
      </c>
      <c r="N69" t="s">
        <v>4337</v>
      </c>
      <c r="O69" t="s">
        <v>565</v>
      </c>
    </row>
    <row r="70" spans="1:15" x14ac:dyDescent="0.25">
      <c r="A70" t="s">
        <v>3875</v>
      </c>
      <c r="B70" t="s">
        <v>3876</v>
      </c>
      <c r="C70" t="s">
        <v>3877</v>
      </c>
      <c r="E70" s="13">
        <v>46070</v>
      </c>
      <c r="F70" t="s">
        <v>3904</v>
      </c>
      <c r="G70">
        <v>225.93</v>
      </c>
      <c r="H70" t="s">
        <v>15</v>
      </c>
      <c r="I70" t="s">
        <v>3864</v>
      </c>
      <c r="J70" t="s">
        <v>3903</v>
      </c>
      <c r="L70">
        <v>6915</v>
      </c>
      <c r="M70" t="s">
        <v>3836</v>
      </c>
      <c r="N70" t="s">
        <v>4337</v>
      </c>
      <c r="O70" t="s">
        <v>565</v>
      </c>
    </row>
    <row r="71" spans="1:15" x14ac:dyDescent="0.25">
      <c r="A71" t="s">
        <v>3905</v>
      </c>
      <c r="B71" t="s">
        <v>3906</v>
      </c>
      <c r="C71" t="s">
        <v>3907</v>
      </c>
      <c r="E71" s="13">
        <v>46057</v>
      </c>
      <c r="F71" t="s">
        <v>3908</v>
      </c>
      <c r="G71">
        <v>2119.2600000000002</v>
      </c>
      <c r="H71" t="s">
        <v>15</v>
      </c>
      <c r="I71" t="s">
        <v>3864</v>
      </c>
      <c r="J71" t="s">
        <v>3660</v>
      </c>
      <c r="L71">
        <v>1001</v>
      </c>
      <c r="M71" t="s">
        <v>3909</v>
      </c>
      <c r="N71" t="s">
        <v>4337</v>
      </c>
      <c r="O71" t="s">
        <v>457</v>
      </c>
    </row>
    <row r="72" spans="1:15" x14ac:dyDescent="0.25">
      <c r="A72" t="s">
        <v>3905</v>
      </c>
      <c r="B72" t="s">
        <v>3906</v>
      </c>
      <c r="C72" t="s">
        <v>3907</v>
      </c>
      <c r="E72" s="13">
        <v>46058</v>
      </c>
      <c r="F72" t="s">
        <v>3593</v>
      </c>
      <c r="G72">
        <v>254.52</v>
      </c>
      <c r="H72" t="s">
        <v>15</v>
      </c>
      <c r="I72" t="s">
        <v>21</v>
      </c>
      <c r="J72" t="s">
        <v>111</v>
      </c>
      <c r="L72">
        <v>1001</v>
      </c>
      <c r="M72" t="s">
        <v>3909</v>
      </c>
      <c r="N72" t="s">
        <v>4337</v>
      </c>
      <c r="O72" t="s">
        <v>457</v>
      </c>
    </row>
    <row r="73" spans="1:15" x14ac:dyDescent="0.25">
      <c r="A73" t="s">
        <v>3905</v>
      </c>
      <c r="B73" t="s">
        <v>3906</v>
      </c>
      <c r="C73" t="s">
        <v>3907</v>
      </c>
      <c r="E73" s="13">
        <v>46061</v>
      </c>
      <c r="F73" t="s">
        <v>3910</v>
      </c>
      <c r="G73">
        <v>150.08000000000001</v>
      </c>
      <c r="H73" t="s">
        <v>15</v>
      </c>
      <c r="I73" t="s">
        <v>21</v>
      </c>
      <c r="J73" t="s">
        <v>63</v>
      </c>
      <c r="L73">
        <v>1001</v>
      </c>
      <c r="M73" t="s">
        <v>3909</v>
      </c>
      <c r="N73" t="s">
        <v>4337</v>
      </c>
      <c r="O73" t="s">
        <v>457</v>
      </c>
    </row>
    <row r="74" spans="1:15" x14ac:dyDescent="0.25">
      <c r="A74" t="s">
        <v>3905</v>
      </c>
      <c r="B74" t="s">
        <v>3906</v>
      </c>
      <c r="C74" t="s">
        <v>3907</v>
      </c>
      <c r="E74" s="13">
        <v>46061</v>
      </c>
      <c r="F74" t="s">
        <v>3911</v>
      </c>
      <c r="G74">
        <v>150.08000000000001</v>
      </c>
      <c r="H74" t="s">
        <v>15</v>
      </c>
      <c r="I74" t="s">
        <v>21</v>
      </c>
      <c r="J74" t="s">
        <v>63</v>
      </c>
      <c r="L74">
        <v>1001</v>
      </c>
      <c r="M74" t="s">
        <v>3909</v>
      </c>
      <c r="N74" t="s">
        <v>4337</v>
      </c>
      <c r="O74" t="s">
        <v>457</v>
      </c>
    </row>
    <row r="75" spans="1:15" x14ac:dyDescent="0.25">
      <c r="A75" t="s">
        <v>3905</v>
      </c>
      <c r="B75" t="s">
        <v>3906</v>
      </c>
      <c r="C75" t="s">
        <v>3907</v>
      </c>
      <c r="E75" s="13">
        <v>46063</v>
      </c>
      <c r="F75" t="s">
        <v>3912</v>
      </c>
      <c r="G75">
        <v>-2892.37</v>
      </c>
      <c r="H75" t="s">
        <v>15</v>
      </c>
      <c r="I75" t="s">
        <v>3594</v>
      </c>
      <c r="J75" t="s">
        <v>32</v>
      </c>
      <c r="L75">
        <v>1035</v>
      </c>
      <c r="M75" t="s">
        <v>3909</v>
      </c>
      <c r="N75" t="s">
        <v>4337</v>
      </c>
      <c r="O75" t="s">
        <v>457</v>
      </c>
    </row>
    <row r="76" spans="1:15" x14ac:dyDescent="0.25">
      <c r="A76" t="s">
        <v>3905</v>
      </c>
      <c r="B76" t="s">
        <v>3906</v>
      </c>
      <c r="C76" t="s">
        <v>3907</v>
      </c>
      <c r="E76" s="13">
        <v>46063</v>
      </c>
      <c r="F76" t="s">
        <v>3593</v>
      </c>
      <c r="G76">
        <v>249.57</v>
      </c>
      <c r="H76" t="s">
        <v>15</v>
      </c>
      <c r="I76" t="s">
        <v>21</v>
      </c>
      <c r="J76" t="s">
        <v>111</v>
      </c>
      <c r="L76">
        <v>1001</v>
      </c>
      <c r="M76" t="s">
        <v>3909</v>
      </c>
      <c r="N76" t="s">
        <v>4337</v>
      </c>
      <c r="O76" t="s">
        <v>457</v>
      </c>
    </row>
    <row r="77" spans="1:15" x14ac:dyDescent="0.25">
      <c r="A77" t="s">
        <v>3905</v>
      </c>
      <c r="B77" t="s">
        <v>3906</v>
      </c>
      <c r="C77" t="s">
        <v>3907</v>
      </c>
      <c r="E77" s="13">
        <v>46071</v>
      </c>
      <c r="F77" t="s">
        <v>3913</v>
      </c>
      <c r="G77">
        <v>71.31</v>
      </c>
      <c r="H77" t="s">
        <v>15</v>
      </c>
      <c r="I77" t="s">
        <v>21</v>
      </c>
      <c r="J77" t="s">
        <v>111</v>
      </c>
      <c r="L77">
        <v>1001</v>
      </c>
      <c r="M77" t="s">
        <v>3909</v>
      </c>
      <c r="N77" t="s">
        <v>4337</v>
      </c>
      <c r="O77" t="s">
        <v>457</v>
      </c>
    </row>
    <row r="78" spans="1:15" x14ac:dyDescent="0.25">
      <c r="A78" t="s">
        <v>3905</v>
      </c>
      <c r="B78" t="s">
        <v>3906</v>
      </c>
      <c r="C78" t="s">
        <v>3907</v>
      </c>
      <c r="E78" s="13">
        <v>46071</v>
      </c>
      <c r="F78" t="s">
        <v>3914</v>
      </c>
      <c r="G78">
        <v>233.96</v>
      </c>
      <c r="H78" t="s">
        <v>15</v>
      </c>
      <c r="I78" t="s">
        <v>21</v>
      </c>
      <c r="J78" t="s">
        <v>111</v>
      </c>
      <c r="L78">
        <v>1001</v>
      </c>
      <c r="M78" t="s">
        <v>3909</v>
      </c>
      <c r="N78" t="s">
        <v>4337</v>
      </c>
      <c r="O78" t="s">
        <v>457</v>
      </c>
    </row>
    <row r="79" spans="1:15" x14ac:dyDescent="0.25">
      <c r="A79" t="s">
        <v>3905</v>
      </c>
      <c r="B79" t="s">
        <v>3906</v>
      </c>
      <c r="C79" t="s">
        <v>3907</v>
      </c>
      <c r="E79" s="13">
        <v>46084</v>
      </c>
      <c r="F79" t="s">
        <v>3593</v>
      </c>
      <c r="G79">
        <v>279.20999999999998</v>
      </c>
      <c r="H79" t="s">
        <v>15</v>
      </c>
      <c r="I79" t="s">
        <v>21</v>
      </c>
      <c r="J79" t="s">
        <v>111</v>
      </c>
      <c r="L79">
        <v>1001</v>
      </c>
      <c r="M79" t="s">
        <v>3909</v>
      </c>
      <c r="N79" t="s">
        <v>4337</v>
      </c>
      <c r="O79" t="s">
        <v>457</v>
      </c>
    </row>
    <row r="80" spans="1:15" x14ac:dyDescent="0.25">
      <c r="A80" t="s">
        <v>3905</v>
      </c>
      <c r="B80" t="s">
        <v>3906</v>
      </c>
      <c r="C80" t="s">
        <v>3907</v>
      </c>
      <c r="E80" s="13">
        <v>46085</v>
      </c>
      <c r="F80" t="s">
        <v>3593</v>
      </c>
      <c r="G80">
        <v>269.58</v>
      </c>
      <c r="H80" t="s">
        <v>15</v>
      </c>
      <c r="I80" t="s">
        <v>21</v>
      </c>
      <c r="J80" t="s">
        <v>111</v>
      </c>
      <c r="L80">
        <v>1001</v>
      </c>
      <c r="M80" t="s">
        <v>3909</v>
      </c>
      <c r="N80" t="s">
        <v>4337</v>
      </c>
      <c r="O80" t="s">
        <v>457</v>
      </c>
    </row>
    <row r="81" spans="1:15" x14ac:dyDescent="0.25">
      <c r="A81" t="s">
        <v>3905</v>
      </c>
      <c r="B81" t="s">
        <v>3906</v>
      </c>
      <c r="C81" t="s">
        <v>3907</v>
      </c>
      <c r="E81" s="13">
        <v>46087</v>
      </c>
      <c r="F81" t="s">
        <v>3593</v>
      </c>
      <c r="G81">
        <v>248.8</v>
      </c>
      <c r="H81" t="s">
        <v>15</v>
      </c>
      <c r="I81" t="s">
        <v>21</v>
      </c>
      <c r="J81" t="s">
        <v>111</v>
      </c>
      <c r="L81">
        <v>1001</v>
      </c>
      <c r="M81" t="s">
        <v>3909</v>
      </c>
      <c r="N81" t="s">
        <v>4337</v>
      </c>
      <c r="O81" t="s">
        <v>457</v>
      </c>
    </row>
    <row r="82" spans="1:15" x14ac:dyDescent="0.25">
      <c r="A82" t="s">
        <v>3915</v>
      </c>
      <c r="B82" t="s">
        <v>3916</v>
      </c>
      <c r="C82" t="s">
        <v>3917</v>
      </c>
      <c r="E82" s="13">
        <v>46082</v>
      </c>
      <c r="F82" t="s">
        <v>3899</v>
      </c>
      <c r="G82">
        <v>237.44</v>
      </c>
      <c r="H82" t="s">
        <v>15</v>
      </c>
      <c r="I82" t="s">
        <v>21</v>
      </c>
      <c r="J82" t="s">
        <v>738</v>
      </c>
      <c r="L82">
        <v>1008</v>
      </c>
      <c r="M82" t="s">
        <v>3855</v>
      </c>
      <c r="N82" t="s">
        <v>4337</v>
      </c>
      <c r="O82" t="s">
        <v>301</v>
      </c>
    </row>
    <row r="83" spans="1:15" x14ac:dyDescent="0.25">
      <c r="A83" t="s">
        <v>3915</v>
      </c>
      <c r="B83" t="s">
        <v>3916</v>
      </c>
      <c r="C83" t="s">
        <v>3917</v>
      </c>
      <c r="E83" s="13">
        <v>46080</v>
      </c>
      <c r="F83" t="s">
        <v>3918</v>
      </c>
      <c r="G83">
        <v>763.83</v>
      </c>
      <c r="H83" t="s">
        <v>15</v>
      </c>
      <c r="I83" t="s">
        <v>16</v>
      </c>
      <c r="J83" t="s">
        <v>3124</v>
      </c>
      <c r="L83">
        <v>4246</v>
      </c>
      <c r="M83" t="s">
        <v>3855</v>
      </c>
      <c r="N83" t="s">
        <v>4337</v>
      </c>
      <c r="O83" t="s">
        <v>301</v>
      </c>
    </row>
    <row r="84" spans="1:15" x14ac:dyDescent="0.25">
      <c r="A84" t="s">
        <v>3915</v>
      </c>
      <c r="B84" t="s">
        <v>3916</v>
      </c>
      <c r="C84" t="s">
        <v>3917</v>
      </c>
      <c r="E84" s="13">
        <v>46080</v>
      </c>
      <c r="F84" t="s">
        <v>3919</v>
      </c>
      <c r="G84">
        <v>987.43</v>
      </c>
      <c r="H84" t="s">
        <v>15</v>
      </c>
      <c r="I84" t="s">
        <v>16</v>
      </c>
      <c r="J84" t="s">
        <v>3920</v>
      </c>
      <c r="L84">
        <v>4246</v>
      </c>
      <c r="M84" t="s">
        <v>3855</v>
      </c>
      <c r="N84" t="s">
        <v>4337</v>
      </c>
      <c r="O84" t="s">
        <v>301</v>
      </c>
    </row>
    <row r="85" spans="1:15" x14ac:dyDescent="0.25">
      <c r="A85" t="s">
        <v>3915</v>
      </c>
      <c r="B85" t="s">
        <v>3916</v>
      </c>
      <c r="C85" t="s">
        <v>3917</v>
      </c>
      <c r="E85" s="13">
        <v>46077</v>
      </c>
      <c r="F85" t="s">
        <v>3921</v>
      </c>
      <c r="G85">
        <v>14.99</v>
      </c>
      <c r="H85" t="s">
        <v>15</v>
      </c>
      <c r="I85" t="s">
        <v>3922</v>
      </c>
      <c r="J85" t="s">
        <v>648</v>
      </c>
      <c r="L85">
        <v>4001</v>
      </c>
      <c r="M85" t="s">
        <v>3855</v>
      </c>
      <c r="N85" t="s">
        <v>4337</v>
      </c>
      <c r="O85" t="s">
        <v>301</v>
      </c>
    </row>
    <row r="86" spans="1:15" x14ac:dyDescent="0.25">
      <c r="A86" t="s">
        <v>3915</v>
      </c>
      <c r="B86" t="s">
        <v>3916</v>
      </c>
      <c r="C86" t="s">
        <v>3917</v>
      </c>
      <c r="E86" s="13">
        <v>46076</v>
      </c>
      <c r="F86" t="s">
        <v>3923</v>
      </c>
      <c r="G86">
        <v>476.14</v>
      </c>
      <c r="H86" t="s">
        <v>15</v>
      </c>
      <c r="I86" t="s">
        <v>16</v>
      </c>
      <c r="J86" t="s">
        <v>91</v>
      </c>
      <c r="L86">
        <v>1035</v>
      </c>
      <c r="M86" t="s">
        <v>3855</v>
      </c>
      <c r="N86" t="s">
        <v>4337</v>
      </c>
      <c r="O86" t="s">
        <v>301</v>
      </c>
    </row>
    <row r="87" spans="1:15" x14ac:dyDescent="0.25">
      <c r="A87" t="s">
        <v>3915</v>
      </c>
      <c r="B87" t="s">
        <v>3916</v>
      </c>
      <c r="C87" t="s">
        <v>3917</v>
      </c>
      <c r="E87" s="13">
        <v>46072</v>
      </c>
      <c r="F87" t="s">
        <v>3924</v>
      </c>
      <c r="G87">
        <v>914.37</v>
      </c>
      <c r="H87" t="s">
        <v>15</v>
      </c>
      <c r="I87" t="s">
        <v>16</v>
      </c>
      <c r="J87" t="s">
        <v>969</v>
      </c>
      <c r="L87">
        <v>4001</v>
      </c>
      <c r="M87" t="s">
        <v>3855</v>
      </c>
      <c r="N87" t="s">
        <v>4337</v>
      </c>
      <c r="O87" t="s">
        <v>301</v>
      </c>
    </row>
    <row r="88" spans="1:15" x14ac:dyDescent="0.25">
      <c r="A88" t="s">
        <v>3915</v>
      </c>
      <c r="B88" t="s">
        <v>3916</v>
      </c>
      <c r="C88" t="s">
        <v>3917</v>
      </c>
      <c r="E88" s="13">
        <v>46072</v>
      </c>
      <c r="F88" t="s">
        <v>3925</v>
      </c>
      <c r="G88">
        <v>577.13</v>
      </c>
      <c r="H88" t="s">
        <v>15</v>
      </c>
      <c r="I88" t="s">
        <v>21</v>
      </c>
      <c r="J88" t="s">
        <v>738</v>
      </c>
      <c r="L88">
        <v>4263</v>
      </c>
      <c r="M88" t="s">
        <v>3855</v>
      </c>
      <c r="N88" t="s">
        <v>4337</v>
      </c>
      <c r="O88" t="s">
        <v>301</v>
      </c>
    </row>
    <row r="89" spans="1:15" x14ac:dyDescent="0.25">
      <c r="A89" t="s">
        <v>3915</v>
      </c>
      <c r="B89" t="s">
        <v>3916</v>
      </c>
      <c r="C89" t="s">
        <v>3917</v>
      </c>
      <c r="E89" s="13">
        <v>46072</v>
      </c>
      <c r="F89" t="s">
        <v>3926</v>
      </c>
      <c r="G89">
        <v>248.6</v>
      </c>
      <c r="H89" t="s">
        <v>15</v>
      </c>
      <c r="I89" t="s">
        <v>21</v>
      </c>
      <c r="J89" t="s">
        <v>738</v>
      </c>
      <c r="L89">
        <v>4001</v>
      </c>
      <c r="M89" t="s">
        <v>3855</v>
      </c>
      <c r="N89" t="s">
        <v>4337</v>
      </c>
      <c r="O89" t="s">
        <v>301</v>
      </c>
    </row>
    <row r="90" spans="1:15" x14ac:dyDescent="0.25">
      <c r="A90" t="s">
        <v>3915</v>
      </c>
      <c r="B90" t="s">
        <v>3916</v>
      </c>
      <c r="C90" t="s">
        <v>3917</v>
      </c>
      <c r="E90" s="13">
        <v>46072</v>
      </c>
      <c r="F90" t="s">
        <v>3927</v>
      </c>
      <c r="G90">
        <v>255.13</v>
      </c>
      <c r="H90" t="s">
        <v>15</v>
      </c>
      <c r="I90" t="s">
        <v>21</v>
      </c>
      <c r="J90" t="s">
        <v>738</v>
      </c>
      <c r="L90">
        <v>4001</v>
      </c>
      <c r="M90" t="s">
        <v>3855</v>
      </c>
      <c r="N90" t="s">
        <v>4337</v>
      </c>
      <c r="O90" t="s">
        <v>301</v>
      </c>
    </row>
    <row r="91" spans="1:15" x14ac:dyDescent="0.25">
      <c r="A91" t="s">
        <v>3915</v>
      </c>
      <c r="B91" t="s">
        <v>3916</v>
      </c>
      <c r="C91" t="s">
        <v>3917</v>
      </c>
      <c r="E91" s="13">
        <v>46072</v>
      </c>
      <c r="F91" t="s">
        <v>3928</v>
      </c>
      <c r="G91">
        <v>278.99</v>
      </c>
      <c r="H91" t="s">
        <v>15</v>
      </c>
      <c r="I91" t="s">
        <v>21</v>
      </c>
      <c r="J91" t="s">
        <v>738</v>
      </c>
      <c r="L91">
        <v>4001</v>
      </c>
      <c r="M91" t="s">
        <v>3855</v>
      </c>
      <c r="N91" t="s">
        <v>4337</v>
      </c>
      <c r="O91" t="s">
        <v>301</v>
      </c>
    </row>
    <row r="92" spans="1:15" x14ac:dyDescent="0.25">
      <c r="A92" t="s">
        <v>3915</v>
      </c>
      <c r="B92" t="s">
        <v>3916</v>
      </c>
      <c r="C92" t="s">
        <v>3917</v>
      </c>
      <c r="E92" s="13">
        <v>46072</v>
      </c>
      <c r="F92" t="s">
        <v>3929</v>
      </c>
      <c r="G92">
        <v>-1668.4</v>
      </c>
      <c r="H92" t="s">
        <v>15</v>
      </c>
      <c r="I92" t="s">
        <v>3594</v>
      </c>
      <c r="J92" t="s">
        <v>47</v>
      </c>
      <c r="L92">
        <v>1035</v>
      </c>
      <c r="M92" t="s">
        <v>3855</v>
      </c>
      <c r="N92" t="s">
        <v>4337</v>
      </c>
      <c r="O92" t="s">
        <v>301</v>
      </c>
    </row>
    <row r="93" spans="1:15" x14ac:dyDescent="0.25">
      <c r="A93" t="s">
        <v>3915</v>
      </c>
      <c r="B93" t="s">
        <v>3916</v>
      </c>
      <c r="C93" t="s">
        <v>3917</v>
      </c>
      <c r="E93" s="13">
        <v>46072</v>
      </c>
      <c r="F93" t="s">
        <v>3930</v>
      </c>
      <c r="G93">
        <v>6830.84</v>
      </c>
      <c r="H93" t="s">
        <v>15</v>
      </c>
      <c r="I93" t="s">
        <v>3864</v>
      </c>
      <c r="J93" t="s">
        <v>3931</v>
      </c>
      <c r="L93">
        <v>4246</v>
      </c>
      <c r="M93" t="s">
        <v>3855</v>
      </c>
      <c r="N93" t="s">
        <v>4337</v>
      </c>
      <c r="O93" t="s">
        <v>301</v>
      </c>
    </row>
    <row r="94" spans="1:15" x14ac:dyDescent="0.25">
      <c r="A94" t="s">
        <v>3915</v>
      </c>
      <c r="B94" t="s">
        <v>3916</v>
      </c>
      <c r="C94" t="s">
        <v>3917</v>
      </c>
      <c r="E94" s="13">
        <v>46072</v>
      </c>
      <c r="F94" t="s">
        <v>3932</v>
      </c>
      <c r="G94">
        <v>1083.1300000000001</v>
      </c>
      <c r="H94" t="s">
        <v>15</v>
      </c>
      <c r="I94" t="s">
        <v>21</v>
      </c>
      <c r="J94" t="s">
        <v>738</v>
      </c>
      <c r="L94">
        <v>4001</v>
      </c>
      <c r="M94" t="s">
        <v>3855</v>
      </c>
      <c r="N94" t="s">
        <v>4337</v>
      </c>
      <c r="O94" t="s">
        <v>301</v>
      </c>
    </row>
    <row r="95" spans="1:15" x14ac:dyDescent="0.25">
      <c r="A95" t="s">
        <v>3915</v>
      </c>
      <c r="B95" t="s">
        <v>3916</v>
      </c>
      <c r="C95" t="s">
        <v>3917</v>
      </c>
      <c r="E95" s="13">
        <v>46071</v>
      </c>
      <c r="F95" t="s">
        <v>3933</v>
      </c>
      <c r="G95">
        <v>45</v>
      </c>
      <c r="H95" t="s">
        <v>15</v>
      </c>
      <c r="I95" t="s">
        <v>16</v>
      </c>
      <c r="J95" t="s">
        <v>55</v>
      </c>
      <c r="L95">
        <v>4001</v>
      </c>
      <c r="M95" t="s">
        <v>3855</v>
      </c>
      <c r="N95" t="s">
        <v>4337</v>
      </c>
      <c r="O95" t="s">
        <v>301</v>
      </c>
    </row>
    <row r="96" spans="1:15" x14ac:dyDescent="0.25">
      <c r="A96" t="s">
        <v>3915</v>
      </c>
      <c r="B96" t="s">
        <v>3916</v>
      </c>
      <c r="C96" t="s">
        <v>3917</v>
      </c>
      <c r="E96" s="13">
        <v>46070</v>
      </c>
      <c r="F96" t="s">
        <v>3934</v>
      </c>
      <c r="G96">
        <v>42.45</v>
      </c>
      <c r="H96" t="s">
        <v>15</v>
      </c>
      <c r="I96" t="s">
        <v>3935</v>
      </c>
      <c r="J96" t="s">
        <v>130</v>
      </c>
      <c r="L96">
        <v>4001</v>
      </c>
      <c r="M96" t="s">
        <v>3855</v>
      </c>
      <c r="N96" t="s">
        <v>4337</v>
      </c>
      <c r="O96" t="s">
        <v>301</v>
      </c>
    </row>
    <row r="97" spans="1:15" x14ac:dyDescent="0.25">
      <c r="A97" t="s">
        <v>3915</v>
      </c>
      <c r="B97" t="s">
        <v>3916</v>
      </c>
      <c r="C97" t="s">
        <v>3917</v>
      </c>
      <c r="E97" s="13">
        <v>46066</v>
      </c>
      <c r="F97" t="s">
        <v>3936</v>
      </c>
      <c r="G97">
        <v>30</v>
      </c>
      <c r="H97" t="s">
        <v>15</v>
      </c>
      <c r="I97" t="s">
        <v>3594</v>
      </c>
      <c r="J97" t="s">
        <v>30</v>
      </c>
      <c r="L97">
        <v>1020</v>
      </c>
      <c r="M97" t="s">
        <v>3855</v>
      </c>
      <c r="N97" t="s">
        <v>4337</v>
      </c>
      <c r="O97" t="s">
        <v>301</v>
      </c>
    </row>
    <row r="98" spans="1:15" x14ac:dyDescent="0.25">
      <c r="A98" t="s">
        <v>3915</v>
      </c>
      <c r="B98" t="s">
        <v>3916</v>
      </c>
      <c r="C98" t="s">
        <v>3917</v>
      </c>
      <c r="E98" s="13">
        <v>46066</v>
      </c>
      <c r="F98" t="s">
        <v>3937</v>
      </c>
      <c r="G98">
        <v>1386.81</v>
      </c>
      <c r="H98" t="s">
        <v>15</v>
      </c>
      <c r="I98" t="s">
        <v>3594</v>
      </c>
      <c r="J98" t="s">
        <v>47</v>
      </c>
      <c r="L98">
        <v>1020</v>
      </c>
      <c r="M98" t="s">
        <v>3855</v>
      </c>
      <c r="N98" t="s">
        <v>4337</v>
      </c>
      <c r="O98" t="s">
        <v>301</v>
      </c>
    </row>
    <row r="99" spans="1:15" x14ac:dyDescent="0.25">
      <c r="A99" t="s">
        <v>3915</v>
      </c>
      <c r="B99" t="s">
        <v>3916</v>
      </c>
      <c r="C99" t="s">
        <v>3917</v>
      </c>
      <c r="E99" s="13">
        <v>46065</v>
      </c>
      <c r="F99" t="s">
        <v>3938</v>
      </c>
      <c r="G99">
        <v>70.25</v>
      </c>
      <c r="H99" t="s">
        <v>15</v>
      </c>
      <c r="I99" t="s">
        <v>16</v>
      </c>
      <c r="J99" t="s">
        <v>3939</v>
      </c>
      <c r="L99">
        <v>4001</v>
      </c>
      <c r="M99" t="s">
        <v>3855</v>
      </c>
      <c r="N99" t="s">
        <v>4337</v>
      </c>
      <c r="O99" t="s">
        <v>301</v>
      </c>
    </row>
    <row r="100" spans="1:15" x14ac:dyDescent="0.25">
      <c r="A100" t="s">
        <v>3915</v>
      </c>
      <c r="B100" t="s">
        <v>3916</v>
      </c>
      <c r="C100" t="s">
        <v>3917</v>
      </c>
      <c r="E100" s="13">
        <v>46064</v>
      </c>
      <c r="F100" t="s">
        <v>3940</v>
      </c>
      <c r="G100">
        <v>5106.83</v>
      </c>
      <c r="H100" t="s">
        <v>15</v>
      </c>
      <c r="I100" t="s">
        <v>16</v>
      </c>
      <c r="J100" t="s">
        <v>3941</v>
      </c>
      <c r="L100">
        <v>4263</v>
      </c>
      <c r="M100" t="s">
        <v>3855</v>
      </c>
      <c r="N100" t="s">
        <v>4337</v>
      </c>
      <c r="O100" t="s">
        <v>301</v>
      </c>
    </row>
    <row r="101" spans="1:15" x14ac:dyDescent="0.25">
      <c r="A101" t="s">
        <v>3915</v>
      </c>
      <c r="B101" t="s">
        <v>3916</v>
      </c>
      <c r="C101" t="s">
        <v>3917</v>
      </c>
      <c r="E101" s="13">
        <v>46063</v>
      </c>
      <c r="F101" t="s">
        <v>3926</v>
      </c>
      <c r="G101">
        <v>248.6</v>
      </c>
      <c r="H101" t="s">
        <v>15</v>
      </c>
      <c r="I101" t="s">
        <v>21</v>
      </c>
      <c r="J101" t="s">
        <v>738</v>
      </c>
      <c r="L101">
        <v>4001</v>
      </c>
      <c r="M101" t="s">
        <v>3855</v>
      </c>
      <c r="N101" t="s">
        <v>4337</v>
      </c>
      <c r="O101" t="s">
        <v>301</v>
      </c>
    </row>
    <row r="102" spans="1:15" x14ac:dyDescent="0.25">
      <c r="A102" t="s">
        <v>3915</v>
      </c>
      <c r="B102" t="s">
        <v>3916</v>
      </c>
      <c r="C102" t="s">
        <v>3917</v>
      </c>
      <c r="E102" s="13">
        <v>46063</v>
      </c>
      <c r="F102" t="s">
        <v>3942</v>
      </c>
      <c r="G102">
        <v>-324.29000000000002</v>
      </c>
      <c r="H102" t="s">
        <v>15</v>
      </c>
      <c r="I102" t="s">
        <v>3594</v>
      </c>
      <c r="J102" t="s">
        <v>117</v>
      </c>
      <c r="L102">
        <v>4001</v>
      </c>
      <c r="M102" t="s">
        <v>3855</v>
      </c>
      <c r="N102" t="s">
        <v>4337</v>
      </c>
      <c r="O102" t="s">
        <v>301</v>
      </c>
    </row>
    <row r="103" spans="1:15" x14ac:dyDescent="0.25">
      <c r="A103" t="s">
        <v>3915</v>
      </c>
      <c r="B103" t="s">
        <v>3916</v>
      </c>
      <c r="C103" t="s">
        <v>3917</v>
      </c>
      <c r="E103" s="13">
        <v>46062</v>
      </c>
      <c r="F103" t="s">
        <v>3943</v>
      </c>
      <c r="G103">
        <v>30</v>
      </c>
      <c r="H103" t="s">
        <v>15</v>
      </c>
      <c r="I103" t="s">
        <v>3594</v>
      </c>
      <c r="J103" t="s">
        <v>30</v>
      </c>
      <c r="L103">
        <v>4001</v>
      </c>
      <c r="M103" t="s">
        <v>3855</v>
      </c>
      <c r="N103" t="s">
        <v>4337</v>
      </c>
      <c r="O103" t="s">
        <v>301</v>
      </c>
    </row>
    <row r="104" spans="1:15" x14ac:dyDescent="0.25">
      <c r="A104" t="s">
        <v>3915</v>
      </c>
      <c r="B104" t="s">
        <v>3916</v>
      </c>
      <c r="C104" t="s">
        <v>3917</v>
      </c>
      <c r="E104" s="13">
        <v>46062</v>
      </c>
      <c r="F104" t="s">
        <v>3944</v>
      </c>
      <c r="G104">
        <v>2108.4</v>
      </c>
      <c r="H104" t="s">
        <v>15</v>
      </c>
      <c r="I104" t="s">
        <v>3594</v>
      </c>
      <c r="J104" t="s">
        <v>47</v>
      </c>
      <c r="L104">
        <v>4001</v>
      </c>
      <c r="M104" t="s">
        <v>3855</v>
      </c>
      <c r="N104" t="s">
        <v>4337</v>
      </c>
      <c r="O104" t="s">
        <v>301</v>
      </c>
    </row>
    <row r="105" spans="1:15" x14ac:dyDescent="0.25">
      <c r="A105" t="s">
        <v>3915</v>
      </c>
      <c r="B105" t="s">
        <v>3916</v>
      </c>
      <c r="C105" t="s">
        <v>3917</v>
      </c>
      <c r="E105" s="13">
        <v>46062</v>
      </c>
      <c r="F105" t="s">
        <v>3945</v>
      </c>
      <c r="G105">
        <v>1276.67</v>
      </c>
      <c r="H105" t="s">
        <v>15</v>
      </c>
      <c r="I105" t="s">
        <v>3843</v>
      </c>
      <c r="J105" t="s">
        <v>2628</v>
      </c>
      <c r="L105">
        <v>4263</v>
      </c>
      <c r="M105" t="s">
        <v>3855</v>
      </c>
      <c r="N105" t="s">
        <v>4337</v>
      </c>
      <c r="O105" t="s">
        <v>301</v>
      </c>
    </row>
    <row r="106" spans="1:15" x14ac:dyDescent="0.25">
      <c r="A106" t="s">
        <v>3915</v>
      </c>
      <c r="B106" t="s">
        <v>3916</v>
      </c>
      <c r="C106" t="s">
        <v>3917</v>
      </c>
      <c r="E106" s="13">
        <v>46059</v>
      </c>
      <c r="F106" t="s">
        <v>3946</v>
      </c>
      <c r="G106">
        <v>255.13</v>
      </c>
      <c r="H106" t="s">
        <v>15</v>
      </c>
      <c r="I106" t="s">
        <v>21</v>
      </c>
      <c r="J106" t="s">
        <v>738</v>
      </c>
      <c r="L106">
        <v>4001</v>
      </c>
      <c r="M106" t="s">
        <v>3855</v>
      </c>
      <c r="N106" t="s">
        <v>4337</v>
      </c>
      <c r="O106" t="s">
        <v>301</v>
      </c>
    </row>
    <row r="107" spans="1:15" x14ac:dyDescent="0.25">
      <c r="A107" t="s">
        <v>3915</v>
      </c>
      <c r="B107" t="s">
        <v>3916</v>
      </c>
      <c r="C107" t="s">
        <v>3917</v>
      </c>
      <c r="E107" s="13">
        <v>46059</v>
      </c>
      <c r="F107" t="s">
        <v>3899</v>
      </c>
      <c r="G107">
        <v>278.13</v>
      </c>
      <c r="H107" t="s">
        <v>15</v>
      </c>
      <c r="I107" t="s">
        <v>21</v>
      </c>
      <c r="J107" t="s">
        <v>738</v>
      </c>
      <c r="L107">
        <v>1008</v>
      </c>
      <c r="M107" t="s">
        <v>3855</v>
      </c>
      <c r="N107" t="s">
        <v>4337</v>
      </c>
      <c r="O107" t="s">
        <v>301</v>
      </c>
    </row>
    <row r="108" spans="1:15" x14ac:dyDescent="0.25">
      <c r="A108" t="s">
        <v>3915</v>
      </c>
      <c r="B108" t="s">
        <v>3916</v>
      </c>
      <c r="C108" t="s">
        <v>3917</v>
      </c>
      <c r="E108" s="13">
        <v>46059</v>
      </c>
      <c r="F108" t="s">
        <v>3947</v>
      </c>
      <c r="G108">
        <v>201.08</v>
      </c>
      <c r="H108" t="s">
        <v>15</v>
      </c>
      <c r="I108" t="s">
        <v>21</v>
      </c>
      <c r="J108" t="s">
        <v>738</v>
      </c>
      <c r="L108">
        <v>4263</v>
      </c>
      <c r="M108" t="s">
        <v>3855</v>
      </c>
      <c r="N108" t="s">
        <v>4337</v>
      </c>
      <c r="O108" t="s">
        <v>301</v>
      </c>
    </row>
    <row r="109" spans="1:15" x14ac:dyDescent="0.25">
      <c r="A109" t="s">
        <v>3915</v>
      </c>
      <c r="B109" t="s">
        <v>3916</v>
      </c>
      <c r="C109" t="s">
        <v>3917</v>
      </c>
      <c r="E109" s="13">
        <v>46057</v>
      </c>
      <c r="F109" t="s">
        <v>3921</v>
      </c>
      <c r="G109">
        <v>8</v>
      </c>
      <c r="H109" t="s">
        <v>15</v>
      </c>
      <c r="I109" t="s">
        <v>3594</v>
      </c>
      <c r="J109" t="s">
        <v>93</v>
      </c>
      <c r="L109">
        <v>4263</v>
      </c>
      <c r="M109" t="s">
        <v>3855</v>
      </c>
      <c r="N109" t="s">
        <v>4337</v>
      </c>
      <c r="O109" t="s">
        <v>301</v>
      </c>
    </row>
    <row r="110" spans="1:15" x14ac:dyDescent="0.25">
      <c r="A110" t="s">
        <v>3915</v>
      </c>
      <c r="B110" t="s">
        <v>3916</v>
      </c>
      <c r="C110" t="s">
        <v>3917</v>
      </c>
      <c r="E110" s="13">
        <v>46056</v>
      </c>
      <c r="F110" t="s">
        <v>3929</v>
      </c>
      <c r="G110">
        <v>-1445.08</v>
      </c>
      <c r="H110" t="s">
        <v>15</v>
      </c>
      <c r="I110" t="s">
        <v>3594</v>
      </c>
      <c r="J110" t="s">
        <v>47</v>
      </c>
      <c r="L110">
        <v>1035</v>
      </c>
      <c r="M110" t="s">
        <v>3855</v>
      </c>
      <c r="N110" t="s">
        <v>4337</v>
      </c>
      <c r="O110" t="s">
        <v>301</v>
      </c>
    </row>
    <row r="111" spans="1:15" x14ac:dyDescent="0.25">
      <c r="A111" t="s">
        <v>3915</v>
      </c>
      <c r="B111" t="s">
        <v>3916</v>
      </c>
      <c r="C111" t="s">
        <v>3917</v>
      </c>
      <c r="E111" s="13">
        <v>46056</v>
      </c>
      <c r="F111" t="s">
        <v>3948</v>
      </c>
      <c r="G111">
        <v>3461.31</v>
      </c>
      <c r="H111" t="s">
        <v>15</v>
      </c>
      <c r="I111" t="s">
        <v>16</v>
      </c>
      <c r="J111" t="s">
        <v>3949</v>
      </c>
      <c r="L111">
        <v>4263</v>
      </c>
      <c r="M111" t="s">
        <v>3855</v>
      </c>
      <c r="N111" t="s">
        <v>4337</v>
      </c>
      <c r="O111" t="s">
        <v>301</v>
      </c>
    </row>
    <row r="112" spans="1:15" x14ac:dyDescent="0.25">
      <c r="A112" t="s">
        <v>3915</v>
      </c>
      <c r="B112" t="s">
        <v>3916</v>
      </c>
      <c r="C112" t="s">
        <v>3917</v>
      </c>
      <c r="E112" s="13">
        <v>46065</v>
      </c>
      <c r="F112" t="s">
        <v>3950</v>
      </c>
      <c r="G112">
        <v>816.56</v>
      </c>
      <c r="H112" t="s">
        <v>15</v>
      </c>
      <c r="I112" t="s">
        <v>16</v>
      </c>
      <c r="J112" t="s">
        <v>1490</v>
      </c>
      <c r="L112">
        <v>4263</v>
      </c>
      <c r="M112" t="s">
        <v>3855</v>
      </c>
      <c r="N112" t="s">
        <v>4337</v>
      </c>
      <c r="O112" t="s">
        <v>301</v>
      </c>
    </row>
    <row r="113" spans="1:15" x14ac:dyDescent="0.25">
      <c r="A113" t="s">
        <v>3915</v>
      </c>
      <c r="B113" t="s">
        <v>3916</v>
      </c>
      <c r="C113" t="s">
        <v>3917</v>
      </c>
      <c r="E113" s="13">
        <v>46065</v>
      </c>
      <c r="F113" t="s">
        <v>3950</v>
      </c>
      <c r="G113">
        <v>816.57</v>
      </c>
      <c r="H113" t="s">
        <v>15</v>
      </c>
      <c r="I113" t="s">
        <v>16</v>
      </c>
      <c r="J113" t="s">
        <v>1490</v>
      </c>
      <c r="L113">
        <v>6470</v>
      </c>
      <c r="M113" t="s">
        <v>3855</v>
      </c>
      <c r="N113" t="s">
        <v>4337</v>
      </c>
      <c r="O113" t="s">
        <v>301</v>
      </c>
    </row>
    <row r="114" spans="1:15" x14ac:dyDescent="0.25">
      <c r="A114" t="s">
        <v>3915</v>
      </c>
      <c r="B114" t="s">
        <v>3916</v>
      </c>
      <c r="C114" t="s">
        <v>3917</v>
      </c>
      <c r="E114" s="13">
        <v>46057</v>
      </c>
      <c r="F114" t="s">
        <v>3951</v>
      </c>
      <c r="G114">
        <v>95.02</v>
      </c>
      <c r="H114" t="s">
        <v>15</v>
      </c>
      <c r="I114" t="s">
        <v>16</v>
      </c>
      <c r="J114" t="s">
        <v>2628</v>
      </c>
      <c r="L114">
        <v>4263</v>
      </c>
      <c r="M114" t="s">
        <v>3855</v>
      </c>
      <c r="N114" t="s">
        <v>4337</v>
      </c>
      <c r="O114" t="s">
        <v>301</v>
      </c>
    </row>
    <row r="115" spans="1:15" x14ac:dyDescent="0.25">
      <c r="A115" t="s">
        <v>3915</v>
      </c>
      <c r="B115" t="s">
        <v>3916</v>
      </c>
      <c r="C115" t="s">
        <v>3917</v>
      </c>
      <c r="E115" s="13">
        <v>46057</v>
      </c>
      <c r="F115" t="s">
        <v>3952</v>
      </c>
      <c r="G115">
        <v>1255.94</v>
      </c>
      <c r="H115" t="s">
        <v>15</v>
      </c>
      <c r="I115" t="s">
        <v>3864</v>
      </c>
      <c r="J115" t="s">
        <v>2628</v>
      </c>
      <c r="L115">
        <v>4263</v>
      </c>
      <c r="M115" t="s">
        <v>3855</v>
      </c>
      <c r="N115" t="s">
        <v>4337</v>
      </c>
      <c r="O115" t="s">
        <v>301</v>
      </c>
    </row>
    <row r="116" spans="1:15" x14ac:dyDescent="0.25">
      <c r="A116" t="s">
        <v>3915</v>
      </c>
      <c r="B116" t="s">
        <v>3916</v>
      </c>
      <c r="C116" t="s">
        <v>3917</v>
      </c>
      <c r="E116" s="13">
        <v>46085</v>
      </c>
      <c r="F116" t="s">
        <v>3953</v>
      </c>
      <c r="G116">
        <v>7833.32</v>
      </c>
      <c r="H116" t="s">
        <v>15</v>
      </c>
      <c r="I116" t="s">
        <v>16</v>
      </c>
      <c r="J116" t="s">
        <v>3954</v>
      </c>
      <c r="L116">
        <v>4246</v>
      </c>
      <c r="M116" t="s">
        <v>3855</v>
      </c>
      <c r="N116" t="s">
        <v>4337</v>
      </c>
      <c r="O116" t="s">
        <v>301</v>
      </c>
    </row>
    <row r="117" spans="1:15" x14ac:dyDescent="0.25">
      <c r="A117" t="s">
        <v>3851</v>
      </c>
      <c r="B117" t="s">
        <v>3955</v>
      </c>
      <c r="C117" t="s">
        <v>3956</v>
      </c>
      <c r="E117" s="13">
        <v>46082</v>
      </c>
      <c r="F117" t="s">
        <v>3957</v>
      </c>
      <c r="G117">
        <v>-3346.8</v>
      </c>
      <c r="H117" t="s">
        <v>15</v>
      </c>
      <c r="I117" t="s">
        <v>3594</v>
      </c>
      <c r="J117" t="s">
        <v>47</v>
      </c>
      <c r="L117" t="s">
        <v>463</v>
      </c>
      <c r="M117" t="s">
        <v>3958</v>
      </c>
      <c r="N117" t="s">
        <v>4337</v>
      </c>
      <c r="O117" t="s">
        <v>462</v>
      </c>
    </row>
    <row r="118" spans="1:15" x14ac:dyDescent="0.25">
      <c r="A118" t="s">
        <v>3851</v>
      </c>
      <c r="B118" t="s">
        <v>3955</v>
      </c>
      <c r="C118" t="s">
        <v>3956</v>
      </c>
      <c r="E118" s="13">
        <v>46082</v>
      </c>
      <c r="F118" t="s">
        <v>3957</v>
      </c>
      <c r="G118">
        <v>-560</v>
      </c>
      <c r="H118" t="s">
        <v>15</v>
      </c>
      <c r="I118" t="s">
        <v>3594</v>
      </c>
      <c r="J118" t="s">
        <v>47</v>
      </c>
      <c r="L118" t="s">
        <v>463</v>
      </c>
      <c r="M118" t="s">
        <v>3958</v>
      </c>
      <c r="N118" t="s">
        <v>4337</v>
      </c>
      <c r="O118" t="s">
        <v>462</v>
      </c>
    </row>
    <row r="119" spans="1:15" x14ac:dyDescent="0.25">
      <c r="A119" t="s">
        <v>3959</v>
      </c>
      <c r="B119" t="s">
        <v>3960</v>
      </c>
      <c r="C119" t="s">
        <v>3961</v>
      </c>
      <c r="E119" s="13">
        <v>46064</v>
      </c>
      <c r="F119" t="s">
        <v>3962</v>
      </c>
      <c r="G119">
        <v>20.239999999999998</v>
      </c>
      <c r="H119" t="s">
        <v>15</v>
      </c>
      <c r="I119" t="s">
        <v>16</v>
      </c>
      <c r="J119" t="s">
        <v>89</v>
      </c>
      <c r="L119">
        <v>3500</v>
      </c>
      <c r="M119" t="s">
        <v>34</v>
      </c>
      <c r="N119" t="s">
        <v>4337</v>
      </c>
      <c r="O119" t="s">
        <v>80</v>
      </c>
    </row>
    <row r="120" spans="1:15" x14ac:dyDescent="0.25">
      <c r="A120" t="s">
        <v>3959</v>
      </c>
      <c r="B120" t="s">
        <v>3960</v>
      </c>
      <c r="C120" t="s">
        <v>3961</v>
      </c>
      <c r="E120" s="13">
        <v>46078</v>
      </c>
      <c r="F120" t="s">
        <v>3840</v>
      </c>
      <c r="G120">
        <v>22.33</v>
      </c>
      <c r="H120" t="s">
        <v>15</v>
      </c>
      <c r="I120" t="s">
        <v>16</v>
      </c>
      <c r="J120" t="s">
        <v>95</v>
      </c>
      <c r="L120">
        <v>3500</v>
      </c>
      <c r="M120" t="s">
        <v>34</v>
      </c>
      <c r="N120" t="s">
        <v>4337</v>
      </c>
      <c r="O120" t="s">
        <v>80</v>
      </c>
    </row>
    <row r="121" spans="1:15" x14ac:dyDescent="0.25">
      <c r="A121" t="s">
        <v>3959</v>
      </c>
      <c r="B121" t="s">
        <v>3960</v>
      </c>
      <c r="C121" t="s">
        <v>3961</v>
      </c>
      <c r="E121" s="13">
        <v>46078</v>
      </c>
      <c r="F121" t="s">
        <v>3963</v>
      </c>
      <c r="G121">
        <v>704.06</v>
      </c>
      <c r="H121" t="s">
        <v>15</v>
      </c>
      <c r="I121" t="s">
        <v>16</v>
      </c>
      <c r="J121" t="s">
        <v>582</v>
      </c>
      <c r="L121">
        <v>3500</v>
      </c>
      <c r="M121" t="s">
        <v>34</v>
      </c>
      <c r="N121" t="s">
        <v>4337</v>
      </c>
      <c r="O121" t="s">
        <v>80</v>
      </c>
    </row>
    <row r="122" spans="1:15" x14ac:dyDescent="0.25">
      <c r="A122" t="s">
        <v>3959</v>
      </c>
      <c r="B122" t="s">
        <v>3960</v>
      </c>
      <c r="C122" t="s">
        <v>3961</v>
      </c>
      <c r="E122" s="13">
        <v>46077</v>
      </c>
      <c r="F122" t="s">
        <v>3964</v>
      </c>
      <c r="G122">
        <v>14.88</v>
      </c>
      <c r="H122" t="s">
        <v>15</v>
      </c>
      <c r="I122" t="s">
        <v>16</v>
      </c>
      <c r="J122" t="s">
        <v>89</v>
      </c>
      <c r="L122">
        <v>3500</v>
      </c>
      <c r="M122" t="s">
        <v>34</v>
      </c>
      <c r="N122" t="s">
        <v>4337</v>
      </c>
      <c r="O122" t="s">
        <v>80</v>
      </c>
    </row>
    <row r="123" spans="1:15" x14ac:dyDescent="0.25">
      <c r="A123" t="s">
        <v>3959</v>
      </c>
      <c r="B123" t="s">
        <v>3960</v>
      </c>
      <c r="C123" t="s">
        <v>3961</v>
      </c>
      <c r="E123" s="13">
        <v>46076</v>
      </c>
      <c r="F123" t="s">
        <v>3965</v>
      </c>
      <c r="G123">
        <v>-1729.4</v>
      </c>
      <c r="H123" t="s">
        <v>15</v>
      </c>
      <c r="I123" t="s">
        <v>3594</v>
      </c>
      <c r="J123" t="s">
        <v>47</v>
      </c>
      <c r="K123" t="s">
        <v>3966</v>
      </c>
      <c r="L123">
        <v>1035</v>
      </c>
      <c r="M123" t="s">
        <v>34</v>
      </c>
      <c r="N123" t="s">
        <v>4337</v>
      </c>
      <c r="O123" t="s">
        <v>80</v>
      </c>
    </row>
    <row r="124" spans="1:15" x14ac:dyDescent="0.25">
      <c r="A124" t="s">
        <v>3959</v>
      </c>
      <c r="B124" t="s">
        <v>3960</v>
      </c>
      <c r="C124" t="s">
        <v>3961</v>
      </c>
      <c r="E124" s="13">
        <v>46076</v>
      </c>
      <c r="F124" t="s">
        <v>3967</v>
      </c>
      <c r="G124">
        <v>-2428.4899999999998</v>
      </c>
      <c r="H124" t="s">
        <v>15</v>
      </c>
      <c r="I124" t="s">
        <v>3594</v>
      </c>
      <c r="J124" t="s">
        <v>47</v>
      </c>
      <c r="K124" t="s">
        <v>3966</v>
      </c>
      <c r="L124">
        <v>1035</v>
      </c>
      <c r="M124" t="s">
        <v>34</v>
      </c>
      <c r="N124" t="s">
        <v>4337</v>
      </c>
      <c r="O124" t="s">
        <v>80</v>
      </c>
    </row>
    <row r="125" spans="1:15" x14ac:dyDescent="0.25">
      <c r="A125" t="s">
        <v>3959</v>
      </c>
      <c r="B125" t="s">
        <v>3960</v>
      </c>
      <c r="C125" t="s">
        <v>3961</v>
      </c>
      <c r="E125" s="13">
        <v>46075</v>
      </c>
      <c r="F125" t="s">
        <v>3968</v>
      </c>
      <c r="G125">
        <v>1729.4</v>
      </c>
      <c r="H125" t="s">
        <v>15</v>
      </c>
      <c r="I125" t="s">
        <v>3594</v>
      </c>
      <c r="J125" t="s">
        <v>47</v>
      </c>
      <c r="K125" t="s">
        <v>3966</v>
      </c>
      <c r="L125">
        <v>1035</v>
      </c>
      <c r="M125" t="s">
        <v>34</v>
      </c>
      <c r="N125" t="s">
        <v>4337</v>
      </c>
      <c r="O125" t="s">
        <v>80</v>
      </c>
    </row>
    <row r="126" spans="1:15" x14ac:dyDescent="0.25">
      <c r="A126" t="s">
        <v>3959</v>
      </c>
      <c r="B126" t="s">
        <v>3960</v>
      </c>
      <c r="C126" t="s">
        <v>3961</v>
      </c>
      <c r="E126" s="13">
        <v>46075</v>
      </c>
      <c r="F126" t="s">
        <v>3969</v>
      </c>
      <c r="G126">
        <v>2998.41</v>
      </c>
      <c r="H126" t="s">
        <v>15</v>
      </c>
      <c r="I126" t="s">
        <v>3594</v>
      </c>
      <c r="J126" t="s">
        <v>47</v>
      </c>
      <c r="K126" t="s">
        <v>3966</v>
      </c>
      <c r="L126">
        <v>1035</v>
      </c>
      <c r="M126" t="s">
        <v>34</v>
      </c>
      <c r="N126" t="s">
        <v>4337</v>
      </c>
      <c r="O126" t="s">
        <v>80</v>
      </c>
    </row>
    <row r="127" spans="1:15" x14ac:dyDescent="0.25">
      <c r="A127" t="s">
        <v>3959</v>
      </c>
      <c r="B127" t="s">
        <v>3960</v>
      </c>
      <c r="C127" t="s">
        <v>3961</v>
      </c>
      <c r="E127" s="13">
        <v>46075</v>
      </c>
      <c r="F127" t="s">
        <v>3970</v>
      </c>
      <c r="G127">
        <v>30</v>
      </c>
      <c r="H127" t="s">
        <v>15</v>
      </c>
      <c r="I127" t="s">
        <v>3594</v>
      </c>
      <c r="J127" t="s">
        <v>30</v>
      </c>
      <c r="K127" t="s">
        <v>3896</v>
      </c>
      <c r="L127">
        <v>1035</v>
      </c>
      <c r="M127" t="s">
        <v>34</v>
      </c>
      <c r="N127" t="s">
        <v>4337</v>
      </c>
      <c r="O127" t="s">
        <v>80</v>
      </c>
    </row>
    <row r="128" spans="1:15" x14ac:dyDescent="0.25">
      <c r="A128" t="s">
        <v>3959</v>
      </c>
      <c r="B128" t="s">
        <v>3960</v>
      </c>
      <c r="C128" t="s">
        <v>3961</v>
      </c>
      <c r="E128" s="13">
        <v>46072</v>
      </c>
      <c r="F128" t="s">
        <v>3840</v>
      </c>
      <c r="G128">
        <v>22.33</v>
      </c>
      <c r="H128" t="s">
        <v>15</v>
      </c>
      <c r="I128" t="s">
        <v>16</v>
      </c>
      <c r="J128" t="s">
        <v>95</v>
      </c>
      <c r="L128">
        <v>3500</v>
      </c>
      <c r="M128" t="s">
        <v>34</v>
      </c>
      <c r="N128" t="s">
        <v>4337</v>
      </c>
      <c r="O128" t="s">
        <v>80</v>
      </c>
    </row>
    <row r="129" spans="1:15" x14ac:dyDescent="0.25">
      <c r="A129" t="s">
        <v>3959</v>
      </c>
      <c r="B129" t="s">
        <v>3960</v>
      </c>
      <c r="C129" t="s">
        <v>3961</v>
      </c>
      <c r="E129" s="13">
        <v>46083</v>
      </c>
      <c r="F129" t="s">
        <v>3840</v>
      </c>
      <c r="G129">
        <v>23.41</v>
      </c>
      <c r="H129" t="s">
        <v>15</v>
      </c>
      <c r="I129" t="s">
        <v>16</v>
      </c>
      <c r="J129" t="s">
        <v>134</v>
      </c>
      <c r="L129">
        <v>3500</v>
      </c>
      <c r="M129" t="s">
        <v>34</v>
      </c>
      <c r="N129" t="s">
        <v>4337</v>
      </c>
      <c r="O129" t="s">
        <v>80</v>
      </c>
    </row>
    <row r="130" spans="1:15" x14ac:dyDescent="0.25">
      <c r="A130" t="s">
        <v>3959</v>
      </c>
      <c r="B130" t="s">
        <v>3960</v>
      </c>
      <c r="C130" t="s">
        <v>3961</v>
      </c>
      <c r="E130" s="13">
        <v>46078</v>
      </c>
      <c r="F130" t="s">
        <v>3971</v>
      </c>
      <c r="G130">
        <v>19.739999999999998</v>
      </c>
      <c r="H130" t="s">
        <v>15</v>
      </c>
      <c r="I130" t="s">
        <v>21</v>
      </c>
      <c r="J130" t="s">
        <v>83</v>
      </c>
      <c r="L130">
        <v>3500</v>
      </c>
      <c r="M130" t="s">
        <v>34</v>
      </c>
      <c r="N130" t="s">
        <v>4337</v>
      </c>
      <c r="O130" t="s">
        <v>80</v>
      </c>
    </row>
    <row r="131" spans="1:15" x14ac:dyDescent="0.25">
      <c r="A131" t="s">
        <v>3959</v>
      </c>
      <c r="B131" t="s">
        <v>3960</v>
      </c>
      <c r="C131" t="s">
        <v>3961</v>
      </c>
      <c r="E131" s="13">
        <v>46075</v>
      </c>
      <c r="F131" t="s">
        <v>3968</v>
      </c>
      <c r="G131">
        <v>1472.68</v>
      </c>
      <c r="H131" t="s">
        <v>15</v>
      </c>
      <c r="I131" t="s">
        <v>3594</v>
      </c>
      <c r="J131" t="s">
        <v>32</v>
      </c>
      <c r="K131" t="s">
        <v>3896</v>
      </c>
      <c r="L131">
        <v>1035</v>
      </c>
      <c r="M131" t="s">
        <v>34</v>
      </c>
      <c r="N131" t="s">
        <v>4337</v>
      </c>
      <c r="O131" t="s">
        <v>80</v>
      </c>
    </row>
    <row r="132" spans="1:15" x14ac:dyDescent="0.25">
      <c r="A132" t="s">
        <v>3972</v>
      </c>
      <c r="B132" t="s">
        <v>3973</v>
      </c>
      <c r="C132" t="s">
        <v>3974</v>
      </c>
      <c r="E132" s="13">
        <v>46062</v>
      </c>
      <c r="F132" t="s">
        <v>3975</v>
      </c>
      <c r="G132">
        <v>31.99</v>
      </c>
      <c r="H132" t="s">
        <v>15</v>
      </c>
      <c r="I132" t="s">
        <v>21</v>
      </c>
      <c r="J132" t="s">
        <v>111</v>
      </c>
      <c r="L132">
        <v>3285</v>
      </c>
      <c r="M132" t="s">
        <v>34</v>
      </c>
      <c r="N132" t="s">
        <v>4337</v>
      </c>
      <c r="O132" t="s">
        <v>500</v>
      </c>
    </row>
    <row r="133" spans="1:15" x14ac:dyDescent="0.25">
      <c r="A133" t="s">
        <v>3972</v>
      </c>
      <c r="B133" t="s">
        <v>3973</v>
      </c>
      <c r="C133" t="s">
        <v>3974</v>
      </c>
      <c r="E133" s="13">
        <v>46062</v>
      </c>
      <c r="F133" t="s">
        <v>3976</v>
      </c>
      <c r="G133">
        <v>22.65</v>
      </c>
      <c r="H133" t="s">
        <v>15</v>
      </c>
      <c r="I133" t="s">
        <v>16</v>
      </c>
      <c r="J133" t="s">
        <v>2671</v>
      </c>
      <c r="L133">
        <v>3285</v>
      </c>
      <c r="M133" t="s">
        <v>34</v>
      </c>
      <c r="N133" t="s">
        <v>4337</v>
      </c>
      <c r="O133" t="s">
        <v>500</v>
      </c>
    </row>
    <row r="134" spans="1:15" x14ac:dyDescent="0.25">
      <c r="A134" t="s">
        <v>3972</v>
      </c>
      <c r="B134" t="s">
        <v>3973</v>
      </c>
      <c r="C134" t="s">
        <v>3974</v>
      </c>
      <c r="E134" s="13">
        <v>46062</v>
      </c>
      <c r="F134" t="s">
        <v>3976</v>
      </c>
      <c r="G134">
        <v>7.64</v>
      </c>
      <c r="H134" t="s">
        <v>15</v>
      </c>
      <c r="I134" t="s">
        <v>16</v>
      </c>
      <c r="J134" t="s">
        <v>3977</v>
      </c>
      <c r="L134">
        <v>3285</v>
      </c>
      <c r="M134" t="s">
        <v>34</v>
      </c>
      <c r="N134" t="s">
        <v>4337</v>
      </c>
      <c r="O134" t="s">
        <v>500</v>
      </c>
    </row>
    <row r="135" spans="1:15" x14ac:dyDescent="0.25">
      <c r="A135" t="s">
        <v>3972</v>
      </c>
      <c r="B135" t="s">
        <v>3973</v>
      </c>
      <c r="C135" t="s">
        <v>3974</v>
      </c>
      <c r="E135" s="13">
        <v>46062</v>
      </c>
      <c r="F135" t="s">
        <v>3976</v>
      </c>
      <c r="G135">
        <v>17.899999999999999</v>
      </c>
      <c r="H135" t="s">
        <v>15</v>
      </c>
      <c r="I135" t="s">
        <v>16</v>
      </c>
      <c r="J135" t="s">
        <v>2898</v>
      </c>
      <c r="L135">
        <v>3285</v>
      </c>
      <c r="M135" t="s">
        <v>34</v>
      </c>
      <c r="N135" t="s">
        <v>4337</v>
      </c>
      <c r="O135" t="s">
        <v>500</v>
      </c>
    </row>
    <row r="136" spans="1:15" x14ac:dyDescent="0.25">
      <c r="A136" t="s">
        <v>3972</v>
      </c>
      <c r="B136" t="s">
        <v>3973</v>
      </c>
      <c r="C136" t="s">
        <v>3974</v>
      </c>
      <c r="E136" s="13">
        <v>46059</v>
      </c>
      <c r="F136" t="s">
        <v>3978</v>
      </c>
      <c r="G136">
        <v>144.97</v>
      </c>
      <c r="H136" t="s">
        <v>15</v>
      </c>
      <c r="I136" t="s">
        <v>21</v>
      </c>
      <c r="J136" t="s">
        <v>111</v>
      </c>
      <c r="L136">
        <v>3369</v>
      </c>
      <c r="M136" t="s">
        <v>34</v>
      </c>
      <c r="N136" t="s">
        <v>4337</v>
      </c>
      <c r="O136" t="s">
        <v>500</v>
      </c>
    </row>
    <row r="137" spans="1:15" x14ac:dyDescent="0.25">
      <c r="A137" t="s">
        <v>3972</v>
      </c>
      <c r="B137" t="s">
        <v>3973</v>
      </c>
      <c r="C137" t="s">
        <v>3974</v>
      </c>
      <c r="E137" s="13">
        <v>46059</v>
      </c>
      <c r="F137" t="s">
        <v>3979</v>
      </c>
      <c r="G137">
        <v>8</v>
      </c>
      <c r="H137" t="s">
        <v>15</v>
      </c>
      <c r="I137" t="s">
        <v>3922</v>
      </c>
      <c r="J137" t="s">
        <v>93</v>
      </c>
      <c r="L137">
        <v>3369</v>
      </c>
      <c r="M137" t="s">
        <v>34</v>
      </c>
      <c r="N137" t="s">
        <v>4337</v>
      </c>
      <c r="O137" t="s">
        <v>500</v>
      </c>
    </row>
    <row r="138" spans="1:15" x14ac:dyDescent="0.25">
      <c r="A138" t="s">
        <v>3972</v>
      </c>
      <c r="B138" t="s">
        <v>3973</v>
      </c>
      <c r="C138" t="s">
        <v>3974</v>
      </c>
      <c r="E138" s="13">
        <v>46059</v>
      </c>
      <c r="F138" t="s">
        <v>3980</v>
      </c>
      <c r="G138">
        <v>131.78</v>
      </c>
      <c r="H138" t="s">
        <v>15</v>
      </c>
      <c r="I138" t="s">
        <v>3864</v>
      </c>
      <c r="J138" t="s">
        <v>3981</v>
      </c>
      <c r="L138">
        <v>3369</v>
      </c>
      <c r="M138" t="s">
        <v>34</v>
      </c>
      <c r="N138" t="s">
        <v>4337</v>
      </c>
      <c r="O138" t="s">
        <v>500</v>
      </c>
    </row>
    <row r="139" spans="1:15" x14ac:dyDescent="0.25">
      <c r="A139" t="s">
        <v>3972</v>
      </c>
      <c r="B139" t="s">
        <v>3973</v>
      </c>
      <c r="C139" t="s">
        <v>3974</v>
      </c>
      <c r="E139" s="13">
        <v>46058</v>
      </c>
      <c r="F139" t="s">
        <v>3982</v>
      </c>
      <c r="G139">
        <v>5.2</v>
      </c>
      <c r="H139" t="s">
        <v>15</v>
      </c>
      <c r="I139" t="s">
        <v>21</v>
      </c>
      <c r="J139" t="s">
        <v>111</v>
      </c>
      <c r="L139">
        <v>3369</v>
      </c>
      <c r="M139" t="s">
        <v>34</v>
      </c>
      <c r="N139" t="s">
        <v>4337</v>
      </c>
      <c r="O139" t="s">
        <v>500</v>
      </c>
    </row>
    <row r="140" spans="1:15" x14ac:dyDescent="0.25">
      <c r="A140" t="s">
        <v>3972</v>
      </c>
      <c r="B140" t="s">
        <v>3973</v>
      </c>
      <c r="C140" t="s">
        <v>3974</v>
      </c>
      <c r="E140" s="13">
        <v>46058</v>
      </c>
      <c r="F140" t="s">
        <v>3979</v>
      </c>
      <c r="G140">
        <v>8</v>
      </c>
      <c r="H140" t="s">
        <v>15</v>
      </c>
      <c r="I140" t="s">
        <v>3922</v>
      </c>
      <c r="J140" t="s">
        <v>93</v>
      </c>
      <c r="L140">
        <v>3369</v>
      </c>
      <c r="M140" t="s">
        <v>34</v>
      </c>
      <c r="N140" t="s">
        <v>4337</v>
      </c>
      <c r="O140" t="s">
        <v>500</v>
      </c>
    </row>
    <row r="141" spans="1:15" x14ac:dyDescent="0.25">
      <c r="A141" t="s">
        <v>3972</v>
      </c>
      <c r="B141" t="s">
        <v>3973</v>
      </c>
      <c r="C141" t="s">
        <v>3974</v>
      </c>
      <c r="E141" s="13">
        <v>46058</v>
      </c>
      <c r="F141" t="s">
        <v>3983</v>
      </c>
      <c r="G141">
        <v>6.67</v>
      </c>
      <c r="H141" t="s">
        <v>15</v>
      </c>
      <c r="I141" t="s">
        <v>16</v>
      </c>
      <c r="J141" t="s">
        <v>3984</v>
      </c>
      <c r="L141">
        <v>3369</v>
      </c>
      <c r="M141" t="s">
        <v>34</v>
      </c>
      <c r="N141" t="s">
        <v>4337</v>
      </c>
      <c r="O141" t="s">
        <v>500</v>
      </c>
    </row>
    <row r="142" spans="1:15" x14ac:dyDescent="0.25">
      <c r="A142" t="s">
        <v>3972</v>
      </c>
      <c r="B142" t="s">
        <v>3973</v>
      </c>
      <c r="C142" t="s">
        <v>3974</v>
      </c>
      <c r="E142" s="13">
        <v>46058</v>
      </c>
      <c r="F142" t="s">
        <v>3983</v>
      </c>
      <c r="G142">
        <v>7.36</v>
      </c>
      <c r="H142" t="s">
        <v>15</v>
      </c>
      <c r="I142" t="s">
        <v>16</v>
      </c>
      <c r="J142" t="s">
        <v>3598</v>
      </c>
      <c r="L142">
        <v>3369</v>
      </c>
      <c r="M142" t="s">
        <v>34</v>
      </c>
      <c r="N142" t="s">
        <v>4337</v>
      </c>
      <c r="O142" t="s">
        <v>500</v>
      </c>
    </row>
    <row r="143" spans="1:15" x14ac:dyDescent="0.25">
      <c r="A143" t="s">
        <v>3972</v>
      </c>
      <c r="B143" t="s">
        <v>3973</v>
      </c>
      <c r="C143" t="s">
        <v>3974</v>
      </c>
      <c r="E143" s="13">
        <v>46057</v>
      </c>
      <c r="F143" t="s">
        <v>3985</v>
      </c>
      <c r="G143">
        <v>383.4</v>
      </c>
      <c r="H143" t="s">
        <v>15</v>
      </c>
      <c r="I143" t="s">
        <v>3594</v>
      </c>
      <c r="J143" t="s">
        <v>41</v>
      </c>
      <c r="K143" t="s">
        <v>3966</v>
      </c>
      <c r="L143">
        <v>3353</v>
      </c>
      <c r="M143" t="s">
        <v>34</v>
      </c>
      <c r="N143" t="s">
        <v>4337</v>
      </c>
      <c r="O143" t="s">
        <v>500</v>
      </c>
    </row>
    <row r="144" spans="1:15" x14ac:dyDescent="0.25">
      <c r="A144" t="s">
        <v>3972</v>
      </c>
      <c r="B144" t="s">
        <v>3973</v>
      </c>
      <c r="C144" t="s">
        <v>3974</v>
      </c>
      <c r="E144" s="13">
        <v>46057</v>
      </c>
      <c r="F144" t="s">
        <v>3986</v>
      </c>
      <c r="G144">
        <v>30</v>
      </c>
      <c r="H144" t="s">
        <v>15</v>
      </c>
      <c r="I144" t="s">
        <v>3594</v>
      </c>
      <c r="J144" t="s">
        <v>30</v>
      </c>
      <c r="K144" t="s">
        <v>3896</v>
      </c>
      <c r="L144">
        <v>3285</v>
      </c>
      <c r="M144" t="s">
        <v>34</v>
      </c>
      <c r="N144" t="s">
        <v>4337</v>
      </c>
      <c r="O144" t="s">
        <v>500</v>
      </c>
    </row>
    <row r="145" spans="1:15" x14ac:dyDescent="0.25">
      <c r="A145" t="s">
        <v>3972</v>
      </c>
      <c r="B145" t="s">
        <v>3973</v>
      </c>
      <c r="C145" t="s">
        <v>3974</v>
      </c>
      <c r="E145" s="13">
        <v>46057</v>
      </c>
      <c r="F145" t="s">
        <v>3987</v>
      </c>
      <c r="G145">
        <v>30</v>
      </c>
      <c r="H145" t="s">
        <v>15</v>
      </c>
      <c r="I145" t="s">
        <v>3594</v>
      </c>
      <c r="J145" t="s">
        <v>30</v>
      </c>
      <c r="K145" t="s">
        <v>3966</v>
      </c>
      <c r="L145">
        <v>3353</v>
      </c>
      <c r="M145" t="s">
        <v>34</v>
      </c>
      <c r="N145" t="s">
        <v>4337</v>
      </c>
      <c r="O145" t="s">
        <v>500</v>
      </c>
    </row>
    <row r="146" spans="1:15" x14ac:dyDescent="0.25">
      <c r="A146" t="s">
        <v>3972</v>
      </c>
      <c r="B146" t="s">
        <v>3973</v>
      </c>
      <c r="C146" t="s">
        <v>3974</v>
      </c>
      <c r="E146" s="13">
        <v>46057</v>
      </c>
      <c r="F146" t="s">
        <v>3988</v>
      </c>
      <c r="G146">
        <v>-363.4</v>
      </c>
      <c r="H146" t="s">
        <v>15</v>
      </c>
      <c r="I146" t="s">
        <v>3594</v>
      </c>
      <c r="J146" t="s">
        <v>32</v>
      </c>
      <c r="K146" t="s">
        <v>3896</v>
      </c>
      <c r="L146">
        <v>3285</v>
      </c>
      <c r="M146" t="s">
        <v>34</v>
      </c>
      <c r="N146" t="s">
        <v>4337</v>
      </c>
      <c r="O146" t="s">
        <v>500</v>
      </c>
    </row>
    <row r="147" spans="1:15" x14ac:dyDescent="0.25">
      <c r="A147" t="s">
        <v>3972</v>
      </c>
      <c r="B147" t="s">
        <v>3973</v>
      </c>
      <c r="C147" t="s">
        <v>3974</v>
      </c>
      <c r="E147" s="13">
        <v>46062</v>
      </c>
      <c r="F147" t="s">
        <v>3989</v>
      </c>
      <c r="G147">
        <v>2746.26</v>
      </c>
      <c r="H147" t="s">
        <v>15</v>
      </c>
      <c r="I147" t="s">
        <v>3594</v>
      </c>
      <c r="J147" t="s">
        <v>29</v>
      </c>
      <c r="K147" t="s">
        <v>3896</v>
      </c>
      <c r="L147">
        <v>3353</v>
      </c>
      <c r="M147" t="s">
        <v>34</v>
      </c>
      <c r="N147" t="s">
        <v>4337</v>
      </c>
      <c r="O147" t="s">
        <v>500</v>
      </c>
    </row>
    <row r="148" spans="1:15" x14ac:dyDescent="0.25">
      <c r="A148" t="s">
        <v>3972</v>
      </c>
      <c r="B148" t="s">
        <v>3973</v>
      </c>
      <c r="C148" t="s">
        <v>3974</v>
      </c>
      <c r="E148" s="13">
        <v>46062</v>
      </c>
      <c r="F148" t="s">
        <v>3990</v>
      </c>
      <c r="G148">
        <v>2746.27</v>
      </c>
      <c r="H148" t="s">
        <v>15</v>
      </c>
      <c r="I148" t="s">
        <v>3594</v>
      </c>
      <c r="J148" t="s">
        <v>29</v>
      </c>
      <c r="K148" t="s">
        <v>3896</v>
      </c>
      <c r="L148" t="s">
        <v>3991</v>
      </c>
      <c r="M148" t="s">
        <v>34</v>
      </c>
      <c r="N148" t="s">
        <v>4337</v>
      </c>
      <c r="O148" t="s">
        <v>500</v>
      </c>
    </row>
    <row r="149" spans="1:15" x14ac:dyDescent="0.25">
      <c r="A149" t="s">
        <v>3972</v>
      </c>
      <c r="B149" t="s">
        <v>3973</v>
      </c>
      <c r="C149" t="s">
        <v>3974</v>
      </c>
      <c r="E149" s="13">
        <v>46063</v>
      </c>
      <c r="F149" t="s">
        <v>3992</v>
      </c>
      <c r="G149">
        <v>40.97</v>
      </c>
      <c r="H149" t="s">
        <v>15</v>
      </c>
      <c r="I149" t="s">
        <v>21</v>
      </c>
      <c r="J149" t="s">
        <v>111</v>
      </c>
      <c r="L149">
        <v>3353</v>
      </c>
      <c r="M149" t="s">
        <v>34</v>
      </c>
      <c r="N149" t="s">
        <v>4337</v>
      </c>
      <c r="O149" t="s">
        <v>500</v>
      </c>
    </row>
    <row r="150" spans="1:15" x14ac:dyDescent="0.25">
      <c r="A150" t="s">
        <v>3972</v>
      </c>
      <c r="B150" t="s">
        <v>3973</v>
      </c>
      <c r="C150" t="s">
        <v>3974</v>
      </c>
      <c r="E150" s="13">
        <v>46065</v>
      </c>
      <c r="F150" t="s">
        <v>3993</v>
      </c>
      <c r="G150">
        <v>-188.17</v>
      </c>
      <c r="H150" t="s">
        <v>15</v>
      </c>
      <c r="I150" t="s">
        <v>3594</v>
      </c>
      <c r="J150" t="s">
        <v>32</v>
      </c>
      <c r="K150" t="s">
        <v>3896</v>
      </c>
      <c r="L150">
        <v>3369</v>
      </c>
      <c r="M150" t="s">
        <v>34</v>
      </c>
      <c r="N150" t="s">
        <v>4337</v>
      </c>
      <c r="O150" t="s">
        <v>500</v>
      </c>
    </row>
    <row r="151" spans="1:15" x14ac:dyDescent="0.25">
      <c r="A151" t="s">
        <v>3972</v>
      </c>
      <c r="B151" t="s">
        <v>3973</v>
      </c>
      <c r="C151" t="s">
        <v>3974</v>
      </c>
      <c r="E151" s="13">
        <v>46065</v>
      </c>
      <c r="F151" t="s">
        <v>3994</v>
      </c>
      <c r="G151">
        <v>30</v>
      </c>
      <c r="H151" t="s">
        <v>15</v>
      </c>
      <c r="I151" t="s">
        <v>3594</v>
      </c>
      <c r="J151" t="s">
        <v>30</v>
      </c>
      <c r="K151" t="s">
        <v>3896</v>
      </c>
      <c r="L151">
        <v>3369</v>
      </c>
      <c r="M151" t="s">
        <v>34</v>
      </c>
      <c r="N151" t="s">
        <v>4337</v>
      </c>
      <c r="O151" t="s">
        <v>500</v>
      </c>
    </row>
    <row r="152" spans="1:15" x14ac:dyDescent="0.25">
      <c r="A152" t="s">
        <v>3972</v>
      </c>
      <c r="B152" t="s">
        <v>3973</v>
      </c>
      <c r="C152" t="s">
        <v>3974</v>
      </c>
      <c r="E152" s="13">
        <v>46064</v>
      </c>
      <c r="F152" t="s">
        <v>3995</v>
      </c>
      <c r="G152">
        <v>55.36</v>
      </c>
      <c r="H152" t="s">
        <v>15</v>
      </c>
      <c r="I152" t="s">
        <v>21</v>
      </c>
      <c r="J152" t="s">
        <v>111</v>
      </c>
      <c r="L152">
        <v>3501</v>
      </c>
      <c r="M152" t="s">
        <v>34</v>
      </c>
      <c r="N152" t="s">
        <v>4337</v>
      </c>
      <c r="O152" t="s">
        <v>500</v>
      </c>
    </row>
    <row r="153" spans="1:15" x14ac:dyDescent="0.25">
      <c r="A153" t="s">
        <v>3972</v>
      </c>
      <c r="B153" t="s">
        <v>3973</v>
      </c>
      <c r="C153" t="s">
        <v>3974</v>
      </c>
      <c r="E153" s="13">
        <v>46064</v>
      </c>
      <c r="F153" t="s">
        <v>3996</v>
      </c>
      <c r="G153">
        <v>23.74</v>
      </c>
      <c r="H153" t="s">
        <v>15</v>
      </c>
      <c r="I153" t="s">
        <v>21</v>
      </c>
      <c r="J153" t="s">
        <v>111</v>
      </c>
      <c r="L153">
        <v>3501</v>
      </c>
      <c r="M153" t="s">
        <v>34</v>
      </c>
      <c r="N153" t="s">
        <v>4337</v>
      </c>
      <c r="O153" t="s">
        <v>500</v>
      </c>
    </row>
    <row r="154" spans="1:15" x14ac:dyDescent="0.25">
      <c r="A154" t="s">
        <v>3972</v>
      </c>
      <c r="B154" t="s">
        <v>3973</v>
      </c>
      <c r="C154" t="s">
        <v>3974</v>
      </c>
      <c r="E154" s="13">
        <v>46062</v>
      </c>
      <c r="F154" t="s">
        <v>3997</v>
      </c>
      <c r="G154">
        <v>8</v>
      </c>
      <c r="H154" t="s">
        <v>15</v>
      </c>
      <c r="I154" t="s">
        <v>3922</v>
      </c>
      <c r="J154" t="s">
        <v>93</v>
      </c>
      <c r="L154">
        <v>3285</v>
      </c>
      <c r="M154" t="s">
        <v>34</v>
      </c>
      <c r="N154" t="s">
        <v>4337</v>
      </c>
      <c r="O154" t="s">
        <v>500</v>
      </c>
    </row>
    <row r="155" spans="1:15" x14ac:dyDescent="0.25">
      <c r="A155" t="s">
        <v>3972</v>
      </c>
      <c r="B155" t="s">
        <v>3973</v>
      </c>
      <c r="C155" t="s">
        <v>3974</v>
      </c>
      <c r="E155" s="13">
        <v>46062</v>
      </c>
      <c r="F155" t="s">
        <v>3998</v>
      </c>
      <c r="G155">
        <v>22.5</v>
      </c>
      <c r="H155" t="s">
        <v>15</v>
      </c>
      <c r="I155" t="s">
        <v>3594</v>
      </c>
      <c r="J155" t="s">
        <v>30</v>
      </c>
      <c r="K155" t="s">
        <v>3896</v>
      </c>
      <c r="L155">
        <v>3353</v>
      </c>
      <c r="M155" t="s">
        <v>34</v>
      </c>
      <c r="N155" t="s">
        <v>4337</v>
      </c>
      <c r="O155" t="s">
        <v>500</v>
      </c>
    </row>
    <row r="156" spans="1:15" x14ac:dyDescent="0.25">
      <c r="A156" t="s">
        <v>3972</v>
      </c>
      <c r="B156" t="s">
        <v>3973</v>
      </c>
      <c r="C156" t="s">
        <v>3974</v>
      </c>
      <c r="E156" s="13">
        <v>46062</v>
      </c>
      <c r="F156" t="s">
        <v>3999</v>
      </c>
      <c r="G156">
        <v>22.5</v>
      </c>
      <c r="H156" t="s">
        <v>15</v>
      </c>
      <c r="I156" t="s">
        <v>3594</v>
      </c>
      <c r="J156" t="s">
        <v>30</v>
      </c>
      <c r="K156" t="s">
        <v>3896</v>
      </c>
      <c r="L156" t="s">
        <v>3991</v>
      </c>
      <c r="M156" t="s">
        <v>34</v>
      </c>
      <c r="N156" t="s">
        <v>4337</v>
      </c>
      <c r="O156" t="s">
        <v>500</v>
      </c>
    </row>
    <row r="157" spans="1:15" x14ac:dyDescent="0.25">
      <c r="A157" t="s">
        <v>3972</v>
      </c>
      <c r="B157" t="s">
        <v>3973</v>
      </c>
      <c r="C157" t="s">
        <v>3974</v>
      </c>
      <c r="E157" s="13">
        <v>46063</v>
      </c>
      <c r="F157" t="s">
        <v>3976</v>
      </c>
      <c r="G157">
        <v>83.37</v>
      </c>
      <c r="H157" t="s">
        <v>15</v>
      </c>
      <c r="I157" t="s">
        <v>16</v>
      </c>
      <c r="J157" t="s">
        <v>4000</v>
      </c>
      <c r="L157">
        <v>3285</v>
      </c>
      <c r="M157" t="s">
        <v>34</v>
      </c>
      <c r="N157" t="s">
        <v>4337</v>
      </c>
      <c r="O157" t="s">
        <v>500</v>
      </c>
    </row>
    <row r="158" spans="1:15" x14ac:dyDescent="0.25">
      <c r="A158" t="s">
        <v>3972</v>
      </c>
      <c r="B158" t="s">
        <v>3973</v>
      </c>
      <c r="C158" t="s">
        <v>3974</v>
      </c>
      <c r="E158" s="13">
        <v>46063</v>
      </c>
      <c r="F158" t="s">
        <v>4001</v>
      </c>
      <c r="G158">
        <v>451.87</v>
      </c>
      <c r="H158" t="s">
        <v>15</v>
      </c>
      <c r="I158" t="s">
        <v>3864</v>
      </c>
      <c r="J158" t="s">
        <v>4000</v>
      </c>
      <c r="L158">
        <v>3285</v>
      </c>
      <c r="M158" t="s">
        <v>34</v>
      </c>
      <c r="N158" t="s">
        <v>4337</v>
      </c>
      <c r="O158" t="s">
        <v>500</v>
      </c>
    </row>
    <row r="159" spans="1:15" x14ac:dyDescent="0.25">
      <c r="A159" t="s">
        <v>3972</v>
      </c>
      <c r="B159" t="s">
        <v>3973</v>
      </c>
      <c r="C159" t="s">
        <v>3974</v>
      </c>
      <c r="E159" s="13">
        <v>46083</v>
      </c>
      <c r="F159" t="s">
        <v>4002</v>
      </c>
      <c r="G159">
        <v>12.31</v>
      </c>
      <c r="H159" t="s">
        <v>15</v>
      </c>
      <c r="I159" t="s">
        <v>16</v>
      </c>
      <c r="J159" t="s">
        <v>4003</v>
      </c>
      <c r="L159">
        <v>3369</v>
      </c>
      <c r="M159" t="s">
        <v>34</v>
      </c>
      <c r="N159" t="s">
        <v>4337</v>
      </c>
      <c r="O159" t="s">
        <v>500</v>
      </c>
    </row>
    <row r="160" spans="1:15" x14ac:dyDescent="0.25">
      <c r="A160" t="s">
        <v>3972</v>
      </c>
      <c r="B160" t="s">
        <v>3973</v>
      </c>
      <c r="C160" t="s">
        <v>3974</v>
      </c>
      <c r="E160" s="13">
        <v>46079</v>
      </c>
      <c r="F160" t="s">
        <v>4004</v>
      </c>
      <c r="G160">
        <v>135</v>
      </c>
      <c r="H160" t="s">
        <v>15</v>
      </c>
      <c r="I160" t="s">
        <v>3594</v>
      </c>
      <c r="J160" t="s">
        <v>30</v>
      </c>
      <c r="L160">
        <v>3338</v>
      </c>
      <c r="M160" t="s">
        <v>34</v>
      </c>
      <c r="N160" t="s">
        <v>4337</v>
      </c>
      <c r="O160" t="s">
        <v>500</v>
      </c>
    </row>
    <row r="161" spans="1:15" x14ac:dyDescent="0.25">
      <c r="A161" t="s">
        <v>3972</v>
      </c>
      <c r="B161" t="s">
        <v>3973</v>
      </c>
      <c r="C161" t="s">
        <v>3974</v>
      </c>
      <c r="E161" s="13">
        <v>46079</v>
      </c>
      <c r="F161" t="s">
        <v>3881</v>
      </c>
      <c r="G161">
        <v>10.9</v>
      </c>
      <c r="H161" t="s">
        <v>15</v>
      </c>
      <c r="I161" t="s">
        <v>16</v>
      </c>
      <c r="J161" t="s">
        <v>4005</v>
      </c>
      <c r="L161">
        <v>1035</v>
      </c>
      <c r="M161" t="s">
        <v>34</v>
      </c>
      <c r="N161" t="s">
        <v>4337</v>
      </c>
      <c r="O161" t="s">
        <v>500</v>
      </c>
    </row>
    <row r="162" spans="1:15" x14ac:dyDescent="0.25">
      <c r="A162" t="s">
        <v>3972</v>
      </c>
      <c r="B162" t="s">
        <v>3973</v>
      </c>
      <c r="C162" t="s">
        <v>3974</v>
      </c>
      <c r="E162" s="13">
        <v>46079</v>
      </c>
      <c r="F162" t="s">
        <v>4006</v>
      </c>
      <c r="G162">
        <v>10242.43</v>
      </c>
      <c r="H162" t="s">
        <v>15</v>
      </c>
      <c r="I162" t="s">
        <v>3594</v>
      </c>
      <c r="J162" t="s">
        <v>4007</v>
      </c>
      <c r="L162">
        <v>3338</v>
      </c>
      <c r="M162" t="s">
        <v>34</v>
      </c>
      <c r="N162" t="s">
        <v>4337</v>
      </c>
      <c r="O162" t="s">
        <v>500</v>
      </c>
    </row>
    <row r="163" spans="1:15" x14ac:dyDescent="0.25">
      <c r="A163" t="s">
        <v>3972</v>
      </c>
      <c r="B163" t="s">
        <v>3973</v>
      </c>
      <c r="C163" t="s">
        <v>3974</v>
      </c>
      <c r="E163" s="13">
        <v>46079</v>
      </c>
      <c r="F163" t="s">
        <v>3881</v>
      </c>
      <c r="G163">
        <v>11.52</v>
      </c>
      <c r="H163" t="s">
        <v>15</v>
      </c>
      <c r="I163" t="s">
        <v>16</v>
      </c>
      <c r="J163" t="s">
        <v>2645</v>
      </c>
      <c r="L163">
        <v>1035</v>
      </c>
      <c r="M163" t="s">
        <v>34</v>
      </c>
      <c r="N163" t="s">
        <v>4337</v>
      </c>
      <c r="O163" t="s">
        <v>500</v>
      </c>
    </row>
    <row r="164" spans="1:15" x14ac:dyDescent="0.25">
      <c r="A164" t="s">
        <v>3972</v>
      </c>
      <c r="B164" t="s">
        <v>3973</v>
      </c>
      <c r="C164" t="s">
        <v>3974</v>
      </c>
      <c r="E164" s="13">
        <v>46079</v>
      </c>
      <c r="F164" t="s">
        <v>4008</v>
      </c>
      <c r="G164">
        <v>8</v>
      </c>
      <c r="H164" t="s">
        <v>15</v>
      </c>
      <c r="I164" t="s">
        <v>3922</v>
      </c>
      <c r="J164" t="s">
        <v>93</v>
      </c>
      <c r="L164">
        <v>1035</v>
      </c>
      <c r="M164" t="s">
        <v>34</v>
      </c>
      <c r="N164" t="s">
        <v>4337</v>
      </c>
      <c r="O164" t="s">
        <v>500</v>
      </c>
    </row>
    <row r="165" spans="1:15" x14ac:dyDescent="0.25">
      <c r="A165" t="s">
        <v>3972</v>
      </c>
      <c r="B165" t="s">
        <v>3973</v>
      </c>
      <c r="C165" t="s">
        <v>3974</v>
      </c>
      <c r="E165" s="13">
        <v>46079</v>
      </c>
      <c r="F165" t="s">
        <v>4009</v>
      </c>
      <c r="G165">
        <v>6898.5</v>
      </c>
      <c r="H165" t="s">
        <v>15</v>
      </c>
      <c r="I165" t="s">
        <v>3594</v>
      </c>
      <c r="J165" t="s">
        <v>1843</v>
      </c>
      <c r="L165">
        <v>3338</v>
      </c>
      <c r="M165" t="s">
        <v>34</v>
      </c>
      <c r="N165" t="s">
        <v>4337</v>
      </c>
      <c r="O165" t="s">
        <v>500</v>
      </c>
    </row>
    <row r="166" spans="1:15" x14ac:dyDescent="0.25">
      <c r="A166" t="s">
        <v>3972</v>
      </c>
      <c r="B166" t="s">
        <v>3973</v>
      </c>
      <c r="C166" t="s">
        <v>3974</v>
      </c>
      <c r="E166" s="13">
        <v>46078</v>
      </c>
      <c r="F166" t="s">
        <v>3881</v>
      </c>
      <c r="G166">
        <v>15.3</v>
      </c>
      <c r="H166" t="s">
        <v>15</v>
      </c>
      <c r="I166" t="s">
        <v>16</v>
      </c>
      <c r="J166" t="s">
        <v>4010</v>
      </c>
      <c r="L166">
        <v>1035</v>
      </c>
      <c r="M166" t="s">
        <v>34</v>
      </c>
      <c r="N166" t="s">
        <v>4337</v>
      </c>
      <c r="O166" t="s">
        <v>500</v>
      </c>
    </row>
    <row r="167" spans="1:15" x14ac:dyDescent="0.25">
      <c r="A167" t="s">
        <v>3972</v>
      </c>
      <c r="B167" t="s">
        <v>3973</v>
      </c>
      <c r="C167" t="s">
        <v>3974</v>
      </c>
      <c r="E167" s="13">
        <v>46063</v>
      </c>
      <c r="F167" t="s">
        <v>3881</v>
      </c>
      <c r="G167">
        <v>5.6</v>
      </c>
      <c r="H167" t="s">
        <v>15</v>
      </c>
      <c r="I167" t="s">
        <v>16</v>
      </c>
      <c r="J167" t="s">
        <v>1821</v>
      </c>
      <c r="L167">
        <v>1035</v>
      </c>
      <c r="M167" t="s">
        <v>34</v>
      </c>
      <c r="N167" t="s">
        <v>4337</v>
      </c>
      <c r="O167" t="s">
        <v>500</v>
      </c>
    </row>
    <row r="168" spans="1:15" x14ac:dyDescent="0.25">
      <c r="A168" t="s">
        <v>3972</v>
      </c>
      <c r="B168" t="s">
        <v>3973</v>
      </c>
      <c r="C168" t="s">
        <v>3974</v>
      </c>
      <c r="E168" s="13">
        <v>46077</v>
      </c>
      <c r="F168" t="s">
        <v>4011</v>
      </c>
      <c r="G168">
        <v>-594.27</v>
      </c>
      <c r="H168" t="s">
        <v>15</v>
      </c>
      <c r="I168" t="s">
        <v>3594</v>
      </c>
      <c r="J168" t="s">
        <v>93</v>
      </c>
      <c r="K168" t="s">
        <v>3896</v>
      </c>
      <c r="L168">
        <v>1035</v>
      </c>
      <c r="M168" t="s">
        <v>34</v>
      </c>
      <c r="N168" t="s">
        <v>4337</v>
      </c>
      <c r="O168" t="s">
        <v>500</v>
      </c>
    </row>
    <row r="169" spans="1:15" x14ac:dyDescent="0.25">
      <c r="A169" t="s">
        <v>3972</v>
      </c>
      <c r="B169" t="s">
        <v>3973</v>
      </c>
      <c r="C169" t="s">
        <v>3974</v>
      </c>
      <c r="E169" s="13">
        <v>46077</v>
      </c>
      <c r="F169" t="s">
        <v>3881</v>
      </c>
      <c r="G169">
        <v>11.69</v>
      </c>
      <c r="H169" t="s">
        <v>15</v>
      </c>
      <c r="I169" t="s">
        <v>16</v>
      </c>
      <c r="J169" t="s">
        <v>4012</v>
      </c>
      <c r="L169">
        <v>1035</v>
      </c>
      <c r="M169" t="s">
        <v>34</v>
      </c>
      <c r="N169" t="s">
        <v>4337</v>
      </c>
      <c r="O169" t="s">
        <v>500</v>
      </c>
    </row>
    <row r="170" spans="1:15" x14ac:dyDescent="0.25">
      <c r="A170" t="s">
        <v>3972</v>
      </c>
      <c r="B170" t="s">
        <v>3973</v>
      </c>
      <c r="C170" t="s">
        <v>3974</v>
      </c>
      <c r="E170" s="13">
        <v>46077</v>
      </c>
      <c r="F170" t="s">
        <v>3881</v>
      </c>
      <c r="G170">
        <v>19.53</v>
      </c>
      <c r="H170" t="s">
        <v>15</v>
      </c>
      <c r="I170" t="s">
        <v>16</v>
      </c>
      <c r="J170" t="s">
        <v>4013</v>
      </c>
      <c r="L170">
        <v>1035</v>
      </c>
      <c r="M170" t="s">
        <v>34</v>
      </c>
      <c r="N170" t="s">
        <v>4337</v>
      </c>
      <c r="O170" t="s">
        <v>500</v>
      </c>
    </row>
    <row r="171" spans="1:15" x14ac:dyDescent="0.25">
      <c r="A171" t="s">
        <v>3972</v>
      </c>
      <c r="B171" t="s">
        <v>3973</v>
      </c>
      <c r="C171" t="s">
        <v>3974</v>
      </c>
      <c r="E171" s="13">
        <v>46077</v>
      </c>
      <c r="F171" t="s">
        <v>4014</v>
      </c>
      <c r="G171">
        <v>194.54</v>
      </c>
      <c r="H171" t="s">
        <v>15</v>
      </c>
      <c r="I171" t="s">
        <v>3864</v>
      </c>
      <c r="J171" t="s">
        <v>4015</v>
      </c>
      <c r="L171">
        <v>1035</v>
      </c>
      <c r="M171" t="s">
        <v>34</v>
      </c>
      <c r="N171" t="s">
        <v>4337</v>
      </c>
      <c r="O171" t="s">
        <v>500</v>
      </c>
    </row>
    <row r="172" spans="1:15" x14ac:dyDescent="0.25">
      <c r="A172" t="s">
        <v>3972</v>
      </c>
      <c r="B172" t="s">
        <v>3973</v>
      </c>
      <c r="C172" t="s">
        <v>3974</v>
      </c>
      <c r="E172" s="13">
        <v>46077</v>
      </c>
      <c r="F172" t="s">
        <v>4016</v>
      </c>
      <c r="G172">
        <v>30</v>
      </c>
      <c r="H172" t="s">
        <v>15</v>
      </c>
      <c r="I172" t="s">
        <v>3594</v>
      </c>
      <c r="J172" t="s">
        <v>30</v>
      </c>
      <c r="L172">
        <v>3369</v>
      </c>
      <c r="M172" t="s">
        <v>34</v>
      </c>
      <c r="N172" t="s">
        <v>4337</v>
      </c>
      <c r="O172" t="s">
        <v>500</v>
      </c>
    </row>
    <row r="173" spans="1:15" x14ac:dyDescent="0.25">
      <c r="A173" t="s">
        <v>3972</v>
      </c>
      <c r="B173" t="s">
        <v>3973</v>
      </c>
      <c r="C173" t="s">
        <v>3974</v>
      </c>
      <c r="E173" s="13">
        <v>46076</v>
      </c>
      <c r="F173" t="s">
        <v>4017</v>
      </c>
      <c r="G173">
        <v>728.4</v>
      </c>
      <c r="H173" t="s">
        <v>15</v>
      </c>
      <c r="I173" t="s">
        <v>3594</v>
      </c>
      <c r="J173" t="s">
        <v>41</v>
      </c>
      <c r="L173">
        <v>1035</v>
      </c>
      <c r="M173" t="s">
        <v>34</v>
      </c>
      <c r="N173" t="s">
        <v>4337</v>
      </c>
      <c r="O173" t="s">
        <v>500</v>
      </c>
    </row>
    <row r="174" spans="1:15" x14ac:dyDescent="0.25">
      <c r="A174" t="s">
        <v>3972</v>
      </c>
      <c r="B174" t="s">
        <v>3973</v>
      </c>
      <c r="C174" t="s">
        <v>3974</v>
      </c>
      <c r="E174" s="13">
        <v>46076</v>
      </c>
      <c r="F174" t="s">
        <v>3881</v>
      </c>
      <c r="G174">
        <v>2.6</v>
      </c>
      <c r="H174" t="s">
        <v>15</v>
      </c>
      <c r="I174" t="s">
        <v>16</v>
      </c>
      <c r="J174" t="s">
        <v>4018</v>
      </c>
      <c r="L174">
        <v>1035</v>
      </c>
      <c r="M174" t="s">
        <v>34</v>
      </c>
      <c r="N174" t="s">
        <v>4337</v>
      </c>
      <c r="O174" t="s">
        <v>500</v>
      </c>
    </row>
    <row r="175" spans="1:15" x14ac:dyDescent="0.25">
      <c r="A175" t="s">
        <v>3972</v>
      </c>
      <c r="B175" t="s">
        <v>3973</v>
      </c>
      <c r="C175" t="s">
        <v>3974</v>
      </c>
      <c r="E175" s="13">
        <v>46076</v>
      </c>
      <c r="F175" t="s">
        <v>4019</v>
      </c>
      <c r="G175">
        <v>30</v>
      </c>
      <c r="H175" t="s">
        <v>15</v>
      </c>
      <c r="I175" t="s">
        <v>3594</v>
      </c>
      <c r="J175" t="s">
        <v>30</v>
      </c>
      <c r="L175">
        <v>1035</v>
      </c>
      <c r="M175" t="s">
        <v>34</v>
      </c>
      <c r="N175" t="s">
        <v>4337</v>
      </c>
      <c r="O175" t="s">
        <v>500</v>
      </c>
    </row>
    <row r="176" spans="1:15" x14ac:dyDescent="0.25">
      <c r="A176" t="s">
        <v>3972</v>
      </c>
      <c r="B176" t="s">
        <v>3973</v>
      </c>
      <c r="C176" t="s">
        <v>3974</v>
      </c>
      <c r="E176" s="13">
        <v>46076</v>
      </c>
      <c r="F176" t="s">
        <v>3881</v>
      </c>
      <c r="G176">
        <v>1</v>
      </c>
      <c r="H176" t="s">
        <v>15</v>
      </c>
      <c r="I176" t="s">
        <v>16</v>
      </c>
      <c r="J176" t="s">
        <v>4018</v>
      </c>
      <c r="L176">
        <v>1035</v>
      </c>
      <c r="M176" t="s">
        <v>34</v>
      </c>
      <c r="N176" t="s">
        <v>4337</v>
      </c>
      <c r="O176" t="s">
        <v>500</v>
      </c>
    </row>
    <row r="177" spans="1:15" x14ac:dyDescent="0.25">
      <c r="A177" t="s">
        <v>3972</v>
      </c>
      <c r="B177" t="s">
        <v>3973</v>
      </c>
      <c r="C177" t="s">
        <v>3974</v>
      </c>
      <c r="E177" s="13">
        <v>46076</v>
      </c>
      <c r="F177" t="s">
        <v>3881</v>
      </c>
      <c r="G177">
        <v>2.1</v>
      </c>
      <c r="H177" t="s">
        <v>15</v>
      </c>
      <c r="I177" t="s">
        <v>16</v>
      </c>
      <c r="J177" t="s">
        <v>4018</v>
      </c>
      <c r="L177">
        <v>1035</v>
      </c>
      <c r="M177" t="s">
        <v>34</v>
      </c>
      <c r="N177" t="s">
        <v>4337</v>
      </c>
      <c r="O177" t="s">
        <v>500</v>
      </c>
    </row>
    <row r="178" spans="1:15" x14ac:dyDescent="0.25">
      <c r="A178" t="s">
        <v>3972</v>
      </c>
      <c r="B178" t="s">
        <v>3973</v>
      </c>
      <c r="C178" t="s">
        <v>3974</v>
      </c>
      <c r="E178" s="13">
        <v>46074</v>
      </c>
      <c r="F178" t="s">
        <v>4020</v>
      </c>
      <c r="G178">
        <v>-961.36</v>
      </c>
      <c r="H178" t="s">
        <v>15</v>
      </c>
      <c r="I178" t="s">
        <v>3594</v>
      </c>
      <c r="J178" t="s">
        <v>93</v>
      </c>
      <c r="K178" t="s">
        <v>3896</v>
      </c>
      <c r="L178">
        <v>1035</v>
      </c>
      <c r="N178" t="s">
        <v>4337</v>
      </c>
      <c r="O178" t="s">
        <v>500</v>
      </c>
    </row>
    <row r="179" spans="1:15" x14ac:dyDescent="0.25">
      <c r="A179" t="s">
        <v>3972</v>
      </c>
      <c r="B179" t="s">
        <v>3973</v>
      </c>
      <c r="C179" t="s">
        <v>3974</v>
      </c>
      <c r="E179" s="13">
        <v>46073</v>
      </c>
      <c r="F179" t="s">
        <v>4021</v>
      </c>
      <c r="G179">
        <v>1849.66</v>
      </c>
      <c r="H179" t="s">
        <v>15</v>
      </c>
      <c r="I179" t="s">
        <v>3594</v>
      </c>
      <c r="J179" t="s">
        <v>29</v>
      </c>
      <c r="L179">
        <v>3353</v>
      </c>
      <c r="M179" t="s">
        <v>34</v>
      </c>
      <c r="N179" t="s">
        <v>4337</v>
      </c>
      <c r="O179" t="s">
        <v>500</v>
      </c>
    </row>
    <row r="180" spans="1:15" x14ac:dyDescent="0.25">
      <c r="A180" t="s">
        <v>3972</v>
      </c>
      <c r="B180" t="s">
        <v>3973</v>
      </c>
      <c r="C180" t="s">
        <v>3974</v>
      </c>
      <c r="E180" s="13">
        <v>46073</v>
      </c>
      <c r="F180" t="s">
        <v>4022</v>
      </c>
      <c r="G180">
        <v>1849.66</v>
      </c>
      <c r="H180" t="s">
        <v>15</v>
      </c>
      <c r="I180" t="s">
        <v>3594</v>
      </c>
      <c r="J180" t="s">
        <v>29</v>
      </c>
      <c r="L180">
        <v>3338</v>
      </c>
      <c r="M180" t="s">
        <v>34</v>
      </c>
      <c r="N180" t="s">
        <v>4337</v>
      </c>
      <c r="O180" t="s">
        <v>500</v>
      </c>
    </row>
    <row r="181" spans="1:15" x14ac:dyDescent="0.25">
      <c r="A181" t="s">
        <v>3972</v>
      </c>
      <c r="B181" t="s">
        <v>3973</v>
      </c>
      <c r="C181" t="s">
        <v>3974</v>
      </c>
      <c r="E181" s="13">
        <v>46073</v>
      </c>
      <c r="F181" t="s">
        <v>4023</v>
      </c>
      <c r="G181">
        <v>1849.68</v>
      </c>
      <c r="H181" t="s">
        <v>15</v>
      </c>
      <c r="I181" t="s">
        <v>3594</v>
      </c>
      <c r="J181" t="s">
        <v>29</v>
      </c>
      <c r="L181" t="s">
        <v>3991</v>
      </c>
      <c r="M181" t="s">
        <v>34</v>
      </c>
      <c r="N181" t="s">
        <v>4337</v>
      </c>
      <c r="O181" t="s">
        <v>500</v>
      </c>
    </row>
    <row r="182" spans="1:15" x14ac:dyDescent="0.25">
      <c r="A182" t="s">
        <v>3972</v>
      </c>
      <c r="B182" t="s">
        <v>3973</v>
      </c>
      <c r="C182" t="s">
        <v>3974</v>
      </c>
      <c r="E182" s="13">
        <v>46079</v>
      </c>
      <c r="F182" t="s">
        <v>4024</v>
      </c>
      <c r="G182">
        <v>895.3</v>
      </c>
      <c r="H182" t="s">
        <v>15</v>
      </c>
      <c r="I182" t="s">
        <v>3594</v>
      </c>
      <c r="J182" t="s">
        <v>4025</v>
      </c>
      <c r="K182" t="s">
        <v>68</v>
      </c>
      <c r="L182">
        <v>3338</v>
      </c>
      <c r="M182" t="s">
        <v>34</v>
      </c>
      <c r="N182" t="s">
        <v>4337</v>
      </c>
      <c r="O182" t="s">
        <v>500</v>
      </c>
    </row>
    <row r="183" spans="1:15" x14ac:dyDescent="0.25">
      <c r="A183" t="s">
        <v>3972</v>
      </c>
      <c r="B183" t="s">
        <v>3973</v>
      </c>
      <c r="C183" t="s">
        <v>3974</v>
      </c>
      <c r="E183" s="13">
        <v>46084</v>
      </c>
      <c r="F183" t="s">
        <v>4026</v>
      </c>
      <c r="G183">
        <v>39.97</v>
      </c>
      <c r="H183" t="s">
        <v>15</v>
      </c>
      <c r="I183" t="s">
        <v>21</v>
      </c>
      <c r="J183" t="s">
        <v>111</v>
      </c>
      <c r="L183">
        <v>3369</v>
      </c>
      <c r="M183" t="s">
        <v>34</v>
      </c>
      <c r="N183" t="s">
        <v>4337</v>
      </c>
      <c r="O183" t="s">
        <v>500</v>
      </c>
    </row>
    <row r="184" spans="1:15" x14ac:dyDescent="0.25">
      <c r="A184" t="s">
        <v>3972</v>
      </c>
      <c r="B184" t="s">
        <v>3973</v>
      </c>
      <c r="C184" t="s">
        <v>3974</v>
      </c>
      <c r="E184" s="13">
        <v>46073</v>
      </c>
      <c r="F184" t="s">
        <v>4024</v>
      </c>
      <c r="G184">
        <v>299.54000000000002</v>
      </c>
      <c r="H184" t="s">
        <v>15</v>
      </c>
      <c r="I184" t="s">
        <v>3594</v>
      </c>
      <c r="J184" t="s">
        <v>68</v>
      </c>
      <c r="K184" t="s">
        <v>68</v>
      </c>
      <c r="L184">
        <v>3338</v>
      </c>
      <c r="M184" t="s">
        <v>34</v>
      </c>
      <c r="N184" t="s">
        <v>4337</v>
      </c>
      <c r="O184" t="s">
        <v>500</v>
      </c>
    </row>
    <row r="185" spans="1:15" x14ac:dyDescent="0.25">
      <c r="A185" t="s">
        <v>3972</v>
      </c>
      <c r="B185" t="s">
        <v>3973</v>
      </c>
      <c r="C185" t="s">
        <v>3974</v>
      </c>
      <c r="E185" s="13">
        <v>46073</v>
      </c>
      <c r="F185" t="s">
        <v>4027</v>
      </c>
      <c r="G185">
        <v>299.52999999999997</v>
      </c>
      <c r="H185" t="s">
        <v>15</v>
      </c>
      <c r="I185" t="s">
        <v>3594</v>
      </c>
      <c r="J185" t="s">
        <v>68</v>
      </c>
      <c r="K185" t="s">
        <v>68</v>
      </c>
      <c r="L185">
        <v>3353</v>
      </c>
      <c r="M185" t="s">
        <v>34</v>
      </c>
      <c r="N185" t="s">
        <v>4337</v>
      </c>
      <c r="O185" t="s">
        <v>500</v>
      </c>
    </row>
    <row r="186" spans="1:15" x14ac:dyDescent="0.25">
      <c r="A186" t="s">
        <v>3972</v>
      </c>
      <c r="B186" t="s">
        <v>3973</v>
      </c>
      <c r="C186" t="s">
        <v>3974</v>
      </c>
      <c r="E186" s="13">
        <v>46073</v>
      </c>
      <c r="F186" t="s">
        <v>4028</v>
      </c>
      <c r="G186">
        <v>299.52999999999997</v>
      </c>
      <c r="H186" t="s">
        <v>15</v>
      </c>
      <c r="I186" t="s">
        <v>3594</v>
      </c>
      <c r="J186" t="s">
        <v>68</v>
      </c>
      <c r="K186" t="s">
        <v>68</v>
      </c>
      <c r="L186" t="s">
        <v>3991</v>
      </c>
      <c r="M186" t="s">
        <v>34</v>
      </c>
      <c r="N186" t="s">
        <v>4337</v>
      </c>
      <c r="O186" t="s">
        <v>500</v>
      </c>
    </row>
    <row r="187" spans="1:15" x14ac:dyDescent="0.25">
      <c r="A187" t="s">
        <v>3972</v>
      </c>
      <c r="B187" t="s">
        <v>3973</v>
      </c>
      <c r="C187" t="s">
        <v>3974</v>
      </c>
      <c r="E187" s="13">
        <v>46073</v>
      </c>
      <c r="F187" t="s">
        <v>4029</v>
      </c>
      <c r="G187">
        <v>30</v>
      </c>
      <c r="H187" t="s">
        <v>15</v>
      </c>
      <c r="I187" t="s">
        <v>3594</v>
      </c>
      <c r="J187" t="s">
        <v>30</v>
      </c>
      <c r="K187" t="s">
        <v>3896</v>
      </c>
      <c r="L187">
        <v>3338</v>
      </c>
      <c r="M187" t="s">
        <v>34</v>
      </c>
      <c r="N187" t="s">
        <v>4337</v>
      </c>
      <c r="O187" t="s">
        <v>500</v>
      </c>
    </row>
    <row r="188" spans="1:15" x14ac:dyDescent="0.25">
      <c r="A188" t="s">
        <v>3972</v>
      </c>
      <c r="B188" t="s">
        <v>3973</v>
      </c>
      <c r="C188" t="s">
        <v>3974</v>
      </c>
      <c r="E188" s="13">
        <v>46073</v>
      </c>
      <c r="F188" t="s">
        <v>4030</v>
      </c>
      <c r="G188">
        <v>30</v>
      </c>
      <c r="H188" t="s">
        <v>15</v>
      </c>
      <c r="I188" t="s">
        <v>3594</v>
      </c>
      <c r="J188" t="s">
        <v>30</v>
      </c>
      <c r="K188" t="s">
        <v>3896</v>
      </c>
      <c r="L188">
        <v>3353</v>
      </c>
      <c r="M188" t="s">
        <v>34</v>
      </c>
      <c r="N188" t="s">
        <v>4337</v>
      </c>
      <c r="O188" t="s">
        <v>500</v>
      </c>
    </row>
    <row r="189" spans="1:15" x14ac:dyDescent="0.25">
      <c r="A189" t="s">
        <v>3972</v>
      </c>
      <c r="B189" t="s">
        <v>3973</v>
      </c>
      <c r="C189" t="s">
        <v>3974</v>
      </c>
      <c r="E189" s="13">
        <v>46073</v>
      </c>
      <c r="F189" t="s">
        <v>4031</v>
      </c>
      <c r="G189">
        <v>30</v>
      </c>
      <c r="H189" t="s">
        <v>15</v>
      </c>
      <c r="I189" t="s">
        <v>3594</v>
      </c>
      <c r="J189" t="s">
        <v>30</v>
      </c>
      <c r="K189" t="s">
        <v>3896</v>
      </c>
      <c r="L189" t="s">
        <v>3991</v>
      </c>
      <c r="M189" t="s">
        <v>34</v>
      </c>
      <c r="N189" t="s">
        <v>4337</v>
      </c>
      <c r="O189" t="s">
        <v>500</v>
      </c>
    </row>
    <row r="190" spans="1:15" x14ac:dyDescent="0.25">
      <c r="A190" t="s">
        <v>3972</v>
      </c>
      <c r="B190" t="s">
        <v>3973</v>
      </c>
      <c r="C190" t="s">
        <v>3974</v>
      </c>
      <c r="E190" s="13">
        <v>46084</v>
      </c>
      <c r="F190" t="s">
        <v>4032</v>
      </c>
      <c r="G190">
        <v>18.989999999999998</v>
      </c>
      <c r="H190" t="s">
        <v>15</v>
      </c>
      <c r="I190" t="s">
        <v>21</v>
      </c>
      <c r="J190" t="s">
        <v>111</v>
      </c>
      <c r="L190">
        <v>3369</v>
      </c>
      <c r="M190" t="s">
        <v>34</v>
      </c>
      <c r="N190" t="s">
        <v>4337</v>
      </c>
      <c r="O190" t="s">
        <v>500</v>
      </c>
    </row>
    <row r="191" spans="1:15" x14ac:dyDescent="0.25">
      <c r="A191" t="s">
        <v>3972</v>
      </c>
      <c r="B191" t="s">
        <v>3973</v>
      </c>
      <c r="C191" t="s">
        <v>3974</v>
      </c>
      <c r="E191" s="13">
        <v>46084</v>
      </c>
      <c r="F191" t="s">
        <v>4033</v>
      </c>
      <c r="G191">
        <v>35.53</v>
      </c>
      <c r="H191" t="s">
        <v>15</v>
      </c>
      <c r="I191" t="s">
        <v>16</v>
      </c>
      <c r="J191" t="s">
        <v>4034</v>
      </c>
      <c r="L191">
        <v>3369</v>
      </c>
      <c r="M191" t="s">
        <v>34</v>
      </c>
      <c r="N191" t="s">
        <v>4337</v>
      </c>
      <c r="O191" t="s">
        <v>500</v>
      </c>
    </row>
    <row r="192" spans="1:15" x14ac:dyDescent="0.25">
      <c r="A192" t="s">
        <v>3972</v>
      </c>
      <c r="B192" t="s">
        <v>3973</v>
      </c>
      <c r="C192" t="s">
        <v>3974</v>
      </c>
      <c r="E192" s="13">
        <v>46084</v>
      </c>
      <c r="F192" t="s">
        <v>4035</v>
      </c>
      <c r="G192">
        <v>8</v>
      </c>
      <c r="H192" t="s">
        <v>15</v>
      </c>
      <c r="I192" t="s">
        <v>3922</v>
      </c>
      <c r="J192" t="s">
        <v>93</v>
      </c>
      <c r="L192">
        <v>3369</v>
      </c>
      <c r="M192" t="s">
        <v>34</v>
      </c>
      <c r="N192" t="s">
        <v>4337</v>
      </c>
      <c r="O192" t="s">
        <v>500</v>
      </c>
    </row>
    <row r="193" spans="1:15" x14ac:dyDescent="0.25">
      <c r="A193" t="s">
        <v>3972</v>
      </c>
      <c r="B193" t="s">
        <v>3973</v>
      </c>
      <c r="C193" t="s">
        <v>3974</v>
      </c>
      <c r="E193" s="13">
        <v>46084</v>
      </c>
      <c r="F193" t="s">
        <v>4002</v>
      </c>
      <c r="G193">
        <v>6.76</v>
      </c>
      <c r="H193" t="s">
        <v>15</v>
      </c>
      <c r="I193" t="s">
        <v>16</v>
      </c>
      <c r="J193" t="s">
        <v>3600</v>
      </c>
      <c r="L193">
        <v>3369</v>
      </c>
      <c r="M193" t="s">
        <v>34</v>
      </c>
      <c r="N193" t="s">
        <v>4337</v>
      </c>
      <c r="O193" t="s">
        <v>500</v>
      </c>
    </row>
    <row r="194" spans="1:15" x14ac:dyDescent="0.25">
      <c r="A194" t="s">
        <v>3972</v>
      </c>
      <c r="B194" t="s">
        <v>3973</v>
      </c>
      <c r="C194" t="s">
        <v>3974</v>
      </c>
      <c r="E194" s="13">
        <v>46083</v>
      </c>
      <c r="F194" t="s">
        <v>4002</v>
      </c>
      <c r="G194">
        <v>11.72</v>
      </c>
      <c r="H194" t="s">
        <v>15</v>
      </c>
      <c r="I194" t="s">
        <v>16</v>
      </c>
      <c r="J194" t="s">
        <v>3598</v>
      </c>
      <c r="L194">
        <v>3369</v>
      </c>
      <c r="M194" t="s">
        <v>34</v>
      </c>
      <c r="N194" t="s">
        <v>4337</v>
      </c>
      <c r="O194" t="s">
        <v>500</v>
      </c>
    </row>
    <row r="195" spans="1:15" x14ac:dyDescent="0.25">
      <c r="A195" t="s">
        <v>3972</v>
      </c>
      <c r="B195" t="s">
        <v>3973</v>
      </c>
      <c r="C195" t="s">
        <v>3974</v>
      </c>
      <c r="E195" s="13">
        <v>46083</v>
      </c>
      <c r="F195" t="s">
        <v>4002</v>
      </c>
      <c r="G195">
        <v>6.67</v>
      </c>
      <c r="H195" t="s">
        <v>15</v>
      </c>
      <c r="I195" t="s">
        <v>16</v>
      </c>
      <c r="J195" t="s">
        <v>3672</v>
      </c>
      <c r="L195">
        <v>3369</v>
      </c>
      <c r="M195" t="s">
        <v>34</v>
      </c>
      <c r="N195" t="s">
        <v>4337</v>
      </c>
      <c r="O195" t="s">
        <v>500</v>
      </c>
    </row>
    <row r="196" spans="1:15" x14ac:dyDescent="0.25">
      <c r="A196" t="s">
        <v>3972</v>
      </c>
      <c r="B196" t="s">
        <v>3973</v>
      </c>
      <c r="C196" t="s">
        <v>3974</v>
      </c>
      <c r="E196" s="13">
        <v>46084</v>
      </c>
      <c r="F196" t="s">
        <v>4002</v>
      </c>
      <c r="G196">
        <v>34.35</v>
      </c>
      <c r="H196" t="s">
        <v>15</v>
      </c>
      <c r="I196" t="s">
        <v>16</v>
      </c>
      <c r="J196" t="s">
        <v>4036</v>
      </c>
      <c r="L196">
        <v>3369</v>
      </c>
      <c r="M196" t="s">
        <v>34</v>
      </c>
      <c r="N196" t="s">
        <v>4337</v>
      </c>
      <c r="O196" t="s">
        <v>500</v>
      </c>
    </row>
    <row r="197" spans="1:15" x14ac:dyDescent="0.25">
      <c r="A197" t="s">
        <v>3972</v>
      </c>
      <c r="B197" t="s">
        <v>3973</v>
      </c>
      <c r="C197" t="s">
        <v>3974</v>
      </c>
      <c r="E197" s="13">
        <v>46084</v>
      </c>
      <c r="F197" t="s">
        <v>4037</v>
      </c>
      <c r="G197">
        <v>396.12</v>
      </c>
      <c r="H197" t="s">
        <v>15</v>
      </c>
      <c r="I197" t="s">
        <v>3864</v>
      </c>
      <c r="J197" t="s">
        <v>4036</v>
      </c>
      <c r="L197">
        <v>3369</v>
      </c>
      <c r="M197" t="s">
        <v>34</v>
      </c>
      <c r="N197" t="s">
        <v>4337</v>
      </c>
      <c r="O197" t="s">
        <v>500</v>
      </c>
    </row>
    <row r="198" spans="1:15" x14ac:dyDescent="0.25">
      <c r="A198" t="s">
        <v>4038</v>
      </c>
      <c r="C198" t="s">
        <v>4039</v>
      </c>
      <c r="E198" s="13">
        <v>46062</v>
      </c>
      <c r="F198" t="s">
        <v>4040</v>
      </c>
      <c r="G198">
        <v>13.21</v>
      </c>
      <c r="H198" t="s">
        <v>15</v>
      </c>
      <c r="I198" t="s">
        <v>16</v>
      </c>
      <c r="J198" t="s">
        <v>1056</v>
      </c>
      <c r="L198">
        <v>3354</v>
      </c>
      <c r="M198" t="s">
        <v>34</v>
      </c>
      <c r="N198" t="s">
        <v>4337</v>
      </c>
      <c r="O198" t="s">
        <v>468</v>
      </c>
    </row>
    <row r="199" spans="1:15" x14ac:dyDescent="0.25">
      <c r="A199" t="s">
        <v>4038</v>
      </c>
      <c r="C199" t="s">
        <v>4039</v>
      </c>
      <c r="E199" s="13">
        <v>46062</v>
      </c>
      <c r="F199" t="s">
        <v>4040</v>
      </c>
      <c r="G199">
        <v>46.64</v>
      </c>
      <c r="H199" t="s">
        <v>15</v>
      </c>
      <c r="I199" t="s">
        <v>16</v>
      </c>
      <c r="J199" t="s">
        <v>4041</v>
      </c>
      <c r="L199">
        <v>3354</v>
      </c>
      <c r="M199" t="s">
        <v>34</v>
      </c>
      <c r="N199" t="s">
        <v>4337</v>
      </c>
      <c r="O199" t="s">
        <v>468</v>
      </c>
    </row>
    <row r="200" spans="1:15" x14ac:dyDescent="0.25">
      <c r="A200" t="s">
        <v>4038</v>
      </c>
      <c r="C200" t="s">
        <v>4039</v>
      </c>
      <c r="E200" s="13">
        <v>46061</v>
      </c>
      <c r="F200" t="s">
        <v>4042</v>
      </c>
      <c r="G200">
        <v>1693.87</v>
      </c>
      <c r="H200" t="s">
        <v>15</v>
      </c>
      <c r="I200" t="s">
        <v>3864</v>
      </c>
      <c r="J200" t="s">
        <v>207</v>
      </c>
      <c r="L200">
        <v>3501</v>
      </c>
      <c r="M200" t="s">
        <v>34</v>
      </c>
      <c r="N200" t="s">
        <v>4337</v>
      </c>
      <c r="O200" t="s">
        <v>468</v>
      </c>
    </row>
    <row r="201" spans="1:15" x14ac:dyDescent="0.25">
      <c r="A201" t="s">
        <v>4038</v>
      </c>
      <c r="C201" t="s">
        <v>4039</v>
      </c>
      <c r="E201" s="13">
        <v>46060</v>
      </c>
      <c r="F201" t="s">
        <v>3899</v>
      </c>
      <c r="G201">
        <v>2.97</v>
      </c>
      <c r="H201" t="s">
        <v>15</v>
      </c>
      <c r="I201" t="s">
        <v>16</v>
      </c>
      <c r="J201" t="s">
        <v>55</v>
      </c>
      <c r="L201">
        <v>1008</v>
      </c>
      <c r="M201" t="s">
        <v>34</v>
      </c>
      <c r="N201" t="s">
        <v>4337</v>
      </c>
      <c r="O201" t="s">
        <v>468</v>
      </c>
    </row>
    <row r="202" spans="1:15" x14ac:dyDescent="0.25">
      <c r="A202" t="s">
        <v>4038</v>
      </c>
      <c r="C202" t="s">
        <v>4039</v>
      </c>
      <c r="E202" s="13">
        <v>46059</v>
      </c>
      <c r="F202" t="s">
        <v>3899</v>
      </c>
      <c r="G202">
        <v>-14.24</v>
      </c>
      <c r="H202" t="s">
        <v>15</v>
      </c>
      <c r="I202" t="s">
        <v>16</v>
      </c>
      <c r="J202" t="s">
        <v>602</v>
      </c>
      <c r="L202">
        <v>1008</v>
      </c>
      <c r="M202" t="s">
        <v>34</v>
      </c>
      <c r="N202" t="s">
        <v>4337</v>
      </c>
      <c r="O202" t="s">
        <v>468</v>
      </c>
    </row>
    <row r="203" spans="1:15" x14ac:dyDescent="0.25">
      <c r="A203" t="s">
        <v>4038</v>
      </c>
      <c r="C203" t="s">
        <v>4039</v>
      </c>
      <c r="E203" s="13">
        <v>46059</v>
      </c>
      <c r="F203" t="s">
        <v>3899</v>
      </c>
      <c r="G203">
        <v>14.24</v>
      </c>
      <c r="H203" t="s">
        <v>15</v>
      </c>
      <c r="I203" t="s">
        <v>16</v>
      </c>
      <c r="J203" t="s">
        <v>55</v>
      </c>
      <c r="L203">
        <v>1008</v>
      </c>
      <c r="M203" t="s">
        <v>34</v>
      </c>
      <c r="N203" t="s">
        <v>4337</v>
      </c>
      <c r="O203" t="s">
        <v>468</v>
      </c>
    </row>
    <row r="204" spans="1:15" x14ac:dyDescent="0.25">
      <c r="A204" t="s">
        <v>4038</v>
      </c>
      <c r="C204" t="s">
        <v>4039</v>
      </c>
      <c r="E204" s="13">
        <v>46058</v>
      </c>
      <c r="F204" t="s">
        <v>3593</v>
      </c>
      <c r="G204">
        <v>21.94</v>
      </c>
      <c r="H204" t="s">
        <v>15</v>
      </c>
      <c r="I204" t="s">
        <v>21</v>
      </c>
      <c r="J204" t="s">
        <v>111</v>
      </c>
      <c r="L204">
        <v>3500</v>
      </c>
      <c r="M204" t="s">
        <v>34</v>
      </c>
      <c r="N204" t="s">
        <v>4337</v>
      </c>
      <c r="O204" t="s">
        <v>468</v>
      </c>
    </row>
    <row r="205" spans="1:15" x14ac:dyDescent="0.25">
      <c r="A205" t="s">
        <v>4038</v>
      </c>
      <c r="C205" t="s">
        <v>4039</v>
      </c>
      <c r="E205" s="13">
        <v>46058</v>
      </c>
      <c r="F205" t="s">
        <v>3899</v>
      </c>
      <c r="G205">
        <v>-24.73</v>
      </c>
      <c r="H205" t="s">
        <v>15</v>
      </c>
      <c r="I205" t="s">
        <v>16</v>
      </c>
      <c r="J205" t="s">
        <v>602</v>
      </c>
      <c r="L205">
        <v>1008</v>
      </c>
      <c r="M205" t="s">
        <v>34</v>
      </c>
      <c r="N205" t="s">
        <v>4337</v>
      </c>
      <c r="O205" t="s">
        <v>468</v>
      </c>
    </row>
    <row r="206" spans="1:15" x14ac:dyDescent="0.25">
      <c r="A206" t="s">
        <v>4038</v>
      </c>
      <c r="C206" t="s">
        <v>4039</v>
      </c>
      <c r="E206" s="13">
        <v>46058</v>
      </c>
      <c r="F206" t="s">
        <v>3899</v>
      </c>
      <c r="G206">
        <v>24.73</v>
      </c>
      <c r="H206" t="s">
        <v>15</v>
      </c>
      <c r="I206" t="s">
        <v>16</v>
      </c>
      <c r="J206" t="s">
        <v>55</v>
      </c>
      <c r="L206">
        <v>1008</v>
      </c>
      <c r="M206" t="s">
        <v>34</v>
      </c>
      <c r="N206" t="s">
        <v>4337</v>
      </c>
      <c r="O206" t="s">
        <v>468</v>
      </c>
    </row>
    <row r="207" spans="1:15" x14ac:dyDescent="0.25">
      <c r="A207" t="s">
        <v>4038</v>
      </c>
      <c r="C207" t="s">
        <v>4039</v>
      </c>
      <c r="E207" s="13">
        <v>46064</v>
      </c>
      <c r="F207" t="s">
        <v>4043</v>
      </c>
      <c r="G207">
        <v>37.979999999999997</v>
      </c>
      <c r="H207" t="s">
        <v>15</v>
      </c>
      <c r="I207" t="s">
        <v>21</v>
      </c>
      <c r="J207" t="s">
        <v>111</v>
      </c>
      <c r="L207">
        <v>3431</v>
      </c>
      <c r="M207" t="s">
        <v>34</v>
      </c>
      <c r="N207" t="s">
        <v>4337</v>
      </c>
      <c r="O207" t="s">
        <v>468</v>
      </c>
    </row>
    <row r="208" spans="1:15" x14ac:dyDescent="0.25">
      <c r="A208" t="s">
        <v>4038</v>
      </c>
      <c r="C208" t="s">
        <v>4039</v>
      </c>
      <c r="E208" s="13">
        <v>46070</v>
      </c>
      <c r="F208" t="s">
        <v>4044</v>
      </c>
      <c r="G208">
        <v>20.149999999999999</v>
      </c>
      <c r="H208" t="s">
        <v>15</v>
      </c>
      <c r="I208" t="s">
        <v>16</v>
      </c>
      <c r="J208" t="s">
        <v>4045</v>
      </c>
      <c r="L208">
        <v>3501</v>
      </c>
      <c r="M208" t="s">
        <v>34</v>
      </c>
      <c r="N208" t="s">
        <v>4337</v>
      </c>
      <c r="O208" t="s">
        <v>468</v>
      </c>
    </row>
    <row r="209" spans="1:15" x14ac:dyDescent="0.25">
      <c r="A209" t="s">
        <v>4038</v>
      </c>
      <c r="C209" t="s">
        <v>4039</v>
      </c>
      <c r="E209" s="13">
        <v>46071</v>
      </c>
      <c r="F209" t="s">
        <v>4044</v>
      </c>
      <c r="G209">
        <v>17.260000000000002</v>
      </c>
      <c r="H209" t="s">
        <v>15</v>
      </c>
      <c r="I209" t="s">
        <v>16</v>
      </c>
      <c r="J209" t="s">
        <v>4046</v>
      </c>
      <c r="L209">
        <v>3501</v>
      </c>
      <c r="M209" t="s">
        <v>34</v>
      </c>
      <c r="N209" t="s">
        <v>4337</v>
      </c>
      <c r="O209" t="s">
        <v>468</v>
      </c>
    </row>
    <row r="210" spans="1:15" x14ac:dyDescent="0.25">
      <c r="A210" t="s">
        <v>4038</v>
      </c>
      <c r="C210" t="s">
        <v>4039</v>
      </c>
      <c r="E210" s="13">
        <v>46071</v>
      </c>
      <c r="F210" t="s">
        <v>4044</v>
      </c>
      <c r="G210">
        <v>5.35</v>
      </c>
      <c r="H210" t="s">
        <v>15</v>
      </c>
      <c r="I210" t="s">
        <v>16</v>
      </c>
      <c r="J210" t="s">
        <v>4047</v>
      </c>
      <c r="L210">
        <v>3501</v>
      </c>
      <c r="M210" t="s">
        <v>34</v>
      </c>
      <c r="N210" t="s">
        <v>4337</v>
      </c>
      <c r="O210" t="s">
        <v>468</v>
      </c>
    </row>
    <row r="211" spans="1:15" x14ac:dyDescent="0.25">
      <c r="A211" t="s">
        <v>4038</v>
      </c>
      <c r="C211" t="s">
        <v>4039</v>
      </c>
      <c r="E211" s="13">
        <v>46072</v>
      </c>
      <c r="F211" t="s">
        <v>4044</v>
      </c>
      <c r="G211">
        <v>57.36</v>
      </c>
      <c r="H211" t="s">
        <v>15</v>
      </c>
      <c r="I211" t="s">
        <v>16</v>
      </c>
      <c r="J211" t="s">
        <v>4048</v>
      </c>
      <c r="L211">
        <v>3501</v>
      </c>
      <c r="M211" t="s">
        <v>34</v>
      </c>
      <c r="N211" t="s">
        <v>4337</v>
      </c>
      <c r="O211" t="s">
        <v>468</v>
      </c>
    </row>
    <row r="212" spans="1:15" x14ac:dyDescent="0.25">
      <c r="A212" t="s">
        <v>4038</v>
      </c>
      <c r="C212" t="s">
        <v>4039</v>
      </c>
      <c r="E212" s="13">
        <v>46070</v>
      </c>
      <c r="F212" t="s">
        <v>4044</v>
      </c>
      <c r="G212">
        <v>12.19</v>
      </c>
      <c r="H212" t="s">
        <v>15</v>
      </c>
      <c r="I212" t="s">
        <v>16</v>
      </c>
      <c r="J212" t="s">
        <v>4047</v>
      </c>
      <c r="L212">
        <v>3501</v>
      </c>
      <c r="M212" t="s">
        <v>34</v>
      </c>
      <c r="N212" t="s">
        <v>4337</v>
      </c>
      <c r="O212" t="s">
        <v>468</v>
      </c>
    </row>
    <row r="213" spans="1:15" x14ac:dyDescent="0.25">
      <c r="A213" t="s">
        <v>4038</v>
      </c>
      <c r="C213" t="s">
        <v>4039</v>
      </c>
      <c r="E213" s="13">
        <v>46071</v>
      </c>
      <c r="F213" t="s">
        <v>4044</v>
      </c>
      <c r="G213">
        <v>11.27</v>
      </c>
      <c r="H213" t="s">
        <v>15</v>
      </c>
      <c r="I213" t="s">
        <v>16</v>
      </c>
      <c r="J213" t="s">
        <v>4049</v>
      </c>
      <c r="L213">
        <v>3501</v>
      </c>
      <c r="M213" t="s">
        <v>34</v>
      </c>
      <c r="N213" t="s">
        <v>4337</v>
      </c>
      <c r="O213" t="s">
        <v>468</v>
      </c>
    </row>
    <row r="214" spans="1:15" x14ac:dyDescent="0.25">
      <c r="A214" t="s">
        <v>4038</v>
      </c>
      <c r="C214" t="s">
        <v>4039</v>
      </c>
      <c r="E214" s="13">
        <v>46069</v>
      </c>
      <c r="F214" t="s">
        <v>4050</v>
      </c>
      <c r="G214">
        <v>2058.66</v>
      </c>
      <c r="H214" t="s">
        <v>15</v>
      </c>
      <c r="I214" t="s">
        <v>3594</v>
      </c>
      <c r="J214" t="s">
        <v>70</v>
      </c>
      <c r="L214">
        <v>3431</v>
      </c>
      <c r="M214" t="s">
        <v>34</v>
      </c>
      <c r="N214" t="s">
        <v>4337</v>
      </c>
      <c r="O214" t="s">
        <v>468</v>
      </c>
    </row>
    <row r="215" spans="1:15" x14ac:dyDescent="0.25">
      <c r="A215" t="s">
        <v>4038</v>
      </c>
      <c r="C215" t="s">
        <v>4039</v>
      </c>
      <c r="E215" s="13">
        <v>46067</v>
      </c>
      <c r="F215" t="s">
        <v>3899</v>
      </c>
      <c r="G215">
        <v>-2.39</v>
      </c>
      <c r="H215" t="s">
        <v>15</v>
      </c>
      <c r="I215" t="s">
        <v>16</v>
      </c>
      <c r="J215" t="s">
        <v>602</v>
      </c>
      <c r="L215">
        <v>1008</v>
      </c>
      <c r="M215" t="s">
        <v>34</v>
      </c>
      <c r="N215" t="s">
        <v>4337</v>
      </c>
      <c r="O215" t="s">
        <v>468</v>
      </c>
    </row>
    <row r="216" spans="1:15" x14ac:dyDescent="0.25">
      <c r="A216" t="s">
        <v>4038</v>
      </c>
      <c r="C216" t="s">
        <v>4039</v>
      </c>
      <c r="E216" s="13">
        <v>46067</v>
      </c>
      <c r="F216" t="s">
        <v>3899</v>
      </c>
      <c r="G216">
        <v>2.39</v>
      </c>
      <c r="H216" t="s">
        <v>15</v>
      </c>
      <c r="I216" t="s">
        <v>16</v>
      </c>
      <c r="J216" t="s">
        <v>55</v>
      </c>
      <c r="L216">
        <v>1008</v>
      </c>
      <c r="M216" t="s">
        <v>34</v>
      </c>
      <c r="N216" t="s">
        <v>4337</v>
      </c>
      <c r="O216" t="s">
        <v>468</v>
      </c>
    </row>
    <row r="217" spans="1:15" x14ac:dyDescent="0.25">
      <c r="A217" t="s">
        <v>4038</v>
      </c>
      <c r="C217" t="s">
        <v>4039</v>
      </c>
      <c r="E217" s="13">
        <v>46065</v>
      </c>
      <c r="F217" t="s">
        <v>4051</v>
      </c>
      <c r="G217">
        <v>21.38</v>
      </c>
      <c r="H217" t="s">
        <v>15</v>
      </c>
      <c r="I217" t="s">
        <v>16</v>
      </c>
      <c r="J217" t="s">
        <v>207</v>
      </c>
      <c r="L217">
        <v>3501</v>
      </c>
      <c r="M217" t="s">
        <v>34</v>
      </c>
      <c r="N217" t="s">
        <v>4337</v>
      </c>
      <c r="O217" t="s">
        <v>468</v>
      </c>
    </row>
    <row r="218" spans="1:15" x14ac:dyDescent="0.25">
      <c r="A218" t="s">
        <v>4038</v>
      </c>
      <c r="C218" t="s">
        <v>4039</v>
      </c>
      <c r="E218" s="13">
        <v>46065</v>
      </c>
      <c r="F218" t="s">
        <v>4051</v>
      </c>
      <c r="G218">
        <v>22.6</v>
      </c>
      <c r="H218" t="s">
        <v>15</v>
      </c>
      <c r="I218" t="s">
        <v>16</v>
      </c>
      <c r="J218" t="s">
        <v>207</v>
      </c>
      <c r="L218">
        <v>3501</v>
      </c>
      <c r="M218" t="s">
        <v>34</v>
      </c>
      <c r="N218" t="s">
        <v>4337</v>
      </c>
      <c r="O218" t="s">
        <v>468</v>
      </c>
    </row>
    <row r="219" spans="1:15" x14ac:dyDescent="0.25">
      <c r="A219" t="s">
        <v>4038</v>
      </c>
      <c r="C219" t="s">
        <v>4039</v>
      </c>
      <c r="E219" s="13">
        <v>46065</v>
      </c>
      <c r="F219" t="s">
        <v>4052</v>
      </c>
      <c r="G219">
        <v>158</v>
      </c>
      <c r="H219" t="s">
        <v>15</v>
      </c>
      <c r="I219" t="s">
        <v>16</v>
      </c>
      <c r="J219" t="s">
        <v>936</v>
      </c>
      <c r="L219">
        <v>3501</v>
      </c>
      <c r="M219" t="s">
        <v>34</v>
      </c>
      <c r="N219" t="s">
        <v>4337</v>
      </c>
      <c r="O219" t="s">
        <v>468</v>
      </c>
    </row>
    <row r="220" spans="1:15" x14ac:dyDescent="0.25">
      <c r="A220" t="s">
        <v>4038</v>
      </c>
      <c r="C220" t="s">
        <v>4039</v>
      </c>
      <c r="E220" s="13">
        <v>46064</v>
      </c>
      <c r="F220" t="s">
        <v>4053</v>
      </c>
      <c r="G220">
        <v>25.98</v>
      </c>
      <c r="H220" t="s">
        <v>15</v>
      </c>
      <c r="I220" t="s">
        <v>21</v>
      </c>
      <c r="J220" t="s">
        <v>111</v>
      </c>
      <c r="L220">
        <v>3501</v>
      </c>
      <c r="M220" t="s">
        <v>34</v>
      </c>
      <c r="N220" t="s">
        <v>4337</v>
      </c>
      <c r="O220" t="s">
        <v>468</v>
      </c>
    </row>
    <row r="221" spans="1:15" x14ac:dyDescent="0.25">
      <c r="A221" t="s">
        <v>4038</v>
      </c>
      <c r="C221" t="s">
        <v>4039</v>
      </c>
      <c r="E221" s="13">
        <v>46063</v>
      </c>
      <c r="F221" t="s">
        <v>4040</v>
      </c>
      <c r="G221">
        <v>24.38</v>
      </c>
      <c r="H221" t="s">
        <v>15</v>
      </c>
      <c r="I221" t="s">
        <v>16</v>
      </c>
      <c r="J221" t="s">
        <v>4054</v>
      </c>
      <c r="L221">
        <v>3354</v>
      </c>
      <c r="M221" t="s">
        <v>34</v>
      </c>
      <c r="N221" t="s">
        <v>4337</v>
      </c>
      <c r="O221" t="s">
        <v>468</v>
      </c>
    </row>
    <row r="222" spans="1:15" x14ac:dyDescent="0.25">
      <c r="A222" t="s">
        <v>4038</v>
      </c>
      <c r="C222" t="s">
        <v>4039</v>
      </c>
      <c r="E222" s="13">
        <v>46063</v>
      </c>
      <c r="F222" t="s">
        <v>4040</v>
      </c>
      <c r="G222">
        <v>96.87</v>
      </c>
      <c r="H222" t="s">
        <v>15</v>
      </c>
      <c r="I222" t="s">
        <v>16</v>
      </c>
      <c r="J222" t="s">
        <v>4055</v>
      </c>
      <c r="L222">
        <v>3354</v>
      </c>
      <c r="M222" t="s">
        <v>34</v>
      </c>
      <c r="N222" t="s">
        <v>4337</v>
      </c>
      <c r="O222" t="s">
        <v>468</v>
      </c>
    </row>
    <row r="223" spans="1:15" x14ac:dyDescent="0.25">
      <c r="A223" t="s">
        <v>4038</v>
      </c>
      <c r="C223" t="s">
        <v>4039</v>
      </c>
      <c r="E223" s="13">
        <v>46072</v>
      </c>
      <c r="F223" t="s">
        <v>4056</v>
      </c>
      <c r="G223">
        <v>50.98</v>
      </c>
      <c r="H223" t="s">
        <v>15</v>
      </c>
      <c r="I223" t="s">
        <v>21</v>
      </c>
      <c r="J223" t="s">
        <v>111</v>
      </c>
      <c r="L223">
        <v>3501</v>
      </c>
      <c r="M223" t="s">
        <v>34</v>
      </c>
      <c r="N223" t="s">
        <v>4337</v>
      </c>
      <c r="O223" t="s">
        <v>468</v>
      </c>
    </row>
    <row r="224" spans="1:15" x14ac:dyDescent="0.25">
      <c r="A224" t="s">
        <v>4038</v>
      </c>
      <c r="C224" t="s">
        <v>4039</v>
      </c>
      <c r="E224" s="13">
        <v>46071</v>
      </c>
      <c r="F224" t="s">
        <v>4057</v>
      </c>
      <c r="G224">
        <v>48.98</v>
      </c>
      <c r="H224" t="s">
        <v>15</v>
      </c>
      <c r="I224" t="s">
        <v>21</v>
      </c>
      <c r="J224" t="s">
        <v>111</v>
      </c>
      <c r="L224">
        <v>3501</v>
      </c>
      <c r="M224" t="s">
        <v>34</v>
      </c>
      <c r="N224" t="s">
        <v>4337</v>
      </c>
      <c r="O224" t="s">
        <v>468</v>
      </c>
    </row>
    <row r="225" spans="1:15" x14ac:dyDescent="0.25">
      <c r="A225" t="s">
        <v>4038</v>
      </c>
      <c r="C225" t="s">
        <v>4039</v>
      </c>
      <c r="E225" s="13">
        <v>46070</v>
      </c>
      <c r="F225" t="s">
        <v>4058</v>
      </c>
      <c r="G225">
        <v>145</v>
      </c>
      <c r="H225" t="s">
        <v>15</v>
      </c>
      <c r="I225" t="s">
        <v>21</v>
      </c>
      <c r="J225" t="s">
        <v>104</v>
      </c>
      <c r="L225">
        <v>3431</v>
      </c>
      <c r="M225" t="s">
        <v>34</v>
      </c>
      <c r="N225" t="s">
        <v>4337</v>
      </c>
      <c r="O225" t="s">
        <v>468</v>
      </c>
    </row>
    <row r="226" spans="1:15" x14ac:dyDescent="0.25">
      <c r="A226" t="s">
        <v>4038</v>
      </c>
      <c r="C226" t="s">
        <v>4039</v>
      </c>
      <c r="E226" s="13">
        <v>46069</v>
      </c>
      <c r="F226" t="s">
        <v>4059</v>
      </c>
      <c r="G226">
        <v>30</v>
      </c>
      <c r="H226" t="s">
        <v>15</v>
      </c>
      <c r="I226" t="s">
        <v>3594</v>
      </c>
      <c r="J226" t="s">
        <v>30</v>
      </c>
      <c r="K226" t="s">
        <v>3879</v>
      </c>
      <c r="L226">
        <v>3431</v>
      </c>
      <c r="M226" t="s">
        <v>34</v>
      </c>
      <c r="N226" t="s">
        <v>4337</v>
      </c>
      <c r="O226" t="s">
        <v>468</v>
      </c>
    </row>
    <row r="227" spans="1:15" x14ac:dyDescent="0.25">
      <c r="A227" t="s">
        <v>4038</v>
      </c>
      <c r="C227" t="s">
        <v>4039</v>
      </c>
      <c r="E227" s="13">
        <v>46081</v>
      </c>
      <c r="F227" t="s">
        <v>3899</v>
      </c>
      <c r="G227">
        <v>16.170000000000002</v>
      </c>
      <c r="H227" t="s">
        <v>15</v>
      </c>
      <c r="I227" t="s">
        <v>16</v>
      </c>
      <c r="J227" t="s">
        <v>55</v>
      </c>
      <c r="L227">
        <v>1008</v>
      </c>
      <c r="M227" t="s">
        <v>34</v>
      </c>
      <c r="N227" t="s">
        <v>4337</v>
      </c>
      <c r="O227" t="s">
        <v>468</v>
      </c>
    </row>
    <row r="228" spans="1:15" x14ac:dyDescent="0.25">
      <c r="A228" t="s">
        <v>4038</v>
      </c>
      <c r="C228" t="s">
        <v>4039</v>
      </c>
      <c r="E228" s="13">
        <v>46081</v>
      </c>
      <c r="F228" t="s">
        <v>3899</v>
      </c>
      <c r="G228">
        <v>2.39</v>
      </c>
      <c r="H228" t="s">
        <v>15</v>
      </c>
      <c r="I228" t="s">
        <v>16</v>
      </c>
      <c r="J228" t="s">
        <v>55</v>
      </c>
      <c r="L228">
        <v>1008</v>
      </c>
      <c r="M228" t="s">
        <v>34</v>
      </c>
      <c r="N228" t="s">
        <v>4337</v>
      </c>
      <c r="O228" t="s">
        <v>468</v>
      </c>
    </row>
    <row r="229" spans="1:15" x14ac:dyDescent="0.25">
      <c r="A229" t="s">
        <v>4038</v>
      </c>
      <c r="C229" t="s">
        <v>4039</v>
      </c>
      <c r="E229" s="13">
        <v>46080</v>
      </c>
      <c r="F229" t="s">
        <v>4060</v>
      </c>
      <c r="G229">
        <v>145</v>
      </c>
      <c r="H229" t="s">
        <v>15</v>
      </c>
      <c r="I229" t="s">
        <v>21</v>
      </c>
      <c r="J229" t="s">
        <v>104</v>
      </c>
      <c r="L229">
        <v>1035</v>
      </c>
      <c r="M229" t="s">
        <v>34</v>
      </c>
      <c r="N229" t="s">
        <v>4337</v>
      </c>
      <c r="O229" t="s">
        <v>468</v>
      </c>
    </row>
    <row r="230" spans="1:15" x14ac:dyDescent="0.25">
      <c r="A230" t="s">
        <v>4038</v>
      </c>
      <c r="C230" t="s">
        <v>4039</v>
      </c>
      <c r="E230" s="13">
        <v>46074</v>
      </c>
      <c r="F230" t="s">
        <v>4061</v>
      </c>
      <c r="G230">
        <v>145</v>
      </c>
      <c r="H230" t="s">
        <v>15</v>
      </c>
      <c r="I230" t="s">
        <v>21</v>
      </c>
      <c r="J230" t="s">
        <v>104</v>
      </c>
      <c r="L230">
        <v>1035</v>
      </c>
      <c r="M230" t="s">
        <v>34</v>
      </c>
      <c r="N230" t="s">
        <v>4337</v>
      </c>
      <c r="O230" t="s">
        <v>468</v>
      </c>
    </row>
    <row r="231" spans="1:15" x14ac:dyDescent="0.25">
      <c r="A231" t="s">
        <v>4038</v>
      </c>
      <c r="C231" t="s">
        <v>4039</v>
      </c>
      <c r="E231" s="13">
        <v>46073</v>
      </c>
      <c r="F231" t="s">
        <v>3881</v>
      </c>
      <c r="G231">
        <v>28.35</v>
      </c>
      <c r="H231" t="s">
        <v>15</v>
      </c>
      <c r="I231" t="s">
        <v>16</v>
      </c>
      <c r="J231" t="s">
        <v>4062</v>
      </c>
      <c r="L231">
        <v>1035</v>
      </c>
      <c r="M231" t="s">
        <v>34</v>
      </c>
      <c r="N231" t="s">
        <v>4337</v>
      </c>
      <c r="O231" t="s">
        <v>468</v>
      </c>
    </row>
    <row r="232" spans="1:15" x14ac:dyDescent="0.25">
      <c r="A232" t="s">
        <v>4038</v>
      </c>
      <c r="C232" t="s">
        <v>4039</v>
      </c>
      <c r="E232" s="13">
        <v>46064</v>
      </c>
      <c r="F232" t="s">
        <v>4051</v>
      </c>
      <c r="G232">
        <v>12.81</v>
      </c>
      <c r="H232" t="s">
        <v>15</v>
      </c>
      <c r="I232" t="s">
        <v>16</v>
      </c>
      <c r="J232" t="s">
        <v>1056</v>
      </c>
      <c r="L232">
        <v>3501</v>
      </c>
      <c r="M232" t="s">
        <v>34</v>
      </c>
      <c r="N232" t="s">
        <v>4337</v>
      </c>
      <c r="O232" t="s">
        <v>468</v>
      </c>
    </row>
    <row r="233" spans="1:15" x14ac:dyDescent="0.25">
      <c r="A233" t="s">
        <v>4038</v>
      </c>
      <c r="C233" t="s">
        <v>4039</v>
      </c>
      <c r="E233" s="13">
        <v>46073</v>
      </c>
      <c r="F233" t="s">
        <v>3881</v>
      </c>
      <c r="G233">
        <v>5.29</v>
      </c>
      <c r="H233" t="s">
        <v>15</v>
      </c>
      <c r="I233" t="s">
        <v>16</v>
      </c>
      <c r="J233" t="s">
        <v>3600</v>
      </c>
      <c r="L233">
        <v>1035</v>
      </c>
      <c r="M233" t="s">
        <v>34</v>
      </c>
      <c r="N233" t="s">
        <v>4337</v>
      </c>
      <c r="O233" t="s">
        <v>468</v>
      </c>
    </row>
    <row r="234" spans="1:15" x14ac:dyDescent="0.25">
      <c r="A234" t="s">
        <v>4038</v>
      </c>
      <c r="C234" t="s">
        <v>4039</v>
      </c>
      <c r="E234" s="13">
        <v>46073</v>
      </c>
      <c r="F234" t="s">
        <v>3881</v>
      </c>
      <c r="G234">
        <v>44.61</v>
      </c>
      <c r="H234" t="s">
        <v>15</v>
      </c>
      <c r="I234" t="s">
        <v>16</v>
      </c>
      <c r="J234" t="s">
        <v>4063</v>
      </c>
      <c r="L234">
        <v>1035</v>
      </c>
      <c r="M234" t="s">
        <v>34</v>
      </c>
      <c r="N234" t="s">
        <v>4337</v>
      </c>
      <c r="O234" t="s">
        <v>468</v>
      </c>
    </row>
    <row r="235" spans="1:15" x14ac:dyDescent="0.25">
      <c r="A235" t="s">
        <v>4038</v>
      </c>
      <c r="C235" t="s">
        <v>4039</v>
      </c>
      <c r="E235" s="13">
        <v>46072</v>
      </c>
      <c r="F235" t="s">
        <v>4064</v>
      </c>
      <c r="G235">
        <v>145</v>
      </c>
      <c r="H235" t="s">
        <v>15</v>
      </c>
      <c r="I235" t="s">
        <v>21</v>
      </c>
      <c r="J235" t="s">
        <v>104</v>
      </c>
      <c r="L235">
        <v>3501</v>
      </c>
      <c r="M235" t="s">
        <v>34</v>
      </c>
      <c r="N235" t="s">
        <v>4337</v>
      </c>
      <c r="O235" t="s">
        <v>468</v>
      </c>
    </row>
    <row r="236" spans="1:15" x14ac:dyDescent="0.25">
      <c r="A236" t="s">
        <v>4038</v>
      </c>
      <c r="C236" t="s">
        <v>4039</v>
      </c>
      <c r="E236" s="13">
        <v>46072</v>
      </c>
      <c r="F236" t="s">
        <v>4065</v>
      </c>
      <c r="G236">
        <v>410.13</v>
      </c>
      <c r="H236" t="s">
        <v>15</v>
      </c>
      <c r="I236" t="s">
        <v>3864</v>
      </c>
      <c r="J236" t="s">
        <v>4066</v>
      </c>
      <c r="L236">
        <v>3431</v>
      </c>
      <c r="M236" t="s">
        <v>34</v>
      </c>
      <c r="N236" t="s">
        <v>4337</v>
      </c>
      <c r="O236" t="s">
        <v>468</v>
      </c>
    </row>
    <row r="237" spans="1:15" x14ac:dyDescent="0.25">
      <c r="A237" t="s">
        <v>4038</v>
      </c>
      <c r="C237" t="s">
        <v>4039</v>
      </c>
      <c r="E237" s="13">
        <v>46081</v>
      </c>
      <c r="F237" t="s">
        <v>3899</v>
      </c>
      <c r="G237">
        <v>-2.39</v>
      </c>
      <c r="H237" t="s">
        <v>15</v>
      </c>
      <c r="I237" t="s">
        <v>16</v>
      </c>
      <c r="J237" t="s">
        <v>602</v>
      </c>
      <c r="L237">
        <v>1008</v>
      </c>
      <c r="M237" t="s">
        <v>34</v>
      </c>
      <c r="N237" t="s">
        <v>4337</v>
      </c>
      <c r="O237" t="s">
        <v>468</v>
      </c>
    </row>
    <row r="238" spans="1:15" x14ac:dyDescent="0.25">
      <c r="A238" t="s">
        <v>4038</v>
      </c>
      <c r="C238" t="s">
        <v>4039</v>
      </c>
      <c r="E238" s="13">
        <v>46081</v>
      </c>
      <c r="F238" t="s">
        <v>3899</v>
      </c>
      <c r="G238">
        <v>-16.170000000000002</v>
      </c>
      <c r="H238" t="s">
        <v>15</v>
      </c>
      <c r="I238" t="s">
        <v>16</v>
      </c>
      <c r="J238" t="s">
        <v>602</v>
      </c>
      <c r="L238">
        <v>1008</v>
      </c>
      <c r="M238" t="s">
        <v>34</v>
      </c>
      <c r="N238" t="s">
        <v>4337</v>
      </c>
      <c r="O238" t="s">
        <v>468</v>
      </c>
    </row>
    <row r="239" spans="1:15" x14ac:dyDescent="0.25">
      <c r="A239" t="s">
        <v>4038</v>
      </c>
      <c r="C239" t="s">
        <v>4039</v>
      </c>
      <c r="E239" s="13">
        <v>46086</v>
      </c>
      <c r="F239" t="s">
        <v>3899</v>
      </c>
      <c r="G239">
        <v>5.73</v>
      </c>
      <c r="H239" t="s">
        <v>15</v>
      </c>
      <c r="I239" t="s">
        <v>16</v>
      </c>
      <c r="J239" t="s">
        <v>55</v>
      </c>
      <c r="L239">
        <v>1008</v>
      </c>
      <c r="M239" t="s">
        <v>34</v>
      </c>
      <c r="N239" t="s">
        <v>4337</v>
      </c>
      <c r="O239" t="s">
        <v>468</v>
      </c>
    </row>
    <row r="240" spans="1:15" x14ac:dyDescent="0.25">
      <c r="A240" t="s">
        <v>4038</v>
      </c>
      <c r="C240" t="s">
        <v>4039</v>
      </c>
      <c r="E240" s="13">
        <v>46086</v>
      </c>
      <c r="F240" t="s">
        <v>3899</v>
      </c>
      <c r="G240">
        <v>-5.73</v>
      </c>
      <c r="H240" t="s">
        <v>15</v>
      </c>
      <c r="I240" t="s">
        <v>16</v>
      </c>
      <c r="J240" t="s">
        <v>1225</v>
      </c>
      <c r="L240">
        <v>1008</v>
      </c>
      <c r="M240" t="s">
        <v>34</v>
      </c>
      <c r="N240" t="s">
        <v>4337</v>
      </c>
      <c r="O240" t="s">
        <v>468</v>
      </c>
    </row>
    <row r="241" spans="1:15" x14ac:dyDescent="0.25">
      <c r="A241" t="s">
        <v>4038</v>
      </c>
      <c r="C241" t="s">
        <v>4039</v>
      </c>
      <c r="E241" s="13">
        <v>46085</v>
      </c>
      <c r="F241" t="s">
        <v>3899</v>
      </c>
      <c r="G241">
        <v>-3.43</v>
      </c>
      <c r="H241" t="s">
        <v>15</v>
      </c>
      <c r="I241" t="s">
        <v>64</v>
      </c>
      <c r="J241" t="s">
        <v>1225</v>
      </c>
      <c r="L241">
        <v>1008</v>
      </c>
      <c r="M241" t="s">
        <v>34</v>
      </c>
      <c r="N241" t="s">
        <v>4337</v>
      </c>
      <c r="O241" t="s">
        <v>468</v>
      </c>
    </row>
    <row r="242" spans="1:15" x14ac:dyDescent="0.25">
      <c r="A242" t="s">
        <v>4038</v>
      </c>
      <c r="C242" t="s">
        <v>4039</v>
      </c>
      <c r="E242" s="13">
        <v>46085</v>
      </c>
      <c r="F242" t="s">
        <v>3899</v>
      </c>
      <c r="G242">
        <v>3.43</v>
      </c>
      <c r="H242" t="s">
        <v>15</v>
      </c>
      <c r="I242" t="s">
        <v>16</v>
      </c>
      <c r="J242" t="s">
        <v>55</v>
      </c>
      <c r="L242">
        <v>1008</v>
      </c>
      <c r="M242" t="s">
        <v>34</v>
      </c>
      <c r="N242" t="s">
        <v>4337</v>
      </c>
      <c r="O242" t="s">
        <v>468</v>
      </c>
    </row>
    <row r="243" spans="1:15" x14ac:dyDescent="0.25">
      <c r="A243" t="s">
        <v>4038</v>
      </c>
      <c r="C243" t="s">
        <v>4039</v>
      </c>
      <c r="E243" s="13">
        <v>46084</v>
      </c>
      <c r="F243" t="s">
        <v>4067</v>
      </c>
      <c r="G243">
        <v>1859.68</v>
      </c>
      <c r="H243" t="s">
        <v>15</v>
      </c>
      <c r="I243" t="s">
        <v>3864</v>
      </c>
      <c r="J243" t="s">
        <v>3603</v>
      </c>
      <c r="L243">
        <v>3501</v>
      </c>
      <c r="M243" t="s">
        <v>34</v>
      </c>
      <c r="N243" t="s">
        <v>4337</v>
      </c>
      <c r="O243" t="s">
        <v>468</v>
      </c>
    </row>
    <row r="244" spans="1:15" x14ac:dyDescent="0.25">
      <c r="A244" t="s">
        <v>4038</v>
      </c>
      <c r="C244" t="s">
        <v>4039</v>
      </c>
      <c r="E244" s="13">
        <v>46084</v>
      </c>
      <c r="F244" t="s">
        <v>4068</v>
      </c>
      <c r="G244">
        <v>396.1</v>
      </c>
      <c r="H244" t="s">
        <v>15</v>
      </c>
      <c r="I244" t="s">
        <v>3594</v>
      </c>
      <c r="J244" t="s">
        <v>70</v>
      </c>
      <c r="K244" t="s">
        <v>3879</v>
      </c>
      <c r="L244">
        <v>3501</v>
      </c>
      <c r="M244" t="s">
        <v>34</v>
      </c>
      <c r="N244" t="s">
        <v>4337</v>
      </c>
      <c r="O244" t="s">
        <v>468</v>
      </c>
    </row>
    <row r="245" spans="1:15" x14ac:dyDescent="0.25">
      <c r="A245" t="s">
        <v>4038</v>
      </c>
      <c r="C245" t="s">
        <v>4039</v>
      </c>
      <c r="E245" s="13">
        <v>46084</v>
      </c>
      <c r="F245" t="s">
        <v>4069</v>
      </c>
      <c r="G245">
        <v>1181.8</v>
      </c>
      <c r="H245" t="s">
        <v>15</v>
      </c>
      <c r="I245" t="s">
        <v>3594</v>
      </c>
      <c r="J245" t="s">
        <v>47</v>
      </c>
      <c r="K245" t="s">
        <v>3966</v>
      </c>
      <c r="L245">
        <v>3500</v>
      </c>
      <c r="M245" t="s">
        <v>34</v>
      </c>
      <c r="N245" t="s">
        <v>4337</v>
      </c>
      <c r="O245" t="s">
        <v>468</v>
      </c>
    </row>
    <row r="246" spans="1:15" x14ac:dyDescent="0.25">
      <c r="A246" t="s">
        <v>4038</v>
      </c>
      <c r="C246" t="s">
        <v>4039</v>
      </c>
      <c r="E246" s="13">
        <v>46084</v>
      </c>
      <c r="F246" t="s">
        <v>4070</v>
      </c>
      <c r="G246">
        <v>30</v>
      </c>
      <c r="H246" t="s">
        <v>15</v>
      </c>
      <c r="I246" t="s">
        <v>3594</v>
      </c>
      <c r="J246" t="s">
        <v>30</v>
      </c>
      <c r="K246" t="s">
        <v>3966</v>
      </c>
      <c r="L246">
        <v>3500</v>
      </c>
      <c r="M246" t="s">
        <v>34</v>
      </c>
      <c r="N246" t="s">
        <v>4337</v>
      </c>
      <c r="O246" t="s">
        <v>468</v>
      </c>
    </row>
    <row r="247" spans="1:15" x14ac:dyDescent="0.25">
      <c r="A247" t="s">
        <v>4038</v>
      </c>
      <c r="C247" t="s">
        <v>4039</v>
      </c>
      <c r="E247" s="13">
        <v>46084</v>
      </c>
      <c r="F247" t="s">
        <v>4071</v>
      </c>
      <c r="G247">
        <v>503.4</v>
      </c>
      <c r="H247" t="s">
        <v>15</v>
      </c>
      <c r="I247" t="s">
        <v>3594</v>
      </c>
      <c r="J247" t="s">
        <v>47</v>
      </c>
      <c r="K247" t="s">
        <v>3966</v>
      </c>
      <c r="L247">
        <v>3399</v>
      </c>
      <c r="M247" t="s">
        <v>34</v>
      </c>
      <c r="N247" t="s">
        <v>4337</v>
      </c>
      <c r="O247" t="s">
        <v>468</v>
      </c>
    </row>
    <row r="248" spans="1:15" x14ac:dyDescent="0.25">
      <c r="A248" t="s">
        <v>4038</v>
      </c>
      <c r="C248" t="s">
        <v>4039</v>
      </c>
      <c r="E248" s="13">
        <v>46087</v>
      </c>
      <c r="F248" t="s">
        <v>3899</v>
      </c>
      <c r="G248">
        <v>-2.0499999999999998</v>
      </c>
      <c r="H248" t="s">
        <v>15</v>
      </c>
      <c r="I248" t="s">
        <v>16</v>
      </c>
      <c r="J248" t="s">
        <v>1225</v>
      </c>
      <c r="L248">
        <v>1008</v>
      </c>
      <c r="M248" t="s">
        <v>34</v>
      </c>
      <c r="N248" t="s">
        <v>4337</v>
      </c>
      <c r="O248" t="s">
        <v>468</v>
      </c>
    </row>
    <row r="249" spans="1:15" x14ac:dyDescent="0.25">
      <c r="A249" t="s">
        <v>4038</v>
      </c>
      <c r="C249" t="s">
        <v>4039</v>
      </c>
      <c r="E249" s="13">
        <v>46087</v>
      </c>
      <c r="F249" t="s">
        <v>3899</v>
      </c>
      <c r="G249">
        <v>3.26</v>
      </c>
      <c r="H249" t="s">
        <v>15</v>
      </c>
      <c r="I249" t="s">
        <v>16</v>
      </c>
      <c r="J249" t="s">
        <v>55</v>
      </c>
      <c r="L249">
        <v>1008</v>
      </c>
      <c r="M249" t="s">
        <v>34</v>
      </c>
      <c r="N249" t="s">
        <v>4337</v>
      </c>
      <c r="O249" t="s">
        <v>468</v>
      </c>
    </row>
    <row r="250" spans="1:15" x14ac:dyDescent="0.25">
      <c r="A250" t="s">
        <v>4038</v>
      </c>
      <c r="C250" t="s">
        <v>4039</v>
      </c>
      <c r="E250" s="13">
        <v>46084</v>
      </c>
      <c r="F250" t="s">
        <v>4072</v>
      </c>
      <c r="G250">
        <v>30</v>
      </c>
      <c r="H250" t="s">
        <v>15</v>
      </c>
      <c r="I250" t="s">
        <v>3594</v>
      </c>
      <c r="J250" t="s">
        <v>30</v>
      </c>
      <c r="K250" t="s">
        <v>3966</v>
      </c>
      <c r="L250">
        <v>3501</v>
      </c>
      <c r="M250" t="s">
        <v>34</v>
      </c>
      <c r="N250" t="s">
        <v>4337</v>
      </c>
      <c r="O250" t="s">
        <v>468</v>
      </c>
    </row>
    <row r="251" spans="1:15" x14ac:dyDescent="0.25">
      <c r="A251" t="s">
        <v>4038</v>
      </c>
      <c r="C251" t="s">
        <v>4039</v>
      </c>
      <c r="E251" s="13">
        <v>46084</v>
      </c>
      <c r="F251" t="s">
        <v>4073</v>
      </c>
      <c r="G251">
        <v>30</v>
      </c>
      <c r="H251" t="s">
        <v>15</v>
      </c>
      <c r="I251" t="s">
        <v>3594</v>
      </c>
      <c r="J251" t="s">
        <v>30</v>
      </c>
      <c r="K251" t="s">
        <v>3966</v>
      </c>
      <c r="L251">
        <v>3399</v>
      </c>
      <c r="M251" t="s">
        <v>34</v>
      </c>
      <c r="N251" t="s">
        <v>4337</v>
      </c>
      <c r="O251" t="s">
        <v>468</v>
      </c>
    </row>
    <row r="252" spans="1:15" x14ac:dyDescent="0.25">
      <c r="A252" t="s">
        <v>4038</v>
      </c>
      <c r="C252" t="s">
        <v>4039</v>
      </c>
      <c r="E252" s="13">
        <v>46064</v>
      </c>
      <c r="F252" t="s">
        <v>4051</v>
      </c>
      <c r="G252">
        <v>45</v>
      </c>
      <c r="H252" t="s">
        <v>15</v>
      </c>
      <c r="I252" t="s">
        <v>16</v>
      </c>
      <c r="J252" t="s">
        <v>4074</v>
      </c>
      <c r="L252">
        <v>3501</v>
      </c>
      <c r="M252" t="s">
        <v>34</v>
      </c>
      <c r="N252" t="s">
        <v>4337</v>
      </c>
      <c r="O252" t="s">
        <v>468</v>
      </c>
    </row>
    <row r="253" spans="1:15" x14ac:dyDescent="0.25">
      <c r="A253" t="s">
        <v>4038</v>
      </c>
      <c r="C253" t="s">
        <v>4039</v>
      </c>
      <c r="E253" s="13">
        <v>46084</v>
      </c>
      <c r="F253" t="s">
        <v>4075</v>
      </c>
      <c r="G253">
        <v>490.04</v>
      </c>
      <c r="H253" t="s">
        <v>15</v>
      </c>
      <c r="I253" t="s">
        <v>3864</v>
      </c>
      <c r="J253" t="s">
        <v>4076</v>
      </c>
      <c r="L253">
        <v>3399</v>
      </c>
      <c r="M253" t="s">
        <v>34</v>
      </c>
      <c r="N253" t="s">
        <v>4337</v>
      </c>
      <c r="O253" t="s">
        <v>468</v>
      </c>
    </row>
    <row r="254" spans="1:15" x14ac:dyDescent="0.25">
      <c r="A254" t="s">
        <v>4038</v>
      </c>
      <c r="C254" t="s">
        <v>4039</v>
      </c>
      <c r="E254" s="13">
        <v>46081</v>
      </c>
      <c r="F254" t="s">
        <v>4077</v>
      </c>
      <c r="G254">
        <v>884.43</v>
      </c>
      <c r="H254" t="s">
        <v>15</v>
      </c>
      <c r="I254" t="s">
        <v>3864</v>
      </c>
      <c r="J254" t="s">
        <v>825</v>
      </c>
      <c r="L254">
        <v>3500</v>
      </c>
      <c r="M254" t="s">
        <v>34</v>
      </c>
      <c r="N254" t="s">
        <v>4337</v>
      </c>
      <c r="O254" t="s">
        <v>468</v>
      </c>
    </row>
    <row r="255" spans="1:15" x14ac:dyDescent="0.25">
      <c r="A255" t="s">
        <v>4078</v>
      </c>
      <c r="B255" t="s">
        <v>4079</v>
      </c>
      <c r="C255" t="s">
        <v>4080</v>
      </c>
      <c r="E255" s="13">
        <v>46065</v>
      </c>
      <c r="F255" t="s">
        <v>4081</v>
      </c>
      <c r="G255">
        <v>2420</v>
      </c>
      <c r="H255" t="s">
        <v>15</v>
      </c>
      <c r="I255" t="s">
        <v>4082</v>
      </c>
      <c r="J255" t="s">
        <v>2794</v>
      </c>
      <c r="L255">
        <v>6001</v>
      </c>
      <c r="M255" t="s">
        <v>3836</v>
      </c>
      <c r="N255" t="s">
        <v>4337</v>
      </c>
      <c r="O255" t="s">
        <v>524</v>
      </c>
    </row>
    <row r="256" spans="1:15" x14ac:dyDescent="0.25">
      <c r="A256" t="s">
        <v>4078</v>
      </c>
      <c r="B256" t="s">
        <v>4079</v>
      </c>
      <c r="C256" t="s">
        <v>4080</v>
      </c>
      <c r="E256" s="13">
        <v>46059</v>
      </c>
      <c r="F256" t="s">
        <v>4083</v>
      </c>
      <c r="G256">
        <v>103.99</v>
      </c>
      <c r="H256" t="s">
        <v>15</v>
      </c>
      <c r="I256" t="s">
        <v>21</v>
      </c>
      <c r="J256" t="s">
        <v>111</v>
      </c>
      <c r="L256">
        <v>6001</v>
      </c>
      <c r="M256" t="s">
        <v>3836</v>
      </c>
      <c r="N256" t="s">
        <v>4337</v>
      </c>
      <c r="O256" t="s">
        <v>524</v>
      </c>
    </row>
    <row r="257" spans="1:15" x14ac:dyDescent="0.25">
      <c r="A257" t="s">
        <v>4078</v>
      </c>
      <c r="B257" t="s">
        <v>4079</v>
      </c>
      <c r="C257" t="s">
        <v>4080</v>
      </c>
      <c r="E257" s="13">
        <v>46058</v>
      </c>
      <c r="F257" t="s">
        <v>4084</v>
      </c>
      <c r="G257">
        <v>-1176.96</v>
      </c>
      <c r="H257" t="s">
        <v>15</v>
      </c>
      <c r="I257" t="s">
        <v>3594</v>
      </c>
      <c r="J257" t="s">
        <v>70</v>
      </c>
      <c r="K257" t="s">
        <v>3879</v>
      </c>
      <c r="L257">
        <v>1035</v>
      </c>
      <c r="M257" t="s">
        <v>3836</v>
      </c>
      <c r="N257" t="s">
        <v>4337</v>
      </c>
      <c r="O257" t="s">
        <v>524</v>
      </c>
    </row>
    <row r="258" spans="1:15" x14ac:dyDescent="0.25">
      <c r="A258" t="s">
        <v>4078</v>
      </c>
      <c r="B258" t="s">
        <v>4079</v>
      </c>
      <c r="C258" t="s">
        <v>4080</v>
      </c>
      <c r="E258" s="13">
        <v>46057</v>
      </c>
      <c r="F258" t="s">
        <v>4085</v>
      </c>
      <c r="G258">
        <v>124.51</v>
      </c>
      <c r="H258" t="s">
        <v>15</v>
      </c>
      <c r="I258" t="s">
        <v>16</v>
      </c>
      <c r="J258" t="s">
        <v>54</v>
      </c>
      <c r="L258">
        <v>6001</v>
      </c>
      <c r="M258" t="s">
        <v>3836</v>
      </c>
      <c r="N258" t="s">
        <v>4337</v>
      </c>
      <c r="O258" t="s">
        <v>524</v>
      </c>
    </row>
    <row r="259" spans="1:15" x14ac:dyDescent="0.25">
      <c r="A259" t="s">
        <v>4078</v>
      </c>
      <c r="B259" t="s">
        <v>4079</v>
      </c>
      <c r="C259" t="s">
        <v>4080</v>
      </c>
      <c r="E259" s="13">
        <v>46059</v>
      </c>
      <c r="F259" t="s">
        <v>4086</v>
      </c>
      <c r="G259">
        <v>41.93</v>
      </c>
      <c r="H259" t="s">
        <v>15</v>
      </c>
      <c r="I259" t="s">
        <v>16</v>
      </c>
      <c r="J259" t="s">
        <v>173</v>
      </c>
      <c r="L259">
        <v>6001</v>
      </c>
      <c r="M259" t="s">
        <v>3836</v>
      </c>
      <c r="N259" t="s">
        <v>4337</v>
      </c>
      <c r="O259" t="s">
        <v>524</v>
      </c>
    </row>
    <row r="260" spans="1:15" x14ac:dyDescent="0.25">
      <c r="A260" t="s">
        <v>4078</v>
      </c>
      <c r="B260" t="s">
        <v>4079</v>
      </c>
      <c r="C260" t="s">
        <v>4080</v>
      </c>
      <c r="E260" s="13">
        <v>46059</v>
      </c>
      <c r="F260" t="s">
        <v>4087</v>
      </c>
      <c r="G260">
        <v>482.15</v>
      </c>
      <c r="H260" t="s">
        <v>15</v>
      </c>
      <c r="I260" t="s">
        <v>3864</v>
      </c>
      <c r="J260" t="s">
        <v>173</v>
      </c>
      <c r="L260">
        <v>6001</v>
      </c>
      <c r="M260" t="s">
        <v>3836</v>
      </c>
      <c r="N260" t="s">
        <v>4337</v>
      </c>
      <c r="O260" t="s">
        <v>524</v>
      </c>
    </row>
    <row r="261" spans="1:15" x14ac:dyDescent="0.25">
      <c r="A261" t="s">
        <v>4088</v>
      </c>
      <c r="C261" t="s">
        <v>4089</v>
      </c>
      <c r="E261" s="13">
        <v>46086</v>
      </c>
      <c r="F261" t="s">
        <v>4090</v>
      </c>
      <c r="G261">
        <v>173.98</v>
      </c>
      <c r="H261" t="s">
        <v>15</v>
      </c>
      <c r="I261" t="s">
        <v>21</v>
      </c>
      <c r="J261" t="s">
        <v>22</v>
      </c>
      <c r="L261">
        <v>1001</v>
      </c>
      <c r="M261" t="s">
        <v>4091</v>
      </c>
      <c r="N261" t="s">
        <v>4337</v>
      </c>
      <c r="O261" t="s">
        <v>433</v>
      </c>
    </row>
    <row r="262" spans="1:15" x14ac:dyDescent="0.25">
      <c r="A262" t="s">
        <v>4088</v>
      </c>
      <c r="C262" t="s">
        <v>4089</v>
      </c>
      <c r="E262" s="13">
        <v>46079</v>
      </c>
      <c r="F262" t="s">
        <v>4092</v>
      </c>
      <c r="G262">
        <v>52.26</v>
      </c>
      <c r="H262" t="s">
        <v>15</v>
      </c>
      <c r="I262" t="s">
        <v>4093</v>
      </c>
      <c r="J262" t="s">
        <v>935</v>
      </c>
      <c r="L262">
        <v>1008</v>
      </c>
      <c r="M262" t="s">
        <v>4091</v>
      </c>
      <c r="N262" t="s">
        <v>4337</v>
      </c>
      <c r="O262" t="s">
        <v>433</v>
      </c>
    </row>
    <row r="263" spans="1:15" x14ac:dyDescent="0.25">
      <c r="A263" t="s">
        <v>4088</v>
      </c>
      <c r="C263" t="s">
        <v>4089</v>
      </c>
      <c r="E263" s="13">
        <v>46066</v>
      </c>
      <c r="F263" t="s">
        <v>4094</v>
      </c>
      <c r="G263">
        <v>4.51</v>
      </c>
      <c r="H263" t="s">
        <v>15</v>
      </c>
      <c r="I263" t="s">
        <v>21</v>
      </c>
      <c r="J263" t="s">
        <v>22</v>
      </c>
      <c r="L263">
        <v>1001</v>
      </c>
      <c r="M263" t="s">
        <v>4091</v>
      </c>
      <c r="N263" t="s">
        <v>4337</v>
      </c>
      <c r="O263" t="s">
        <v>433</v>
      </c>
    </row>
    <row r="264" spans="1:15" x14ac:dyDescent="0.25">
      <c r="A264" t="s">
        <v>4088</v>
      </c>
      <c r="C264" t="s">
        <v>4089</v>
      </c>
      <c r="E264" s="13">
        <v>46066</v>
      </c>
      <c r="F264" t="s">
        <v>3593</v>
      </c>
      <c r="G264">
        <v>45.16</v>
      </c>
      <c r="H264" t="s">
        <v>15</v>
      </c>
      <c r="I264" t="s">
        <v>21</v>
      </c>
      <c r="J264" t="s">
        <v>22</v>
      </c>
      <c r="L264">
        <v>1001</v>
      </c>
      <c r="M264" t="s">
        <v>4091</v>
      </c>
      <c r="N264" t="s">
        <v>4337</v>
      </c>
      <c r="O264" t="s">
        <v>433</v>
      </c>
    </row>
    <row r="265" spans="1:15" x14ac:dyDescent="0.25">
      <c r="A265" t="s">
        <v>4095</v>
      </c>
      <c r="C265" t="s">
        <v>4096</v>
      </c>
      <c r="E265" s="13">
        <v>46060</v>
      </c>
      <c r="F265" t="s">
        <v>4097</v>
      </c>
      <c r="G265">
        <v>8.61</v>
      </c>
      <c r="H265" t="s">
        <v>15</v>
      </c>
      <c r="I265" t="s">
        <v>16</v>
      </c>
      <c r="J265" t="s">
        <v>4098</v>
      </c>
      <c r="L265">
        <v>6450</v>
      </c>
      <c r="M265" t="s">
        <v>3836</v>
      </c>
      <c r="N265" t="s">
        <v>4337</v>
      </c>
      <c r="O265" t="s">
        <v>543</v>
      </c>
    </row>
    <row r="266" spans="1:15" x14ac:dyDescent="0.25">
      <c r="A266" t="s">
        <v>4095</v>
      </c>
      <c r="C266" t="s">
        <v>4096</v>
      </c>
      <c r="E266" s="13">
        <v>46060</v>
      </c>
      <c r="F266" t="s">
        <v>4099</v>
      </c>
      <c r="G266">
        <v>22.35</v>
      </c>
      <c r="H266" t="s">
        <v>15</v>
      </c>
      <c r="I266" t="s">
        <v>21</v>
      </c>
      <c r="J266" t="s">
        <v>2554</v>
      </c>
      <c r="L266">
        <v>6450</v>
      </c>
      <c r="M266" t="s">
        <v>3836</v>
      </c>
      <c r="N266" t="s">
        <v>4337</v>
      </c>
      <c r="O266" t="s">
        <v>543</v>
      </c>
    </row>
    <row r="267" spans="1:15" x14ac:dyDescent="0.25">
      <c r="A267" t="s">
        <v>4095</v>
      </c>
      <c r="C267" t="s">
        <v>4096</v>
      </c>
      <c r="E267" s="13">
        <v>46060</v>
      </c>
      <c r="F267" t="s">
        <v>4100</v>
      </c>
      <c r="G267">
        <v>32.229999999999997</v>
      </c>
      <c r="H267" t="s">
        <v>15</v>
      </c>
      <c r="I267" t="s">
        <v>21</v>
      </c>
      <c r="J267" t="s">
        <v>3605</v>
      </c>
      <c r="L267">
        <v>6450</v>
      </c>
      <c r="M267" t="s">
        <v>3836</v>
      </c>
      <c r="N267" t="s">
        <v>4337</v>
      </c>
      <c r="O267" t="s">
        <v>543</v>
      </c>
    </row>
    <row r="268" spans="1:15" x14ac:dyDescent="0.25">
      <c r="A268" t="s">
        <v>4095</v>
      </c>
      <c r="C268" t="s">
        <v>4096</v>
      </c>
      <c r="E268" s="13">
        <v>46059</v>
      </c>
      <c r="F268" t="s">
        <v>4101</v>
      </c>
      <c r="G268">
        <v>22.58</v>
      </c>
      <c r="H268" t="s">
        <v>15</v>
      </c>
      <c r="I268" t="s">
        <v>21</v>
      </c>
      <c r="J268" t="s">
        <v>2554</v>
      </c>
      <c r="L268">
        <v>6450</v>
      </c>
      <c r="M268" t="s">
        <v>3836</v>
      </c>
      <c r="N268" t="s">
        <v>4337</v>
      </c>
      <c r="O268" t="s">
        <v>543</v>
      </c>
    </row>
    <row r="269" spans="1:15" x14ac:dyDescent="0.25">
      <c r="A269" t="s">
        <v>4095</v>
      </c>
      <c r="C269" t="s">
        <v>4096</v>
      </c>
      <c r="E269" s="13">
        <v>46055</v>
      </c>
      <c r="F269" t="s">
        <v>4102</v>
      </c>
      <c r="G269">
        <v>36.36</v>
      </c>
      <c r="H269" t="s">
        <v>15</v>
      </c>
      <c r="I269" t="s">
        <v>16</v>
      </c>
      <c r="J269" t="s">
        <v>1196</v>
      </c>
      <c r="K269" t="s">
        <v>4103</v>
      </c>
      <c r="L269">
        <v>6371</v>
      </c>
      <c r="M269" t="s">
        <v>3836</v>
      </c>
      <c r="N269" t="s">
        <v>4337</v>
      </c>
      <c r="O269" t="s">
        <v>543</v>
      </c>
    </row>
    <row r="270" spans="1:15" x14ac:dyDescent="0.25">
      <c r="A270" t="s">
        <v>4095</v>
      </c>
      <c r="C270" t="s">
        <v>4096</v>
      </c>
      <c r="E270" s="13">
        <v>46055</v>
      </c>
      <c r="F270" t="s">
        <v>4104</v>
      </c>
      <c r="G270">
        <v>5.95</v>
      </c>
      <c r="H270" t="s">
        <v>15</v>
      </c>
      <c r="I270" t="s">
        <v>64</v>
      </c>
      <c r="J270" t="s">
        <v>1196</v>
      </c>
      <c r="K270" t="s">
        <v>4103</v>
      </c>
      <c r="L270">
        <v>6371</v>
      </c>
      <c r="M270" t="s">
        <v>3836</v>
      </c>
      <c r="N270" t="s">
        <v>4337</v>
      </c>
      <c r="O270" t="s">
        <v>543</v>
      </c>
    </row>
    <row r="271" spans="1:15" x14ac:dyDescent="0.25">
      <c r="A271" t="s">
        <v>4095</v>
      </c>
      <c r="C271" t="s">
        <v>4096</v>
      </c>
      <c r="E271" s="13">
        <v>46056</v>
      </c>
      <c r="F271" t="s">
        <v>4104</v>
      </c>
      <c r="G271">
        <v>5.95</v>
      </c>
      <c r="H271" t="s">
        <v>15</v>
      </c>
      <c r="I271" t="s">
        <v>64</v>
      </c>
      <c r="J271" t="s">
        <v>1196</v>
      </c>
      <c r="K271" t="s">
        <v>4103</v>
      </c>
      <c r="L271">
        <v>6371</v>
      </c>
      <c r="M271" t="s">
        <v>3836</v>
      </c>
      <c r="N271" t="s">
        <v>4337</v>
      </c>
      <c r="O271" t="s">
        <v>543</v>
      </c>
    </row>
    <row r="272" spans="1:15" x14ac:dyDescent="0.25">
      <c r="A272" t="s">
        <v>4095</v>
      </c>
      <c r="C272" t="s">
        <v>4096</v>
      </c>
      <c r="E272" s="13">
        <v>46057</v>
      </c>
      <c r="F272" t="s">
        <v>4105</v>
      </c>
      <c r="G272">
        <v>580.04999999999995</v>
      </c>
      <c r="H272" t="s">
        <v>15</v>
      </c>
      <c r="I272" t="s">
        <v>3864</v>
      </c>
      <c r="J272" t="s">
        <v>1196</v>
      </c>
      <c r="K272" t="s">
        <v>4103</v>
      </c>
      <c r="L272">
        <v>6371</v>
      </c>
      <c r="M272" t="s">
        <v>3836</v>
      </c>
      <c r="N272" t="s">
        <v>4337</v>
      </c>
      <c r="O272" t="s">
        <v>543</v>
      </c>
    </row>
    <row r="273" spans="1:15" x14ac:dyDescent="0.25">
      <c r="A273" t="s">
        <v>4095</v>
      </c>
      <c r="C273" t="s">
        <v>4096</v>
      </c>
      <c r="E273" s="13">
        <v>46058</v>
      </c>
      <c r="F273" t="s">
        <v>4106</v>
      </c>
      <c r="G273">
        <v>124.78</v>
      </c>
      <c r="H273" t="s">
        <v>15</v>
      </c>
      <c r="I273" t="s">
        <v>16</v>
      </c>
      <c r="J273" t="s">
        <v>2556</v>
      </c>
      <c r="L273">
        <v>6450</v>
      </c>
      <c r="M273" t="s">
        <v>3836</v>
      </c>
      <c r="N273" t="s">
        <v>4337</v>
      </c>
      <c r="O273" t="s">
        <v>543</v>
      </c>
    </row>
    <row r="274" spans="1:15" x14ac:dyDescent="0.25">
      <c r="A274" t="s">
        <v>4095</v>
      </c>
      <c r="C274" t="s">
        <v>4096</v>
      </c>
      <c r="E274" s="13">
        <v>46059</v>
      </c>
      <c r="F274" t="s">
        <v>4107</v>
      </c>
      <c r="G274">
        <v>41.59</v>
      </c>
      <c r="H274" t="s">
        <v>15</v>
      </c>
      <c r="I274" t="s">
        <v>16</v>
      </c>
      <c r="J274" t="s">
        <v>2556</v>
      </c>
      <c r="L274">
        <v>6450</v>
      </c>
      <c r="M274" t="s">
        <v>3836</v>
      </c>
      <c r="N274" t="s">
        <v>4337</v>
      </c>
      <c r="O274" t="s">
        <v>543</v>
      </c>
    </row>
    <row r="275" spans="1:15" x14ac:dyDescent="0.25">
      <c r="A275" t="s">
        <v>4095</v>
      </c>
      <c r="C275" t="s">
        <v>4096</v>
      </c>
      <c r="E275" s="13">
        <v>46061</v>
      </c>
      <c r="F275" t="s">
        <v>4108</v>
      </c>
      <c r="G275">
        <v>230</v>
      </c>
      <c r="H275" t="s">
        <v>15</v>
      </c>
      <c r="I275" t="s">
        <v>3594</v>
      </c>
      <c r="J275" t="s">
        <v>93</v>
      </c>
      <c r="K275" t="s">
        <v>3896</v>
      </c>
      <c r="L275">
        <v>1035</v>
      </c>
      <c r="M275" t="s">
        <v>3836</v>
      </c>
      <c r="N275" t="s">
        <v>4337</v>
      </c>
      <c r="O275" t="s">
        <v>543</v>
      </c>
    </row>
    <row r="276" spans="1:15" x14ac:dyDescent="0.25">
      <c r="A276" t="s">
        <v>4095</v>
      </c>
      <c r="C276" t="s">
        <v>4096</v>
      </c>
      <c r="E276" s="13">
        <v>46061</v>
      </c>
      <c r="F276" t="s">
        <v>4108</v>
      </c>
      <c r="G276">
        <v>-851.3</v>
      </c>
      <c r="H276" t="s">
        <v>15</v>
      </c>
      <c r="I276" t="s">
        <v>3594</v>
      </c>
      <c r="J276" t="s">
        <v>93</v>
      </c>
      <c r="K276" t="s">
        <v>3896</v>
      </c>
      <c r="L276">
        <v>1035</v>
      </c>
      <c r="M276" t="s">
        <v>3836</v>
      </c>
      <c r="N276" t="s">
        <v>4337</v>
      </c>
      <c r="O276" t="s">
        <v>543</v>
      </c>
    </row>
    <row r="277" spans="1:15" x14ac:dyDescent="0.25">
      <c r="A277" t="s">
        <v>4095</v>
      </c>
      <c r="C277" t="s">
        <v>4096</v>
      </c>
      <c r="E277" s="13">
        <v>46063</v>
      </c>
      <c r="F277" t="s">
        <v>4105</v>
      </c>
      <c r="G277">
        <v>144.08000000000001</v>
      </c>
      <c r="H277" t="s">
        <v>15</v>
      </c>
      <c r="I277" t="s">
        <v>3864</v>
      </c>
      <c r="J277" t="s">
        <v>4109</v>
      </c>
      <c r="L277">
        <v>6371</v>
      </c>
      <c r="M277" t="s">
        <v>3836</v>
      </c>
      <c r="N277" t="s">
        <v>4337</v>
      </c>
      <c r="O277" t="s">
        <v>543</v>
      </c>
    </row>
    <row r="278" spans="1:15" x14ac:dyDescent="0.25">
      <c r="A278" t="s">
        <v>4095</v>
      </c>
      <c r="C278" t="s">
        <v>4096</v>
      </c>
      <c r="E278" s="13">
        <v>46065</v>
      </c>
      <c r="F278" t="s">
        <v>4110</v>
      </c>
      <c r="G278">
        <v>35.31</v>
      </c>
      <c r="H278" t="s">
        <v>15</v>
      </c>
      <c r="I278" t="s">
        <v>16</v>
      </c>
      <c r="J278" t="s">
        <v>4111</v>
      </c>
      <c r="L278">
        <v>6001</v>
      </c>
      <c r="M278" t="s">
        <v>3836</v>
      </c>
      <c r="N278" t="s">
        <v>4337</v>
      </c>
      <c r="O278" t="s">
        <v>543</v>
      </c>
    </row>
    <row r="279" spans="1:15" x14ac:dyDescent="0.25">
      <c r="A279" t="s">
        <v>4095</v>
      </c>
      <c r="C279" t="s">
        <v>4096</v>
      </c>
      <c r="E279" s="13">
        <v>46071</v>
      </c>
      <c r="F279" t="s">
        <v>4112</v>
      </c>
      <c r="G279">
        <v>164.09</v>
      </c>
      <c r="H279" t="s">
        <v>15</v>
      </c>
      <c r="I279" t="s">
        <v>21</v>
      </c>
      <c r="J279" t="s">
        <v>111</v>
      </c>
      <c r="L279">
        <v>1035</v>
      </c>
      <c r="M279" t="s">
        <v>3836</v>
      </c>
      <c r="N279" t="s">
        <v>4337</v>
      </c>
      <c r="O279" t="s">
        <v>543</v>
      </c>
    </row>
    <row r="280" spans="1:15" x14ac:dyDescent="0.25">
      <c r="A280" t="s">
        <v>4095</v>
      </c>
      <c r="C280" t="s">
        <v>4096</v>
      </c>
      <c r="E280" s="13">
        <v>46071</v>
      </c>
      <c r="F280" t="s">
        <v>4112</v>
      </c>
      <c r="G280">
        <v>10</v>
      </c>
      <c r="H280" t="s">
        <v>15</v>
      </c>
      <c r="I280" t="s">
        <v>21</v>
      </c>
      <c r="J280" t="s">
        <v>111</v>
      </c>
      <c r="L280">
        <v>1035</v>
      </c>
      <c r="M280" t="s">
        <v>3836</v>
      </c>
      <c r="N280" t="s">
        <v>4337</v>
      </c>
      <c r="O280" t="s">
        <v>543</v>
      </c>
    </row>
    <row r="281" spans="1:15" x14ac:dyDescent="0.25">
      <c r="A281" t="s">
        <v>4095</v>
      </c>
      <c r="C281" t="s">
        <v>4096</v>
      </c>
      <c r="E281" s="13">
        <v>46076</v>
      </c>
      <c r="F281" t="s">
        <v>4113</v>
      </c>
      <c r="G281">
        <v>37.130000000000003</v>
      </c>
      <c r="H281" t="s">
        <v>15</v>
      </c>
      <c r="I281" t="s">
        <v>16</v>
      </c>
      <c r="J281" t="s">
        <v>4114</v>
      </c>
      <c r="L281">
        <v>1035</v>
      </c>
      <c r="M281" t="s">
        <v>3836</v>
      </c>
      <c r="N281" t="s">
        <v>4337</v>
      </c>
      <c r="O281" t="s">
        <v>543</v>
      </c>
    </row>
    <row r="282" spans="1:15" x14ac:dyDescent="0.25">
      <c r="A282" t="s">
        <v>4095</v>
      </c>
      <c r="C282" t="s">
        <v>4096</v>
      </c>
      <c r="E282" s="13">
        <v>46075</v>
      </c>
      <c r="F282" t="s">
        <v>4115</v>
      </c>
      <c r="G282">
        <v>10</v>
      </c>
      <c r="H282" t="s">
        <v>15</v>
      </c>
      <c r="I282" t="s">
        <v>21</v>
      </c>
      <c r="J282" t="s">
        <v>111</v>
      </c>
      <c r="L282">
        <v>1035</v>
      </c>
      <c r="M282" t="s">
        <v>3836</v>
      </c>
      <c r="N282" t="s">
        <v>4337</v>
      </c>
      <c r="O282" t="s">
        <v>543</v>
      </c>
    </row>
    <row r="283" spans="1:15" x14ac:dyDescent="0.25">
      <c r="A283" t="s">
        <v>4095</v>
      </c>
      <c r="C283" t="s">
        <v>4096</v>
      </c>
      <c r="E283" s="13">
        <v>46075</v>
      </c>
      <c r="F283" t="s">
        <v>4115</v>
      </c>
      <c r="G283">
        <v>110.99</v>
      </c>
      <c r="H283" t="s">
        <v>15</v>
      </c>
      <c r="I283" t="s">
        <v>21</v>
      </c>
      <c r="J283" t="s">
        <v>111</v>
      </c>
      <c r="L283">
        <v>1035</v>
      </c>
      <c r="M283" t="s">
        <v>3836</v>
      </c>
      <c r="N283" t="s">
        <v>4337</v>
      </c>
      <c r="O283" t="s">
        <v>543</v>
      </c>
    </row>
    <row r="284" spans="1:15" x14ac:dyDescent="0.25">
      <c r="A284" t="s">
        <v>4095</v>
      </c>
      <c r="C284" t="s">
        <v>4096</v>
      </c>
      <c r="E284" s="13">
        <v>46080</v>
      </c>
      <c r="F284" t="s">
        <v>4112</v>
      </c>
      <c r="G284">
        <v>131.49</v>
      </c>
      <c r="H284" t="s">
        <v>15</v>
      </c>
      <c r="I284" t="s">
        <v>21</v>
      </c>
      <c r="J284" t="s">
        <v>111</v>
      </c>
      <c r="L284">
        <v>1035</v>
      </c>
      <c r="M284" t="s">
        <v>3836</v>
      </c>
      <c r="N284" t="s">
        <v>4337</v>
      </c>
      <c r="O284" t="s">
        <v>543</v>
      </c>
    </row>
    <row r="285" spans="1:15" x14ac:dyDescent="0.25">
      <c r="A285" t="s">
        <v>4095</v>
      </c>
      <c r="C285" t="s">
        <v>4096</v>
      </c>
      <c r="E285" s="13">
        <v>46080</v>
      </c>
      <c r="F285" t="s">
        <v>4112</v>
      </c>
      <c r="G285">
        <v>10</v>
      </c>
      <c r="H285" t="s">
        <v>15</v>
      </c>
      <c r="I285" t="s">
        <v>21</v>
      </c>
      <c r="J285" t="s">
        <v>111</v>
      </c>
      <c r="L285">
        <v>1035</v>
      </c>
      <c r="M285" t="s">
        <v>3836</v>
      </c>
      <c r="N285" t="s">
        <v>4337</v>
      </c>
      <c r="O285" t="s">
        <v>543</v>
      </c>
    </row>
    <row r="286" spans="1:15" x14ac:dyDescent="0.25">
      <c r="A286" t="s">
        <v>4095</v>
      </c>
      <c r="C286" t="s">
        <v>4096</v>
      </c>
      <c r="E286" s="13">
        <v>46079</v>
      </c>
      <c r="F286" t="s">
        <v>4113</v>
      </c>
      <c r="G286">
        <v>3.28</v>
      </c>
      <c r="H286" t="s">
        <v>15</v>
      </c>
      <c r="I286" t="s">
        <v>16</v>
      </c>
      <c r="J286" t="s">
        <v>4116</v>
      </c>
      <c r="L286">
        <v>1035</v>
      </c>
      <c r="M286" t="s">
        <v>3836</v>
      </c>
      <c r="N286" t="s">
        <v>4337</v>
      </c>
      <c r="O286" t="s">
        <v>543</v>
      </c>
    </row>
    <row r="287" spans="1:15" x14ac:dyDescent="0.25">
      <c r="A287" t="s">
        <v>4095</v>
      </c>
      <c r="C287" t="s">
        <v>4096</v>
      </c>
      <c r="E287" s="13">
        <v>46079</v>
      </c>
      <c r="F287" t="s">
        <v>4113</v>
      </c>
      <c r="G287">
        <v>19.54</v>
      </c>
      <c r="H287" t="s">
        <v>15</v>
      </c>
      <c r="I287" t="s">
        <v>16</v>
      </c>
      <c r="J287" t="s">
        <v>4117</v>
      </c>
      <c r="L287">
        <v>1035</v>
      </c>
      <c r="M287" t="s">
        <v>3836</v>
      </c>
      <c r="N287" t="s">
        <v>4337</v>
      </c>
      <c r="O287" t="s">
        <v>543</v>
      </c>
    </row>
    <row r="288" spans="1:15" x14ac:dyDescent="0.25">
      <c r="A288" t="s">
        <v>4118</v>
      </c>
      <c r="C288" t="s">
        <v>4119</v>
      </c>
      <c r="E288" s="13">
        <v>46058</v>
      </c>
      <c r="F288" t="s">
        <v>4120</v>
      </c>
      <c r="G288">
        <v>-1043.48</v>
      </c>
      <c r="H288" t="s">
        <v>15</v>
      </c>
      <c r="I288" t="s">
        <v>3594</v>
      </c>
      <c r="J288" t="s">
        <v>47</v>
      </c>
      <c r="L288">
        <v>1035</v>
      </c>
      <c r="M288" t="s">
        <v>3836</v>
      </c>
      <c r="N288" t="s">
        <v>4337</v>
      </c>
      <c r="O288" t="s">
        <v>530</v>
      </c>
    </row>
    <row r="289" spans="1:15" x14ac:dyDescent="0.25">
      <c r="A289" t="s">
        <v>4118</v>
      </c>
      <c r="C289" t="s">
        <v>4119</v>
      </c>
      <c r="E289" s="13">
        <v>46058</v>
      </c>
      <c r="F289" t="s">
        <v>4121</v>
      </c>
      <c r="G289">
        <v>-1652.16</v>
      </c>
      <c r="H289" t="s">
        <v>15</v>
      </c>
      <c r="I289" t="s">
        <v>3594</v>
      </c>
      <c r="J289" t="s">
        <v>32</v>
      </c>
      <c r="L289">
        <v>1035</v>
      </c>
      <c r="M289" t="s">
        <v>3836</v>
      </c>
      <c r="N289" t="s">
        <v>4337</v>
      </c>
      <c r="O289" t="s">
        <v>530</v>
      </c>
    </row>
    <row r="290" spans="1:15" x14ac:dyDescent="0.25">
      <c r="A290" t="s">
        <v>4118</v>
      </c>
      <c r="C290" t="s">
        <v>4119</v>
      </c>
      <c r="E290" s="13">
        <v>46059</v>
      </c>
      <c r="F290" t="s">
        <v>3899</v>
      </c>
      <c r="G290">
        <v>7.06</v>
      </c>
      <c r="H290" t="s">
        <v>15</v>
      </c>
      <c r="I290" t="s">
        <v>16</v>
      </c>
      <c r="J290" t="s">
        <v>55</v>
      </c>
      <c r="L290">
        <v>1008</v>
      </c>
      <c r="M290" t="s">
        <v>3836</v>
      </c>
      <c r="N290" t="s">
        <v>4337</v>
      </c>
      <c r="O290" t="s">
        <v>530</v>
      </c>
    </row>
    <row r="291" spans="1:15" x14ac:dyDescent="0.25">
      <c r="A291" t="s">
        <v>4118</v>
      </c>
      <c r="C291" t="s">
        <v>4119</v>
      </c>
      <c r="E291" s="13">
        <v>46058</v>
      </c>
      <c r="F291" t="s">
        <v>3899</v>
      </c>
      <c r="G291">
        <v>2.37</v>
      </c>
      <c r="H291" t="s">
        <v>15</v>
      </c>
      <c r="I291" t="s">
        <v>16</v>
      </c>
      <c r="J291" t="s">
        <v>55</v>
      </c>
      <c r="L291">
        <v>1008</v>
      </c>
      <c r="M291" t="s">
        <v>3836</v>
      </c>
      <c r="N291" t="s">
        <v>4337</v>
      </c>
      <c r="O291" t="s">
        <v>530</v>
      </c>
    </row>
    <row r="292" spans="1:15" x14ac:dyDescent="0.25">
      <c r="A292" t="s">
        <v>4118</v>
      </c>
      <c r="C292" t="s">
        <v>4119</v>
      </c>
      <c r="E292" s="13">
        <v>46076</v>
      </c>
      <c r="F292" t="s">
        <v>4122</v>
      </c>
      <c r="G292">
        <v>-1908.49</v>
      </c>
      <c r="H292" t="s">
        <v>15</v>
      </c>
      <c r="I292" t="s">
        <v>3594</v>
      </c>
      <c r="J292" t="s">
        <v>47</v>
      </c>
      <c r="L292">
        <v>1035</v>
      </c>
      <c r="M292" t="s">
        <v>3836</v>
      </c>
      <c r="N292" t="s">
        <v>4337</v>
      </c>
      <c r="O292" t="s">
        <v>530</v>
      </c>
    </row>
    <row r="293" spans="1:15" x14ac:dyDescent="0.25">
      <c r="A293" t="s">
        <v>4118</v>
      </c>
      <c r="C293" t="s">
        <v>4119</v>
      </c>
      <c r="E293" s="13">
        <v>46075</v>
      </c>
      <c r="F293" t="s">
        <v>4123</v>
      </c>
      <c r="G293">
        <v>30</v>
      </c>
      <c r="H293" t="s">
        <v>15</v>
      </c>
      <c r="I293" t="s">
        <v>3594</v>
      </c>
      <c r="J293" t="s">
        <v>30</v>
      </c>
      <c r="L293">
        <v>1035</v>
      </c>
      <c r="M293" t="s">
        <v>3836</v>
      </c>
      <c r="N293" t="s">
        <v>4337</v>
      </c>
      <c r="O293" t="s">
        <v>530</v>
      </c>
    </row>
    <row r="294" spans="1:15" x14ac:dyDescent="0.25">
      <c r="A294" t="s">
        <v>4118</v>
      </c>
      <c r="C294" t="s">
        <v>4119</v>
      </c>
      <c r="E294" s="13">
        <v>46072</v>
      </c>
      <c r="F294" t="s">
        <v>4124</v>
      </c>
      <c r="G294">
        <v>21.78</v>
      </c>
      <c r="H294" t="s">
        <v>15</v>
      </c>
      <c r="I294" t="s">
        <v>4093</v>
      </c>
      <c r="J294" t="s">
        <v>4125</v>
      </c>
      <c r="L294">
        <v>6001</v>
      </c>
      <c r="M294" t="s">
        <v>3836</v>
      </c>
      <c r="N294" t="s">
        <v>4337</v>
      </c>
      <c r="O294" t="s">
        <v>530</v>
      </c>
    </row>
    <row r="295" spans="1:15" x14ac:dyDescent="0.25">
      <c r="A295" t="s">
        <v>4118</v>
      </c>
      <c r="C295" t="s">
        <v>4119</v>
      </c>
      <c r="E295" s="13">
        <v>46071</v>
      </c>
      <c r="F295" t="s">
        <v>4124</v>
      </c>
      <c r="G295">
        <v>43.55</v>
      </c>
      <c r="H295" t="s">
        <v>15</v>
      </c>
      <c r="I295" t="s">
        <v>4093</v>
      </c>
      <c r="J295" t="s">
        <v>4125</v>
      </c>
      <c r="L295">
        <v>6001</v>
      </c>
      <c r="M295" t="s">
        <v>3836</v>
      </c>
      <c r="N295" t="s">
        <v>4337</v>
      </c>
      <c r="O295" t="s">
        <v>530</v>
      </c>
    </row>
    <row r="296" spans="1:15" x14ac:dyDescent="0.25">
      <c r="A296" t="s">
        <v>4118</v>
      </c>
      <c r="C296" t="s">
        <v>4119</v>
      </c>
      <c r="E296" s="13">
        <v>46067</v>
      </c>
      <c r="F296" t="s">
        <v>4124</v>
      </c>
      <c r="G296">
        <v>10.89</v>
      </c>
      <c r="H296" t="s">
        <v>15</v>
      </c>
      <c r="I296" t="s">
        <v>4093</v>
      </c>
      <c r="J296" t="s">
        <v>4125</v>
      </c>
      <c r="L296">
        <v>6001</v>
      </c>
      <c r="M296" t="s">
        <v>3836</v>
      </c>
      <c r="N296" t="s">
        <v>4337</v>
      </c>
      <c r="O296" t="s">
        <v>530</v>
      </c>
    </row>
    <row r="297" spans="1:15" x14ac:dyDescent="0.25">
      <c r="A297" t="s">
        <v>4126</v>
      </c>
      <c r="B297" t="s">
        <v>4127</v>
      </c>
      <c r="C297" t="s">
        <v>4128</v>
      </c>
      <c r="E297" s="13">
        <v>46062</v>
      </c>
      <c r="F297" t="s">
        <v>4129</v>
      </c>
      <c r="G297">
        <v>45</v>
      </c>
      <c r="H297" t="s">
        <v>15</v>
      </c>
      <c r="I297" t="s">
        <v>3843</v>
      </c>
      <c r="J297" t="s">
        <v>30</v>
      </c>
      <c r="L297">
        <v>6006</v>
      </c>
      <c r="M297" t="s">
        <v>3836</v>
      </c>
      <c r="N297" t="s">
        <v>4337</v>
      </c>
      <c r="O297" t="s">
        <v>156</v>
      </c>
    </row>
    <row r="298" spans="1:15" x14ac:dyDescent="0.25">
      <c r="A298" t="s">
        <v>4126</v>
      </c>
      <c r="B298" t="s">
        <v>4127</v>
      </c>
      <c r="C298" t="s">
        <v>4128</v>
      </c>
      <c r="E298" s="13">
        <v>46062</v>
      </c>
      <c r="F298" t="s">
        <v>4130</v>
      </c>
      <c r="G298">
        <v>496.1</v>
      </c>
      <c r="H298" t="s">
        <v>15</v>
      </c>
      <c r="I298" t="s">
        <v>3843</v>
      </c>
      <c r="J298" t="s">
        <v>2340</v>
      </c>
      <c r="L298">
        <v>6006</v>
      </c>
      <c r="M298" t="s">
        <v>3836</v>
      </c>
      <c r="N298" t="s">
        <v>4337</v>
      </c>
      <c r="O298" t="s">
        <v>156</v>
      </c>
    </row>
    <row r="299" spans="1:15" x14ac:dyDescent="0.25">
      <c r="A299" t="s">
        <v>4126</v>
      </c>
      <c r="B299" t="s">
        <v>4127</v>
      </c>
      <c r="C299" t="s">
        <v>4128</v>
      </c>
      <c r="E299" s="13">
        <v>46075</v>
      </c>
      <c r="F299" t="s">
        <v>3921</v>
      </c>
      <c r="G299">
        <v>8</v>
      </c>
      <c r="H299" t="s">
        <v>15</v>
      </c>
      <c r="I299" t="s">
        <v>3922</v>
      </c>
      <c r="J299" t="s">
        <v>93</v>
      </c>
      <c r="L299">
        <v>6006</v>
      </c>
      <c r="M299" t="s">
        <v>3836</v>
      </c>
      <c r="N299" t="s">
        <v>4337</v>
      </c>
      <c r="O299" t="s">
        <v>156</v>
      </c>
    </row>
    <row r="300" spans="1:15" x14ac:dyDescent="0.25">
      <c r="A300" t="s">
        <v>4126</v>
      </c>
      <c r="B300" t="s">
        <v>4127</v>
      </c>
      <c r="C300" t="s">
        <v>4128</v>
      </c>
      <c r="E300" s="13">
        <v>46075</v>
      </c>
      <c r="F300" t="s">
        <v>4131</v>
      </c>
      <c r="G300">
        <v>13.06</v>
      </c>
      <c r="H300" t="s">
        <v>15</v>
      </c>
      <c r="I300" t="s">
        <v>16</v>
      </c>
      <c r="J300" t="s">
        <v>4132</v>
      </c>
      <c r="L300">
        <v>1035</v>
      </c>
      <c r="M300" t="s">
        <v>3836</v>
      </c>
      <c r="N300" t="s">
        <v>4337</v>
      </c>
      <c r="O300" t="s">
        <v>156</v>
      </c>
    </row>
    <row r="301" spans="1:15" x14ac:dyDescent="0.25">
      <c r="A301" t="s">
        <v>4126</v>
      </c>
      <c r="B301" t="s">
        <v>4127</v>
      </c>
      <c r="C301" t="s">
        <v>4128</v>
      </c>
      <c r="E301" s="13">
        <v>46081</v>
      </c>
      <c r="F301" t="s">
        <v>3899</v>
      </c>
      <c r="G301">
        <v>14.95</v>
      </c>
      <c r="H301" t="s">
        <v>15</v>
      </c>
      <c r="I301" t="s">
        <v>64</v>
      </c>
      <c r="J301" t="s">
        <v>3611</v>
      </c>
      <c r="L301">
        <v>1008</v>
      </c>
      <c r="M301" t="s">
        <v>3836</v>
      </c>
      <c r="N301" t="s">
        <v>4337</v>
      </c>
      <c r="O301" t="s">
        <v>156</v>
      </c>
    </row>
    <row r="302" spans="1:15" x14ac:dyDescent="0.25">
      <c r="A302" t="s">
        <v>3906</v>
      </c>
      <c r="B302" t="s">
        <v>4133</v>
      </c>
      <c r="C302" t="s">
        <v>4134</v>
      </c>
      <c r="E302" s="13">
        <v>46083</v>
      </c>
      <c r="F302" t="s">
        <v>4135</v>
      </c>
      <c r="G302">
        <v>210.29</v>
      </c>
      <c r="H302" t="s">
        <v>15</v>
      </c>
      <c r="I302" t="s">
        <v>16</v>
      </c>
      <c r="J302" t="s">
        <v>4136</v>
      </c>
      <c r="L302">
        <v>1016</v>
      </c>
      <c r="M302" t="s">
        <v>4137</v>
      </c>
      <c r="N302" t="s">
        <v>4337</v>
      </c>
      <c r="O302" t="s">
        <v>425</v>
      </c>
    </row>
    <row r="303" spans="1:15" x14ac:dyDescent="0.25">
      <c r="A303" t="s">
        <v>3906</v>
      </c>
      <c r="B303" t="s">
        <v>4133</v>
      </c>
      <c r="C303" t="s">
        <v>4134</v>
      </c>
      <c r="E303" s="13">
        <v>46079</v>
      </c>
      <c r="F303" t="s">
        <v>4138</v>
      </c>
      <c r="G303">
        <v>3.8</v>
      </c>
      <c r="H303" t="s">
        <v>15</v>
      </c>
      <c r="I303" t="s">
        <v>16</v>
      </c>
      <c r="J303" t="s">
        <v>4139</v>
      </c>
      <c r="L303">
        <v>1035</v>
      </c>
      <c r="M303" t="s">
        <v>4137</v>
      </c>
      <c r="N303" t="s">
        <v>4337</v>
      </c>
      <c r="O303" t="s">
        <v>425</v>
      </c>
    </row>
    <row r="304" spans="1:15" x14ac:dyDescent="0.25">
      <c r="A304" t="s">
        <v>3906</v>
      </c>
      <c r="B304" t="s">
        <v>4133</v>
      </c>
      <c r="C304" t="s">
        <v>4134</v>
      </c>
      <c r="E304" s="13">
        <v>46079</v>
      </c>
      <c r="F304" t="s">
        <v>4138</v>
      </c>
      <c r="G304">
        <v>3.34</v>
      </c>
      <c r="H304" t="s">
        <v>15</v>
      </c>
      <c r="I304" t="s">
        <v>16</v>
      </c>
      <c r="J304" t="s">
        <v>4140</v>
      </c>
      <c r="L304">
        <v>1035</v>
      </c>
      <c r="M304" t="s">
        <v>4137</v>
      </c>
      <c r="N304" t="s">
        <v>4337</v>
      </c>
      <c r="O304" t="s">
        <v>425</v>
      </c>
    </row>
    <row r="305" spans="1:15" x14ac:dyDescent="0.25">
      <c r="A305" t="s">
        <v>3906</v>
      </c>
      <c r="B305" t="s">
        <v>4133</v>
      </c>
      <c r="C305" t="s">
        <v>4134</v>
      </c>
      <c r="E305" s="13">
        <v>46079</v>
      </c>
      <c r="F305" t="s">
        <v>4138</v>
      </c>
      <c r="G305">
        <v>21.35</v>
      </c>
      <c r="H305" t="s">
        <v>15</v>
      </c>
      <c r="I305" t="s">
        <v>16</v>
      </c>
      <c r="J305" t="s">
        <v>4141</v>
      </c>
      <c r="L305">
        <v>1001</v>
      </c>
      <c r="M305" t="s">
        <v>4137</v>
      </c>
      <c r="N305" t="s">
        <v>4337</v>
      </c>
      <c r="O305" t="s">
        <v>425</v>
      </c>
    </row>
    <row r="306" spans="1:15" x14ac:dyDescent="0.25">
      <c r="A306" t="s">
        <v>3906</v>
      </c>
      <c r="B306" t="s">
        <v>4133</v>
      </c>
      <c r="C306" t="s">
        <v>4134</v>
      </c>
      <c r="E306" s="13">
        <v>46077</v>
      </c>
      <c r="F306" t="s">
        <v>4138</v>
      </c>
      <c r="G306">
        <v>14</v>
      </c>
      <c r="H306" t="s">
        <v>15</v>
      </c>
      <c r="I306" t="s">
        <v>16</v>
      </c>
      <c r="J306" t="s">
        <v>4142</v>
      </c>
      <c r="L306">
        <v>1035</v>
      </c>
      <c r="M306" t="s">
        <v>4137</v>
      </c>
      <c r="N306" t="s">
        <v>4337</v>
      </c>
      <c r="O306" t="s">
        <v>425</v>
      </c>
    </row>
    <row r="307" spans="1:15" x14ac:dyDescent="0.25">
      <c r="A307" t="s">
        <v>3906</v>
      </c>
      <c r="B307" t="s">
        <v>4133</v>
      </c>
      <c r="C307" t="s">
        <v>4134</v>
      </c>
      <c r="E307" s="13">
        <v>46076</v>
      </c>
      <c r="F307" t="s">
        <v>4143</v>
      </c>
      <c r="G307">
        <v>161.97999999999999</v>
      </c>
      <c r="H307" t="s">
        <v>15</v>
      </c>
      <c r="I307" t="s">
        <v>21</v>
      </c>
      <c r="J307" t="s">
        <v>111</v>
      </c>
      <c r="L307">
        <v>1035</v>
      </c>
      <c r="M307" t="s">
        <v>4137</v>
      </c>
      <c r="N307" t="s">
        <v>4337</v>
      </c>
      <c r="O307" t="s">
        <v>425</v>
      </c>
    </row>
    <row r="308" spans="1:15" x14ac:dyDescent="0.25">
      <c r="A308" t="s">
        <v>3906</v>
      </c>
      <c r="B308" t="s">
        <v>4133</v>
      </c>
      <c r="C308" t="s">
        <v>4134</v>
      </c>
      <c r="E308" s="13">
        <v>46076</v>
      </c>
      <c r="F308" t="s">
        <v>4144</v>
      </c>
      <c r="G308">
        <v>-1308.49</v>
      </c>
      <c r="H308" t="s">
        <v>15</v>
      </c>
      <c r="I308" t="s">
        <v>3594</v>
      </c>
      <c r="J308" t="s">
        <v>47</v>
      </c>
      <c r="L308">
        <v>1035</v>
      </c>
      <c r="M308" t="s">
        <v>4137</v>
      </c>
      <c r="N308" t="s">
        <v>4337</v>
      </c>
      <c r="O308" t="s">
        <v>425</v>
      </c>
    </row>
    <row r="309" spans="1:15" x14ac:dyDescent="0.25">
      <c r="A309" t="s">
        <v>3906</v>
      </c>
      <c r="B309" t="s">
        <v>4133</v>
      </c>
      <c r="C309" t="s">
        <v>4134</v>
      </c>
      <c r="E309" s="13">
        <v>46076</v>
      </c>
      <c r="F309" t="s">
        <v>4138</v>
      </c>
      <c r="G309">
        <v>35.1</v>
      </c>
      <c r="H309" t="s">
        <v>15</v>
      </c>
      <c r="I309" t="s">
        <v>16</v>
      </c>
      <c r="J309" t="s">
        <v>3884</v>
      </c>
      <c r="L309">
        <v>1035</v>
      </c>
      <c r="M309" t="s">
        <v>4137</v>
      </c>
      <c r="N309" t="s">
        <v>4337</v>
      </c>
      <c r="O309" t="s">
        <v>425</v>
      </c>
    </row>
    <row r="310" spans="1:15" x14ac:dyDescent="0.25">
      <c r="A310" t="s">
        <v>3906</v>
      </c>
      <c r="B310" t="s">
        <v>4133</v>
      </c>
      <c r="C310" t="s">
        <v>4134</v>
      </c>
      <c r="E310" s="13">
        <v>46075</v>
      </c>
      <c r="F310" t="s">
        <v>4138</v>
      </c>
      <c r="G310">
        <v>3.8</v>
      </c>
      <c r="H310" t="s">
        <v>15</v>
      </c>
      <c r="I310" t="s">
        <v>16</v>
      </c>
      <c r="J310" t="s">
        <v>4145</v>
      </c>
      <c r="L310">
        <v>1035</v>
      </c>
      <c r="M310" t="s">
        <v>4137</v>
      </c>
      <c r="N310" t="s">
        <v>4337</v>
      </c>
      <c r="O310" t="s">
        <v>425</v>
      </c>
    </row>
    <row r="311" spans="1:15" x14ac:dyDescent="0.25">
      <c r="A311" t="s">
        <v>3906</v>
      </c>
      <c r="B311" t="s">
        <v>4133</v>
      </c>
      <c r="C311" t="s">
        <v>4134</v>
      </c>
      <c r="E311" s="13">
        <v>46075</v>
      </c>
      <c r="F311" t="s">
        <v>4138</v>
      </c>
      <c r="G311">
        <v>42.38</v>
      </c>
      <c r="H311" t="s">
        <v>15</v>
      </c>
      <c r="I311" t="s">
        <v>16</v>
      </c>
      <c r="J311" t="s">
        <v>4146</v>
      </c>
      <c r="L311">
        <v>1035</v>
      </c>
      <c r="M311" t="s">
        <v>4137</v>
      </c>
      <c r="N311" t="s">
        <v>4337</v>
      </c>
      <c r="O311" t="s">
        <v>425</v>
      </c>
    </row>
    <row r="312" spans="1:15" x14ac:dyDescent="0.25">
      <c r="A312" t="s">
        <v>3906</v>
      </c>
      <c r="B312" t="s">
        <v>4133</v>
      </c>
      <c r="C312" t="s">
        <v>4134</v>
      </c>
      <c r="E312" s="13">
        <v>46075</v>
      </c>
      <c r="F312" t="s">
        <v>4138</v>
      </c>
      <c r="G312">
        <v>14.06</v>
      </c>
      <c r="H312" t="s">
        <v>15</v>
      </c>
      <c r="I312" t="s">
        <v>16</v>
      </c>
      <c r="J312" t="s">
        <v>4132</v>
      </c>
      <c r="L312">
        <v>1035</v>
      </c>
      <c r="M312" t="s">
        <v>4137</v>
      </c>
      <c r="N312" t="s">
        <v>4337</v>
      </c>
      <c r="O312" t="s">
        <v>425</v>
      </c>
    </row>
    <row r="313" spans="1:15" x14ac:dyDescent="0.25">
      <c r="A313" t="s">
        <v>3906</v>
      </c>
      <c r="B313" t="s">
        <v>4133</v>
      </c>
      <c r="C313" t="s">
        <v>4134</v>
      </c>
      <c r="E313" s="13">
        <v>46074</v>
      </c>
      <c r="F313" t="s">
        <v>4147</v>
      </c>
      <c r="G313">
        <v>31.55</v>
      </c>
      <c r="H313" t="s">
        <v>15</v>
      </c>
      <c r="I313" t="s">
        <v>3843</v>
      </c>
      <c r="J313" t="s">
        <v>594</v>
      </c>
      <c r="L313">
        <v>1035</v>
      </c>
      <c r="M313" t="s">
        <v>4137</v>
      </c>
      <c r="N313" t="s">
        <v>4337</v>
      </c>
      <c r="O313" t="s">
        <v>425</v>
      </c>
    </row>
    <row r="314" spans="1:15" x14ac:dyDescent="0.25">
      <c r="A314" t="s">
        <v>3906</v>
      </c>
      <c r="B314" t="s">
        <v>4133</v>
      </c>
      <c r="C314" t="s">
        <v>4134</v>
      </c>
      <c r="E314" s="13">
        <v>46074</v>
      </c>
      <c r="F314" t="s">
        <v>4148</v>
      </c>
      <c r="G314">
        <v>467.41</v>
      </c>
      <c r="H314" t="s">
        <v>15</v>
      </c>
      <c r="I314" t="s">
        <v>3594</v>
      </c>
      <c r="J314" t="s">
        <v>852</v>
      </c>
      <c r="L314">
        <v>1035</v>
      </c>
      <c r="M314" t="s">
        <v>4137</v>
      </c>
      <c r="N314" t="s">
        <v>4337</v>
      </c>
      <c r="O314" t="s">
        <v>425</v>
      </c>
    </row>
    <row r="315" spans="1:15" x14ac:dyDescent="0.25">
      <c r="A315" t="s">
        <v>3906</v>
      </c>
      <c r="B315" t="s">
        <v>4133</v>
      </c>
      <c r="C315" t="s">
        <v>4134</v>
      </c>
      <c r="E315" s="13">
        <v>46072</v>
      </c>
      <c r="F315" t="s">
        <v>4149</v>
      </c>
      <c r="G315">
        <v>75.849999999999994</v>
      </c>
      <c r="H315" t="s">
        <v>15</v>
      </c>
      <c r="I315" t="s">
        <v>3922</v>
      </c>
      <c r="J315" t="s">
        <v>65</v>
      </c>
      <c r="L315">
        <v>1001</v>
      </c>
      <c r="M315" t="s">
        <v>4137</v>
      </c>
      <c r="N315" t="s">
        <v>4337</v>
      </c>
      <c r="O315" t="s">
        <v>425</v>
      </c>
    </row>
    <row r="316" spans="1:15" x14ac:dyDescent="0.25">
      <c r="A316" t="s">
        <v>3906</v>
      </c>
      <c r="B316" t="s">
        <v>4133</v>
      </c>
      <c r="C316" t="s">
        <v>4134</v>
      </c>
      <c r="E316" s="13">
        <v>46066</v>
      </c>
      <c r="F316" t="s">
        <v>4150</v>
      </c>
      <c r="G316">
        <v>11.11</v>
      </c>
      <c r="H316" t="s">
        <v>15</v>
      </c>
      <c r="I316" t="s">
        <v>16</v>
      </c>
      <c r="J316" t="s">
        <v>4151</v>
      </c>
      <c r="L316">
        <v>1016</v>
      </c>
      <c r="M316" t="s">
        <v>4137</v>
      </c>
      <c r="N316" t="s">
        <v>4337</v>
      </c>
      <c r="O316" t="s">
        <v>425</v>
      </c>
    </row>
    <row r="317" spans="1:15" x14ac:dyDescent="0.25">
      <c r="A317" t="s">
        <v>3906</v>
      </c>
      <c r="B317" t="s">
        <v>4133</v>
      </c>
      <c r="C317" t="s">
        <v>4134</v>
      </c>
      <c r="E317" s="13">
        <v>46066</v>
      </c>
      <c r="F317" t="s">
        <v>4152</v>
      </c>
      <c r="G317">
        <v>15</v>
      </c>
      <c r="H317" t="s">
        <v>15</v>
      </c>
      <c r="I317" t="s">
        <v>3843</v>
      </c>
      <c r="J317" t="s">
        <v>4153</v>
      </c>
      <c r="L317">
        <v>1016</v>
      </c>
      <c r="M317" t="s">
        <v>4137</v>
      </c>
      <c r="N317" t="s">
        <v>4337</v>
      </c>
      <c r="O317" t="s">
        <v>425</v>
      </c>
    </row>
    <row r="318" spans="1:15" x14ac:dyDescent="0.25">
      <c r="A318" t="s">
        <v>3906</v>
      </c>
      <c r="B318" t="s">
        <v>4133</v>
      </c>
      <c r="C318" t="s">
        <v>4134</v>
      </c>
      <c r="E318" s="13">
        <v>46065</v>
      </c>
      <c r="F318" t="s">
        <v>4150</v>
      </c>
      <c r="G318">
        <v>2.84</v>
      </c>
      <c r="H318" t="s">
        <v>15</v>
      </c>
      <c r="I318" t="s">
        <v>16</v>
      </c>
      <c r="J318" t="s">
        <v>4154</v>
      </c>
      <c r="L318">
        <v>1016</v>
      </c>
      <c r="M318" t="s">
        <v>4137</v>
      </c>
      <c r="N318" t="s">
        <v>4337</v>
      </c>
      <c r="O318" t="s">
        <v>425</v>
      </c>
    </row>
    <row r="319" spans="1:15" x14ac:dyDescent="0.25">
      <c r="A319" t="s">
        <v>3906</v>
      </c>
      <c r="B319" t="s">
        <v>4133</v>
      </c>
      <c r="C319" t="s">
        <v>4134</v>
      </c>
      <c r="E319" s="13">
        <v>46065</v>
      </c>
      <c r="F319" t="s">
        <v>4150</v>
      </c>
      <c r="G319">
        <v>37.25</v>
      </c>
      <c r="H319" t="s">
        <v>15</v>
      </c>
      <c r="I319" t="s">
        <v>16</v>
      </c>
      <c r="J319" t="s">
        <v>4155</v>
      </c>
      <c r="L319">
        <v>1016</v>
      </c>
      <c r="M319" t="s">
        <v>4137</v>
      </c>
      <c r="N319" t="s">
        <v>4337</v>
      </c>
      <c r="O319" t="s">
        <v>425</v>
      </c>
    </row>
    <row r="320" spans="1:15" x14ac:dyDescent="0.25">
      <c r="A320" t="s">
        <v>3906</v>
      </c>
      <c r="B320" t="s">
        <v>4133</v>
      </c>
      <c r="C320" t="s">
        <v>4134</v>
      </c>
      <c r="E320" s="13">
        <v>46065</v>
      </c>
      <c r="F320" t="s">
        <v>4152</v>
      </c>
      <c r="G320">
        <v>34</v>
      </c>
      <c r="H320" t="s">
        <v>15</v>
      </c>
      <c r="I320" t="s">
        <v>3843</v>
      </c>
      <c r="J320" t="s">
        <v>4155</v>
      </c>
      <c r="L320">
        <v>1016</v>
      </c>
      <c r="M320" t="s">
        <v>4137</v>
      </c>
      <c r="N320" t="s">
        <v>4337</v>
      </c>
      <c r="O320" t="s">
        <v>425</v>
      </c>
    </row>
    <row r="321" spans="1:15" x14ac:dyDescent="0.25">
      <c r="A321" t="s">
        <v>4156</v>
      </c>
      <c r="B321" t="s">
        <v>4157</v>
      </c>
      <c r="C321" t="s">
        <v>4158</v>
      </c>
      <c r="E321" s="13">
        <v>46071</v>
      </c>
      <c r="F321" t="s">
        <v>4159</v>
      </c>
      <c r="G321">
        <v>-2097.29</v>
      </c>
      <c r="H321" t="s">
        <v>15</v>
      </c>
      <c r="I321" t="s">
        <v>3594</v>
      </c>
      <c r="J321" t="s">
        <v>32</v>
      </c>
      <c r="L321">
        <v>1035</v>
      </c>
      <c r="M321" t="s">
        <v>4160</v>
      </c>
      <c r="N321" t="s">
        <v>4337</v>
      </c>
      <c r="O321" t="s">
        <v>267</v>
      </c>
    </row>
    <row r="322" spans="1:15" x14ac:dyDescent="0.25">
      <c r="A322" t="s">
        <v>4161</v>
      </c>
      <c r="B322" t="s">
        <v>4162</v>
      </c>
      <c r="C322" t="s">
        <v>4163</v>
      </c>
      <c r="E322" s="13">
        <v>46079</v>
      </c>
      <c r="F322" t="s">
        <v>4164</v>
      </c>
      <c r="G322">
        <v>1469.2</v>
      </c>
      <c r="H322" t="s">
        <v>15</v>
      </c>
      <c r="I322" t="s">
        <v>3594</v>
      </c>
      <c r="J322" t="s">
        <v>41</v>
      </c>
      <c r="L322">
        <v>4253</v>
      </c>
      <c r="M322" t="s">
        <v>3855</v>
      </c>
      <c r="N322" t="s">
        <v>4337</v>
      </c>
      <c r="O322" t="s">
        <v>289</v>
      </c>
    </row>
    <row r="323" spans="1:15" x14ac:dyDescent="0.25">
      <c r="A323" t="s">
        <v>4161</v>
      </c>
      <c r="B323" t="s">
        <v>4162</v>
      </c>
      <c r="C323" t="s">
        <v>4163</v>
      </c>
      <c r="E323" s="13">
        <v>46079</v>
      </c>
      <c r="F323" t="s">
        <v>4165</v>
      </c>
      <c r="G323">
        <v>1059.2</v>
      </c>
      <c r="H323" t="s">
        <v>15</v>
      </c>
      <c r="I323" t="s">
        <v>3594</v>
      </c>
      <c r="J323" t="s">
        <v>41</v>
      </c>
      <c r="L323">
        <v>4253</v>
      </c>
      <c r="M323" t="s">
        <v>3855</v>
      </c>
      <c r="N323" t="s">
        <v>4337</v>
      </c>
      <c r="O323" t="s">
        <v>289</v>
      </c>
    </row>
    <row r="324" spans="1:15" x14ac:dyDescent="0.25">
      <c r="A324" t="s">
        <v>4161</v>
      </c>
      <c r="B324" t="s">
        <v>4162</v>
      </c>
      <c r="C324" t="s">
        <v>4163</v>
      </c>
      <c r="E324" s="13">
        <v>46079</v>
      </c>
      <c r="F324" t="s">
        <v>4166</v>
      </c>
      <c r="G324">
        <v>14.93</v>
      </c>
      <c r="H324" t="s">
        <v>15</v>
      </c>
      <c r="I324" t="s">
        <v>16</v>
      </c>
      <c r="J324" t="s">
        <v>4167</v>
      </c>
      <c r="L324">
        <v>1035</v>
      </c>
      <c r="M324" t="s">
        <v>3855</v>
      </c>
      <c r="N324" t="s">
        <v>4337</v>
      </c>
      <c r="O324" t="s">
        <v>289</v>
      </c>
    </row>
    <row r="325" spans="1:15" x14ac:dyDescent="0.25">
      <c r="A325" t="s">
        <v>4161</v>
      </c>
      <c r="B325" t="s">
        <v>4162</v>
      </c>
      <c r="C325" t="s">
        <v>4163</v>
      </c>
      <c r="E325" s="13">
        <v>46079</v>
      </c>
      <c r="F325" t="s">
        <v>4168</v>
      </c>
      <c r="G325">
        <v>8</v>
      </c>
      <c r="H325" t="s">
        <v>15</v>
      </c>
      <c r="I325" t="s">
        <v>3594</v>
      </c>
      <c r="J325" t="s">
        <v>30</v>
      </c>
      <c r="L325">
        <v>4253</v>
      </c>
      <c r="M325" t="s">
        <v>3855</v>
      </c>
      <c r="N325" t="s">
        <v>4337</v>
      </c>
      <c r="O325" t="s">
        <v>289</v>
      </c>
    </row>
    <row r="326" spans="1:15" x14ac:dyDescent="0.25">
      <c r="A326" t="s">
        <v>4161</v>
      </c>
      <c r="B326" t="s">
        <v>4162</v>
      </c>
      <c r="C326" t="s">
        <v>4163</v>
      </c>
      <c r="E326" s="13">
        <v>46079</v>
      </c>
      <c r="F326" t="s">
        <v>4169</v>
      </c>
      <c r="G326">
        <v>62</v>
      </c>
      <c r="H326" t="s">
        <v>15</v>
      </c>
      <c r="I326" t="s">
        <v>3843</v>
      </c>
      <c r="J326" t="s">
        <v>1578</v>
      </c>
      <c r="L326">
        <v>1035</v>
      </c>
      <c r="M326" t="s">
        <v>3855</v>
      </c>
      <c r="N326" t="s">
        <v>4337</v>
      </c>
      <c r="O326" t="s">
        <v>289</v>
      </c>
    </row>
    <row r="327" spans="1:15" x14ac:dyDescent="0.25">
      <c r="A327" t="s">
        <v>4161</v>
      </c>
      <c r="B327" t="s">
        <v>4162</v>
      </c>
      <c r="C327" t="s">
        <v>4163</v>
      </c>
      <c r="E327" s="13">
        <v>46079</v>
      </c>
      <c r="F327" t="s">
        <v>4170</v>
      </c>
      <c r="G327">
        <v>23</v>
      </c>
      <c r="H327" t="s">
        <v>15</v>
      </c>
      <c r="I327" t="s">
        <v>3594</v>
      </c>
      <c r="J327" t="s">
        <v>30</v>
      </c>
      <c r="L327">
        <v>4253</v>
      </c>
      <c r="M327" t="s">
        <v>3855</v>
      </c>
      <c r="N327" t="s">
        <v>4337</v>
      </c>
      <c r="O327" t="s">
        <v>289</v>
      </c>
    </row>
    <row r="328" spans="1:15" x14ac:dyDescent="0.25">
      <c r="A328" t="s">
        <v>4161</v>
      </c>
      <c r="B328" t="s">
        <v>4162</v>
      </c>
      <c r="C328" t="s">
        <v>4163</v>
      </c>
      <c r="E328" s="13">
        <v>46078</v>
      </c>
      <c r="F328" t="s">
        <v>4171</v>
      </c>
      <c r="G328">
        <v>-984.41</v>
      </c>
      <c r="H328" t="s">
        <v>15</v>
      </c>
      <c r="I328" t="s">
        <v>3594</v>
      </c>
      <c r="J328" t="s">
        <v>47</v>
      </c>
      <c r="L328">
        <v>1035</v>
      </c>
      <c r="M328" t="s">
        <v>3855</v>
      </c>
      <c r="N328" t="s">
        <v>4337</v>
      </c>
      <c r="O328" t="s">
        <v>289</v>
      </c>
    </row>
    <row r="329" spans="1:15" x14ac:dyDescent="0.25">
      <c r="A329" t="s">
        <v>4161</v>
      </c>
      <c r="B329" t="s">
        <v>4162</v>
      </c>
      <c r="C329" t="s">
        <v>4163</v>
      </c>
      <c r="E329" s="13">
        <v>46076</v>
      </c>
      <c r="F329" t="s">
        <v>4166</v>
      </c>
      <c r="G329">
        <v>19.739999999999998</v>
      </c>
      <c r="H329" t="s">
        <v>15</v>
      </c>
      <c r="I329" t="s">
        <v>16</v>
      </c>
      <c r="J329" t="s">
        <v>1469</v>
      </c>
      <c r="L329">
        <v>1035</v>
      </c>
      <c r="M329" t="s">
        <v>3855</v>
      </c>
      <c r="N329" t="s">
        <v>4337</v>
      </c>
      <c r="O329" t="s">
        <v>289</v>
      </c>
    </row>
    <row r="330" spans="1:15" x14ac:dyDescent="0.25">
      <c r="A330" t="s">
        <v>4161</v>
      </c>
      <c r="B330" t="s">
        <v>4162</v>
      </c>
      <c r="C330" t="s">
        <v>4163</v>
      </c>
      <c r="E330" s="13">
        <v>46075</v>
      </c>
      <c r="F330" t="s">
        <v>4172</v>
      </c>
      <c r="G330">
        <v>984.41</v>
      </c>
      <c r="H330" t="s">
        <v>15</v>
      </c>
      <c r="I330" t="s">
        <v>3594</v>
      </c>
      <c r="J330" t="s">
        <v>41</v>
      </c>
      <c r="L330">
        <v>1035</v>
      </c>
      <c r="M330" t="s">
        <v>3855</v>
      </c>
      <c r="N330" t="s">
        <v>4337</v>
      </c>
      <c r="O330" t="s">
        <v>289</v>
      </c>
    </row>
    <row r="331" spans="1:15" x14ac:dyDescent="0.25">
      <c r="A331" t="s">
        <v>4161</v>
      </c>
      <c r="B331" t="s">
        <v>4162</v>
      </c>
      <c r="C331" t="s">
        <v>4163</v>
      </c>
      <c r="E331" s="13">
        <v>46075</v>
      </c>
      <c r="F331" t="s">
        <v>4173</v>
      </c>
      <c r="G331">
        <v>8</v>
      </c>
      <c r="H331" t="s">
        <v>15</v>
      </c>
      <c r="I331" t="s">
        <v>3594</v>
      </c>
      <c r="J331" t="s">
        <v>30</v>
      </c>
      <c r="L331">
        <v>1035</v>
      </c>
      <c r="M331" t="s">
        <v>3855</v>
      </c>
      <c r="N331" t="s">
        <v>4337</v>
      </c>
      <c r="O331" t="s">
        <v>289</v>
      </c>
    </row>
    <row r="332" spans="1:15" x14ac:dyDescent="0.25">
      <c r="A332" t="s">
        <v>3905</v>
      </c>
      <c r="B332" t="s">
        <v>4174</v>
      </c>
      <c r="C332" t="s">
        <v>4175</v>
      </c>
      <c r="E332" s="13">
        <v>46074</v>
      </c>
      <c r="F332" t="s">
        <v>4176</v>
      </c>
      <c r="G332">
        <v>-293.08999999999997</v>
      </c>
      <c r="H332" t="s">
        <v>15</v>
      </c>
      <c r="I332" t="s">
        <v>3594</v>
      </c>
      <c r="J332" t="s">
        <v>852</v>
      </c>
      <c r="L332">
        <v>1035</v>
      </c>
      <c r="M332" t="s">
        <v>3909</v>
      </c>
      <c r="N332" t="s">
        <v>4337</v>
      </c>
      <c r="O332" t="s">
        <v>455</v>
      </c>
    </row>
    <row r="333" spans="1:15" x14ac:dyDescent="0.25">
      <c r="A333" t="s">
        <v>3905</v>
      </c>
      <c r="B333" t="s">
        <v>4174</v>
      </c>
      <c r="C333" t="s">
        <v>4175</v>
      </c>
      <c r="E333" s="13">
        <v>46075</v>
      </c>
      <c r="F333" t="s">
        <v>4176</v>
      </c>
      <c r="G333">
        <v>-1638.49</v>
      </c>
      <c r="H333" t="s">
        <v>15</v>
      </c>
      <c r="I333" t="s">
        <v>3594</v>
      </c>
      <c r="J333" t="s">
        <v>47</v>
      </c>
      <c r="L333">
        <v>1035</v>
      </c>
      <c r="M333" t="s">
        <v>3909</v>
      </c>
      <c r="N333" t="s">
        <v>4337</v>
      </c>
      <c r="O333" t="s">
        <v>455</v>
      </c>
    </row>
    <row r="334" spans="1:15" x14ac:dyDescent="0.25">
      <c r="A334" t="s">
        <v>3905</v>
      </c>
      <c r="B334" t="s">
        <v>4174</v>
      </c>
      <c r="C334" t="s">
        <v>4175</v>
      </c>
      <c r="E334" s="13">
        <v>46077</v>
      </c>
      <c r="F334" t="s">
        <v>4176</v>
      </c>
      <c r="G334">
        <v>-83</v>
      </c>
      <c r="H334" t="s">
        <v>15</v>
      </c>
      <c r="I334" t="s">
        <v>3594</v>
      </c>
      <c r="J334" t="s">
        <v>852</v>
      </c>
      <c r="L334">
        <v>1035</v>
      </c>
      <c r="M334" t="s">
        <v>3909</v>
      </c>
      <c r="N334" t="s">
        <v>4337</v>
      </c>
      <c r="O334" t="s">
        <v>455</v>
      </c>
    </row>
    <row r="335" spans="1:15" x14ac:dyDescent="0.25">
      <c r="A335" t="s">
        <v>3851</v>
      </c>
      <c r="B335" t="s">
        <v>4177</v>
      </c>
      <c r="C335" t="s">
        <v>4178</v>
      </c>
      <c r="E335" s="13">
        <v>46058</v>
      </c>
      <c r="F335" t="s">
        <v>4179</v>
      </c>
      <c r="G335">
        <v>291.23</v>
      </c>
      <c r="H335" t="s">
        <v>15</v>
      </c>
      <c r="I335" t="s">
        <v>3864</v>
      </c>
      <c r="J335" t="s">
        <v>4180</v>
      </c>
      <c r="L335">
        <v>6454</v>
      </c>
      <c r="M335" t="s">
        <v>3836</v>
      </c>
      <c r="N335" t="s">
        <v>4337</v>
      </c>
      <c r="O335" t="s">
        <v>528</v>
      </c>
    </row>
    <row r="336" spans="1:15" x14ac:dyDescent="0.25">
      <c r="A336" t="s">
        <v>3851</v>
      </c>
      <c r="B336" t="s">
        <v>4177</v>
      </c>
      <c r="C336" t="s">
        <v>4178</v>
      </c>
      <c r="E336" s="13">
        <v>46058</v>
      </c>
      <c r="F336" t="s">
        <v>4181</v>
      </c>
      <c r="G336">
        <v>1216.3599999999999</v>
      </c>
      <c r="H336" t="s">
        <v>15</v>
      </c>
      <c r="I336" t="s">
        <v>3864</v>
      </c>
      <c r="J336" t="s">
        <v>4180</v>
      </c>
      <c r="L336">
        <v>6454</v>
      </c>
      <c r="M336" t="s">
        <v>3836</v>
      </c>
      <c r="N336" t="s">
        <v>4337</v>
      </c>
      <c r="O336" t="s">
        <v>528</v>
      </c>
    </row>
    <row r="337" spans="1:15" x14ac:dyDescent="0.25">
      <c r="A337" t="s">
        <v>3851</v>
      </c>
      <c r="B337" t="s">
        <v>4177</v>
      </c>
      <c r="C337" t="s">
        <v>4178</v>
      </c>
      <c r="E337" s="13">
        <v>46058</v>
      </c>
      <c r="F337" t="s">
        <v>4182</v>
      </c>
      <c r="G337">
        <v>291.23</v>
      </c>
      <c r="H337" t="s">
        <v>15</v>
      </c>
      <c r="I337" t="s">
        <v>3864</v>
      </c>
      <c r="J337" t="s">
        <v>4180</v>
      </c>
      <c r="L337">
        <v>6454</v>
      </c>
      <c r="M337" t="s">
        <v>3836</v>
      </c>
      <c r="N337" t="s">
        <v>4337</v>
      </c>
      <c r="O337" t="s">
        <v>528</v>
      </c>
    </row>
    <row r="338" spans="1:15" x14ac:dyDescent="0.25">
      <c r="A338" t="s">
        <v>3851</v>
      </c>
      <c r="B338" t="s">
        <v>4177</v>
      </c>
      <c r="C338" t="s">
        <v>4178</v>
      </c>
      <c r="E338" s="13">
        <v>46085</v>
      </c>
      <c r="F338" t="s">
        <v>4183</v>
      </c>
      <c r="G338">
        <v>744.5</v>
      </c>
      <c r="H338" t="s">
        <v>15</v>
      </c>
      <c r="I338" t="s">
        <v>3864</v>
      </c>
      <c r="J338" t="s">
        <v>3688</v>
      </c>
      <c r="L338">
        <v>4246</v>
      </c>
      <c r="M338" t="s">
        <v>3855</v>
      </c>
      <c r="N338" t="s">
        <v>4337</v>
      </c>
      <c r="O338" t="s">
        <v>528</v>
      </c>
    </row>
    <row r="339" spans="1:15" x14ac:dyDescent="0.25">
      <c r="A339" t="s">
        <v>3851</v>
      </c>
      <c r="B339" t="s">
        <v>4177</v>
      </c>
      <c r="C339" t="s">
        <v>4178</v>
      </c>
      <c r="E339" s="13">
        <v>46086</v>
      </c>
      <c r="F339" t="s">
        <v>4184</v>
      </c>
      <c r="G339">
        <v>83.9</v>
      </c>
      <c r="H339" t="s">
        <v>15</v>
      </c>
      <c r="I339" t="s">
        <v>21</v>
      </c>
      <c r="J339" t="s">
        <v>111</v>
      </c>
      <c r="L339">
        <v>4246</v>
      </c>
      <c r="M339" t="s">
        <v>3855</v>
      </c>
      <c r="N339" t="s">
        <v>4337</v>
      </c>
      <c r="O339" t="s">
        <v>528</v>
      </c>
    </row>
    <row r="340" spans="1:15" x14ac:dyDescent="0.25">
      <c r="A340" t="s">
        <v>3851</v>
      </c>
      <c r="B340" t="s">
        <v>4177</v>
      </c>
      <c r="C340" t="s">
        <v>4178</v>
      </c>
      <c r="E340" s="13">
        <v>46085</v>
      </c>
      <c r="F340" t="s">
        <v>4185</v>
      </c>
      <c r="G340">
        <v>48.94</v>
      </c>
      <c r="H340" t="s">
        <v>15</v>
      </c>
      <c r="I340" t="s">
        <v>21</v>
      </c>
      <c r="J340" t="s">
        <v>111</v>
      </c>
      <c r="L340">
        <v>4246</v>
      </c>
      <c r="M340" t="s">
        <v>3836</v>
      </c>
      <c r="N340" t="s">
        <v>4337</v>
      </c>
      <c r="O340" t="s">
        <v>528</v>
      </c>
    </row>
    <row r="341" spans="1:15" x14ac:dyDescent="0.25">
      <c r="A341" t="s">
        <v>3851</v>
      </c>
      <c r="B341" t="s">
        <v>4177</v>
      </c>
      <c r="C341" t="s">
        <v>4178</v>
      </c>
      <c r="E341" s="13">
        <v>46084</v>
      </c>
      <c r="F341" t="s">
        <v>4186</v>
      </c>
      <c r="G341">
        <v>88.17</v>
      </c>
      <c r="H341" t="s">
        <v>15</v>
      </c>
      <c r="I341" t="s">
        <v>21</v>
      </c>
      <c r="J341" t="s">
        <v>111</v>
      </c>
      <c r="L341">
        <v>4246</v>
      </c>
      <c r="M341" t="s">
        <v>3855</v>
      </c>
      <c r="N341" t="s">
        <v>4337</v>
      </c>
      <c r="O341" t="s">
        <v>528</v>
      </c>
    </row>
    <row r="342" spans="1:15" x14ac:dyDescent="0.25">
      <c r="A342" t="s">
        <v>3851</v>
      </c>
      <c r="B342" t="s">
        <v>4177</v>
      </c>
      <c r="C342" t="s">
        <v>4178</v>
      </c>
      <c r="E342" s="13">
        <v>46084</v>
      </c>
      <c r="F342" t="s">
        <v>4187</v>
      </c>
      <c r="G342">
        <v>50.99</v>
      </c>
      <c r="H342" t="s">
        <v>15</v>
      </c>
      <c r="I342" t="s">
        <v>21</v>
      </c>
      <c r="J342" t="s">
        <v>111</v>
      </c>
      <c r="L342">
        <v>4246</v>
      </c>
      <c r="M342" t="s">
        <v>3855</v>
      </c>
      <c r="N342" t="s">
        <v>4337</v>
      </c>
      <c r="O342" t="s">
        <v>528</v>
      </c>
    </row>
    <row r="343" spans="1:15" x14ac:dyDescent="0.25">
      <c r="A343" t="s">
        <v>3851</v>
      </c>
      <c r="B343" t="s">
        <v>4177</v>
      </c>
      <c r="C343" t="s">
        <v>4178</v>
      </c>
      <c r="E343" s="13">
        <v>46079</v>
      </c>
      <c r="F343" t="s">
        <v>4188</v>
      </c>
      <c r="G343">
        <v>38.979999999999997</v>
      </c>
      <c r="H343" t="s">
        <v>15</v>
      </c>
      <c r="I343" t="s">
        <v>21</v>
      </c>
      <c r="J343" t="s">
        <v>111</v>
      </c>
      <c r="L343">
        <v>1035</v>
      </c>
      <c r="M343" t="s">
        <v>3836</v>
      </c>
      <c r="N343" t="s">
        <v>4337</v>
      </c>
      <c r="O343" t="s">
        <v>528</v>
      </c>
    </row>
    <row r="344" spans="1:15" x14ac:dyDescent="0.25">
      <c r="A344" t="s">
        <v>3851</v>
      </c>
      <c r="B344" t="s">
        <v>4177</v>
      </c>
      <c r="C344" t="s">
        <v>4178</v>
      </c>
      <c r="E344" s="13">
        <v>46076</v>
      </c>
      <c r="F344" t="s">
        <v>4189</v>
      </c>
      <c r="G344">
        <v>26.98</v>
      </c>
      <c r="H344" t="s">
        <v>15</v>
      </c>
      <c r="I344" t="s">
        <v>21</v>
      </c>
      <c r="J344" t="s">
        <v>111</v>
      </c>
      <c r="L344">
        <v>1035</v>
      </c>
      <c r="M344" t="s">
        <v>3836</v>
      </c>
      <c r="N344" t="s">
        <v>4337</v>
      </c>
      <c r="O344" t="s">
        <v>528</v>
      </c>
    </row>
    <row r="345" spans="1:15" x14ac:dyDescent="0.25">
      <c r="A345" t="s">
        <v>3851</v>
      </c>
      <c r="B345" t="s">
        <v>4177</v>
      </c>
      <c r="C345" t="s">
        <v>4178</v>
      </c>
      <c r="E345" s="13">
        <v>46059</v>
      </c>
      <c r="F345" t="s">
        <v>4190</v>
      </c>
      <c r="G345">
        <v>50.97</v>
      </c>
      <c r="H345" t="s">
        <v>15</v>
      </c>
      <c r="I345" t="s">
        <v>21</v>
      </c>
      <c r="J345" t="s">
        <v>111</v>
      </c>
      <c r="L345">
        <v>6454</v>
      </c>
      <c r="M345" t="s">
        <v>3836</v>
      </c>
      <c r="N345" t="s">
        <v>4337</v>
      </c>
      <c r="O345" t="s">
        <v>528</v>
      </c>
    </row>
    <row r="346" spans="1:15" x14ac:dyDescent="0.25">
      <c r="A346" t="s">
        <v>3851</v>
      </c>
      <c r="B346" t="s">
        <v>4177</v>
      </c>
      <c r="C346" t="s">
        <v>4178</v>
      </c>
      <c r="E346" s="13">
        <v>46059</v>
      </c>
      <c r="F346" t="s">
        <v>4191</v>
      </c>
      <c r="G346">
        <v>104.07</v>
      </c>
      <c r="H346" t="s">
        <v>15</v>
      </c>
      <c r="I346" t="s">
        <v>21</v>
      </c>
      <c r="J346" t="s">
        <v>111</v>
      </c>
      <c r="L346">
        <v>6454</v>
      </c>
      <c r="M346" t="s">
        <v>3836</v>
      </c>
      <c r="N346" t="s">
        <v>4337</v>
      </c>
      <c r="O346" t="s">
        <v>528</v>
      </c>
    </row>
    <row r="347" spans="1:15" x14ac:dyDescent="0.25">
      <c r="A347" t="s">
        <v>3851</v>
      </c>
      <c r="B347" t="s">
        <v>4177</v>
      </c>
      <c r="C347" t="s">
        <v>4178</v>
      </c>
      <c r="E347" s="13">
        <v>46063</v>
      </c>
      <c r="F347" t="s">
        <v>4192</v>
      </c>
      <c r="G347">
        <v>30</v>
      </c>
      <c r="H347" t="s">
        <v>15</v>
      </c>
      <c r="I347" t="s">
        <v>3843</v>
      </c>
      <c r="J347" t="s">
        <v>30</v>
      </c>
      <c r="L347">
        <v>1035</v>
      </c>
      <c r="M347" t="s">
        <v>3836</v>
      </c>
      <c r="N347" t="s">
        <v>4337</v>
      </c>
      <c r="O347" t="s">
        <v>528</v>
      </c>
    </row>
    <row r="348" spans="1:15" x14ac:dyDescent="0.25">
      <c r="A348" t="s">
        <v>3851</v>
      </c>
      <c r="B348" t="s">
        <v>4177</v>
      </c>
      <c r="C348" t="s">
        <v>4178</v>
      </c>
      <c r="E348" s="13">
        <v>46063</v>
      </c>
      <c r="F348" t="s">
        <v>4193</v>
      </c>
      <c r="G348">
        <v>30</v>
      </c>
      <c r="H348" t="s">
        <v>15</v>
      </c>
      <c r="I348" t="s">
        <v>3843</v>
      </c>
      <c r="J348" t="s">
        <v>30</v>
      </c>
      <c r="L348">
        <v>4246</v>
      </c>
      <c r="M348" t="s">
        <v>3855</v>
      </c>
      <c r="N348" t="s">
        <v>4337</v>
      </c>
      <c r="O348" t="s">
        <v>528</v>
      </c>
    </row>
    <row r="349" spans="1:15" x14ac:dyDescent="0.25">
      <c r="A349" t="s">
        <v>3851</v>
      </c>
      <c r="B349" t="s">
        <v>4177</v>
      </c>
      <c r="C349" t="s">
        <v>4178</v>
      </c>
      <c r="E349" s="13">
        <v>46077</v>
      </c>
      <c r="F349" t="s">
        <v>4192</v>
      </c>
      <c r="G349">
        <v>30</v>
      </c>
      <c r="H349" t="s">
        <v>15</v>
      </c>
      <c r="I349" t="s">
        <v>3843</v>
      </c>
      <c r="J349" t="s">
        <v>30</v>
      </c>
      <c r="L349">
        <v>1035</v>
      </c>
      <c r="M349" t="s">
        <v>3836</v>
      </c>
      <c r="N349" t="s">
        <v>4337</v>
      </c>
      <c r="O349" t="s">
        <v>528</v>
      </c>
    </row>
    <row r="350" spans="1:15" x14ac:dyDescent="0.25">
      <c r="A350" t="s">
        <v>3851</v>
      </c>
      <c r="B350" t="s">
        <v>4177</v>
      </c>
      <c r="C350" t="s">
        <v>4178</v>
      </c>
      <c r="E350" s="13">
        <v>46078</v>
      </c>
      <c r="F350" t="s">
        <v>4194</v>
      </c>
      <c r="G350">
        <v>30</v>
      </c>
      <c r="H350" t="s">
        <v>15</v>
      </c>
      <c r="I350" t="s">
        <v>3843</v>
      </c>
      <c r="J350" t="s">
        <v>30</v>
      </c>
      <c r="L350">
        <v>4246</v>
      </c>
      <c r="M350" t="s">
        <v>3836</v>
      </c>
      <c r="N350" t="s">
        <v>4337</v>
      </c>
      <c r="O350" t="s">
        <v>528</v>
      </c>
    </row>
    <row r="351" spans="1:15" x14ac:dyDescent="0.25">
      <c r="A351" t="s">
        <v>3851</v>
      </c>
      <c r="B351" t="s">
        <v>4177</v>
      </c>
      <c r="C351" t="s">
        <v>4178</v>
      </c>
      <c r="E351" s="13">
        <v>46078</v>
      </c>
      <c r="F351" t="s">
        <v>4195</v>
      </c>
      <c r="G351">
        <v>-50.6</v>
      </c>
      <c r="H351" t="s">
        <v>15</v>
      </c>
      <c r="I351" t="s">
        <v>3594</v>
      </c>
      <c r="J351" t="s">
        <v>32</v>
      </c>
      <c r="L351">
        <v>4246</v>
      </c>
      <c r="M351" t="s">
        <v>3855</v>
      </c>
      <c r="N351" t="s">
        <v>4337</v>
      </c>
      <c r="O351" t="s">
        <v>528</v>
      </c>
    </row>
    <row r="352" spans="1:15" x14ac:dyDescent="0.25">
      <c r="A352" t="s">
        <v>3851</v>
      </c>
      <c r="B352" t="s">
        <v>4177</v>
      </c>
      <c r="C352" t="s">
        <v>4178</v>
      </c>
      <c r="E352" s="13">
        <v>46063</v>
      </c>
      <c r="F352" t="s">
        <v>4196</v>
      </c>
      <c r="G352">
        <v>1518.68</v>
      </c>
      <c r="H352" t="s">
        <v>15</v>
      </c>
      <c r="I352" t="s">
        <v>3594</v>
      </c>
      <c r="J352" t="s">
        <v>32</v>
      </c>
      <c r="L352">
        <v>1035</v>
      </c>
      <c r="M352" t="s">
        <v>3836</v>
      </c>
      <c r="N352" t="s">
        <v>4337</v>
      </c>
      <c r="O352" t="s">
        <v>528</v>
      </c>
    </row>
    <row r="353" spans="1:15" x14ac:dyDescent="0.25">
      <c r="A353" t="s">
        <v>3851</v>
      </c>
      <c r="B353" t="s">
        <v>4177</v>
      </c>
      <c r="C353" t="s">
        <v>4178</v>
      </c>
      <c r="E353" s="13">
        <v>46063</v>
      </c>
      <c r="F353" t="s">
        <v>4197</v>
      </c>
      <c r="G353">
        <v>878.37</v>
      </c>
      <c r="H353" t="s">
        <v>15</v>
      </c>
      <c r="I353" t="s">
        <v>3594</v>
      </c>
      <c r="J353" t="s">
        <v>32</v>
      </c>
      <c r="L353">
        <v>4246</v>
      </c>
      <c r="M353" t="s">
        <v>3855</v>
      </c>
      <c r="N353" t="s">
        <v>4337</v>
      </c>
      <c r="O353" t="s">
        <v>528</v>
      </c>
    </row>
    <row r="354" spans="1:15" x14ac:dyDescent="0.25">
      <c r="A354" t="s">
        <v>3851</v>
      </c>
      <c r="B354" t="s">
        <v>4177</v>
      </c>
      <c r="C354" t="s">
        <v>4178</v>
      </c>
      <c r="E354" s="13">
        <v>46076</v>
      </c>
      <c r="F354" t="s">
        <v>4198</v>
      </c>
      <c r="G354">
        <v>27.08</v>
      </c>
      <c r="H354" t="s">
        <v>15</v>
      </c>
      <c r="I354" t="s">
        <v>16</v>
      </c>
      <c r="J354" t="s">
        <v>3884</v>
      </c>
      <c r="L354">
        <v>1035</v>
      </c>
      <c r="M354" t="s">
        <v>3836</v>
      </c>
      <c r="N354" t="s">
        <v>4337</v>
      </c>
      <c r="O354" t="s">
        <v>528</v>
      </c>
    </row>
    <row r="355" spans="1:15" x14ac:dyDescent="0.25">
      <c r="A355" t="s">
        <v>3851</v>
      </c>
      <c r="B355" t="s">
        <v>4177</v>
      </c>
      <c r="C355" t="s">
        <v>4178</v>
      </c>
      <c r="E355" s="13">
        <v>46075</v>
      </c>
      <c r="F355" t="s">
        <v>4199</v>
      </c>
      <c r="G355">
        <v>435.3</v>
      </c>
      <c r="H355" t="s">
        <v>15</v>
      </c>
      <c r="I355" t="s">
        <v>16</v>
      </c>
      <c r="J355" t="s">
        <v>4200</v>
      </c>
      <c r="L355">
        <v>6001</v>
      </c>
      <c r="M355" t="s">
        <v>3836</v>
      </c>
      <c r="N355" t="s">
        <v>4337</v>
      </c>
      <c r="O355" t="s">
        <v>528</v>
      </c>
    </row>
    <row r="356" spans="1:15" x14ac:dyDescent="0.25">
      <c r="A356" t="s">
        <v>3851</v>
      </c>
      <c r="B356" t="s">
        <v>4177</v>
      </c>
      <c r="C356" t="s">
        <v>4178</v>
      </c>
      <c r="E356" s="13">
        <v>46083</v>
      </c>
      <c r="F356" t="s">
        <v>3899</v>
      </c>
      <c r="G356">
        <v>19.079999999999998</v>
      </c>
      <c r="H356" t="s">
        <v>15</v>
      </c>
      <c r="I356" t="s">
        <v>3843</v>
      </c>
      <c r="J356" t="s">
        <v>1580</v>
      </c>
      <c r="L356">
        <v>1008</v>
      </c>
      <c r="M356" t="s">
        <v>3836</v>
      </c>
      <c r="N356" t="s">
        <v>4337</v>
      </c>
      <c r="O356" t="s">
        <v>528</v>
      </c>
    </row>
    <row r="357" spans="1:15" x14ac:dyDescent="0.25">
      <c r="A357" t="s">
        <v>3851</v>
      </c>
      <c r="B357" t="s">
        <v>4177</v>
      </c>
      <c r="C357" t="s">
        <v>4178</v>
      </c>
      <c r="E357" s="13">
        <v>46079</v>
      </c>
      <c r="F357" t="s">
        <v>3921</v>
      </c>
      <c r="G357">
        <v>8</v>
      </c>
      <c r="H357" t="s">
        <v>15</v>
      </c>
      <c r="I357" t="s">
        <v>3922</v>
      </c>
      <c r="J357" t="s">
        <v>93</v>
      </c>
      <c r="L357">
        <v>6001</v>
      </c>
      <c r="M357" t="s">
        <v>3836</v>
      </c>
      <c r="N357" t="s">
        <v>4337</v>
      </c>
      <c r="O357" t="s">
        <v>528</v>
      </c>
    </row>
    <row r="358" spans="1:15" x14ac:dyDescent="0.25">
      <c r="A358" t="s">
        <v>3851</v>
      </c>
      <c r="B358" t="s">
        <v>4177</v>
      </c>
      <c r="C358" t="s">
        <v>4178</v>
      </c>
      <c r="E358" s="13">
        <v>46085</v>
      </c>
      <c r="F358" t="s">
        <v>4201</v>
      </c>
      <c r="G358">
        <v>151.5</v>
      </c>
      <c r="H358" t="s">
        <v>15</v>
      </c>
      <c r="I358" t="s">
        <v>3843</v>
      </c>
      <c r="J358" t="s">
        <v>120</v>
      </c>
      <c r="L358" t="s">
        <v>4202</v>
      </c>
      <c r="M358" t="s">
        <v>3836</v>
      </c>
      <c r="N358" t="s">
        <v>4337</v>
      </c>
      <c r="O358" t="s">
        <v>528</v>
      </c>
    </row>
    <row r="359" spans="1:15" x14ac:dyDescent="0.25">
      <c r="A359" t="s">
        <v>3851</v>
      </c>
      <c r="B359" t="s">
        <v>4177</v>
      </c>
      <c r="C359" t="s">
        <v>4178</v>
      </c>
      <c r="E359" s="13">
        <v>46085</v>
      </c>
      <c r="F359" t="s">
        <v>4203</v>
      </c>
      <c r="G359">
        <v>151.5</v>
      </c>
      <c r="H359" t="s">
        <v>15</v>
      </c>
      <c r="I359" t="s">
        <v>3843</v>
      </c>
      <c r="J359" t="s">
        <v>120</v>
      </c>
      <c r="L359">
        <v>6454</v>
      </c>
      <c r="M359" t="s">
        <v>3836</v>
      </c>
      <c r="N359" t="s">
        <v>4337</v>
      </c>
      <c r="O359" t="s">
        <v>528</v>
      </c>
    </row>
    <row r="360" spans="1:15" x14ac:dyDescent="0.25">
      <c r="A360" t="s">
        <v>3851</v>
      </c>
      <c r="B360" t="s">
        <v>4177</v>
      </c>
      <c r="C360" t="s">
        <v>4178</v>
      </c>
      <c r="E360" s="13">
        <v>46085</v>
      </c>
      <c r="F360" t="s">
        <v>4204</v>
      </c>
      <c r="G360">
        <v>-19.5</v>
      </c>
      <c r="H360" t="s">
        <v>15</v>
      </c>
      <c r="I360" t="s">
        <v>3843</v>
      </c>
      <c r="J360" t="s">
        <v>103</v>
      </c>
      <c r="L360" t="s">
        <v>4202</v>
      </c>
      <c r="M360" t="s">
        <v>3836</v>
      </c>
      <c r="N360" t="s">
        <v>4337</v>
      </c>
      <c r="O360" t="s">
        <v>528</v>
      </c>
    </row>
    <row r="361" spans="1:15" x14ac:dyDescent="0.25">
      <c r="A361" t="s">
        <v>3851</v>
      </c>
      <c r="B361" t="s">
        <v>4177</v>
      </c>
      <c r="C361" t="s">
        <v>4178</v>
      </c>
      <c r="E361" s="13">
        <v>46085</v>
      </c>
      <c r="F361" t="s">
        <v>4205</v>
      </c>
      <c r="G361">
        <v>-19.5</v>
      </c>
      <c r="H361" t="s">
        <v>15</v>
      </c>
      <c r="I361" t="s">
        <v>3843</v>
      </c>
      <c r="J361" t="s">
        <v>103</v>
      </c>
      <c r="L361">
        <v>6454</v>
      </c>
      <c r="M361" t="s">
        <v>3836</v>
      </c>
      <c r="N361" t="s">
        <v>4337</v>
      </c>
      <c r="O361" t="s">
        <v>528</v>
      </c>
    </row>
    <row r="362" spans="1:15" x14ac:dyDescent="0.25">
      <c r="A362" t="s">
        <v>3851</v>
      </c>
      <c r="B362" t="s">
        <v>4177</v>
      </c>
      <c r="C362" t="s">
        <v>4178</v>
      </c>
      <c r="E362" s="13">
        <v>46085</v>
      </c>
      <c r="F362" t="s">
        <v>4206</v>
      </c>
      <c r="G362">
        <v>15</v>
      </c>
      <c r="H362" t="s">
        <v>15</v>
      </c>
      <c r="I362" t="s">
        <v>3843</v>
      </c>
      <c r="J362" t="s">
        <v>30</v>
      </c>
      <c r="L362" t="s">
        <v>4202</v>
      </c>
      <c r="M362" t="s">
        <v>3836</v>
      </c>
      <c r="N362" t="s">
        <v>4337</v>
      </c>
      <c r="O362" t="s">
        <v>528</v>
      </c>
    </row>
    <row r="363" spans="1:15" x14ac:dyDescent="0.25">
      <c r="A363" t="s">
        <v>3851</v>
      </c>
      <c r="B363" t="s">
        <v>4177</v>
      </c>
      <c r="C363" t="s">
        <v>4178</v>
      </c>
      <c r="E363" s="13">
        <v>46085</v>
      </c>
      <c r="F363" t="s">
        <v>4207</v>
      </c>
      <c r="G363">
        <v>15</v>
      </c>
      <c r="H363" t="s">
        <v>15</v>
      </c>
      <c r="I363" t="s">
        <v>3843</v>
      </c>
      <c r="J363" t="s">
        <v>30</v>
      </c>
      <c r="L363">
        <v>6454</v>
      </c>
      <c r="M363" t="s">
        <v>3836</v>
      </c>
      <c r="N363" t="s">
        <v>4337</v>
      </c>
      <c r="O363" t="s">
        <v>528</v>
      </c>
    </row>
    <row r="364" spans="1:15" x14ac:dyDescent="0.25">
      <c r="A364" t="s">
        <v>3851</v>
      </c>
      <c r="B364" t="s">
        <v>4177</v>
      </c>
      <c r="C364" t="s">
        <v>4178</v>
      </c>
      <c r="E364" s="13">
        <v>46063</v>
      </c>
      <c r="F364" t="s">
        <v>4208</v>
      </c>
      <c r="G364">
        <v>238.25</v>
      </c>
      <c r="H364" t="s">
        <v>15</v>
      </c>
      <c r="I364" t="s">
        <v>3594</v>
      </c>
      <c r="J364" t="s">
        <v>47</v>
      </c>
      <c r="L364">
        <v>4246</v>
      </c>
      <c r="M364" t="s">
        <v>3855</v>
      </c>
      <c r="N364" t="s">
        <v>4337</v>
      </c>
      <c r="O364" t="s">
        <v>528</v>
      </c>
    </row>
    <row r="365" spans="1:15" x14ac:dyDescent="0.25">
      <c r="A365" t="s">
        <v>3851</v>
      </c>
      <c r="B365" t="s">
        <v>4177</v>
      </c>
      <c r="C365" t="s">
        <v>4178</v>
      </c>
      <c r="E365" s="13">
        <v>46063</v>
      </c>
      <c r="F365" t="s">
        <v>4209</v>
      </c>
      <c r="G365">
        <v>713.85</v>
      </c>
      <c r="H365" t="s">
        <v>15</v>
      </c>
      <c r="I365" t="s">
        <v>3594</v>
      </c>
      <c r="J365" t="s">
        <v>47</v>
      </c>
      <c r="L365" t="s">
        <v>4202</v>
      </c>
      <c r="M365" t="s">
        <v>3836</v>
      </c>
      <c r="N365" t="s">
        <v>4337</v>
      </c>
      <c r="O365" t="s">
        <v>528</v>
      </c>
    </row>
    <row r="366" spans="1:15" x14ac:dyDescent="0.25">
      <c r="A366" t="s">
        <v>3851</v>
      </c>
      <c r="B366" t="s">
        <v>4177</v>
      </c>
      <c r="C366" t="s">
        <v>4178</v>
      </c>
      <c r="E366" s="13">
        <v>46063</v>
      </c>
      <c r="F366" t="s">
        <v>4210</v>
      </c>
      <c r="G366">
        <v>7.5</v>
      </c>
      <c r="H366" t="s">
        <v>15</v>
      </c>
      <c r="I366" t="s">
        <v>3843</v>
      </c>
      <c r="J366" t="s">
        <v>30</v>
      </c>
      <c r="L366">
        <v>4246</v>
      </c>
      <c r="M366" t="s">
        <v>3855</v>
      </c>
      <c r="N366" t="s">
        <v>4337</v>
      </c>
      <c r="O366" t="s">
        <v>528</v>
      </c>
    </row>
    <row r="367" spans="1:15" x14ac:dyDescent="0.25">
      <c r="A367" t="s">
        <v>3851</v>
      </c>
      <c r="B367" t="s">
        <v>4177</v>
      </c>
      <c r="C367" t="s">
        <v>4178</v>
      </c>
      <c r="E367" s="13">
        <v>46063</v>
      </c>
      <c r="F367" t="s">
        <v>4211</v>
      </c>
      <c r="G367">
        <v>22.5</v>
      </c>
      <c r="H367" t="s">
        <v>15</v>
      </c>
      <c r="I367" t="s">
        <v>3843</v>
      </c>
      <c r="J367" t="s">
        <v>30</v>
      </c>
      <c r="L367" t="s">
        <v>4202</v>
      </c>
      <c r="M367" t="s">
        <v>3836</v>
      </c>
      <c r="N367" t="s">
        <v>4337</v>
      </c>
      <c r="O367" t="s">
        <v>528</v>
      </c>
    </row>
    <row r="368" spans="1:15" x14ac:dyDescent="0.25">
      <c r="A368" t="s">
        <v>4212</v>
      </c>
      <c r="B368" t="s">
        <v>4213</v>
      </c>
      <c r="C368" t="s">
        <v>4214</v>
      </c>
      <c r="E368" s="13">
        <v>46059</v>
      </c>
      <c r="F368" t="s">
        <v>4215</v>
      </c>
      <c r="G368">
        <v>8.7899999999999991</v>
      </c>
      <c r="H368" t="s">
        <v>15</v>
      </c>
      <c r="I368" t="s">
        <v>21</v>
      </c>
      <c r="J368" t="s">
        <v>111</v>
      </c>
      <c r="L368">
        <v>6001</v>
      </c>
      <c r="M368" t="s">
        <v>3836</v>
      </c>
      <c r="N368" t="s">
        <v>4337</v>
      </c>
      <c r="O368" t="s">
        <v>545</v>
      </c>
    </row>
    <row r="369" spans="1:15" x14ac:dyDescent="0.25">
      <c r="A369" t="s">
        <v>4212</v>
      </c>
      <c r="B369" t="s">
        <v>4213</v>
      </c>
      <c r="C369" t="s">
        <v>4214</v>
      </c>
      <c r="E369" s="13">
        <v>46062</v>
      </c>
      <c r="F369" t="s">
        <v>3593</v>
      </c>
      <c r="G369">
        <v>53.96</v>
      </c>
      <c r="H369" t="s">
        <v>15</v>
      </c>
      <c r="I369" t="s">
        <v>21</v>
      </c>
      <c r="J369" t="s">
        <v>111</v>
      </c>
      <c r="L369">
        <v>6001</v>
      </c>
      <c r="M369" t="s">
        <v>3836</v>
      </c>
      <c r="N369" t="s">
        <v>4337</v>
      </c>
      <c r="O369" t="s">
        <v>545</v>
      </c>
    </row>
    <row r="370" spans="1:15" x14ac:dyDescent="0.25">
      <c r="A370" t="s">
        <v>4212</v>
      </c>
      <c r="B370" t="s">
        <v>4213</v>
      </c>
      <c r="C370" t="s">
        <v>4214</v>
      </c>
      <c r="E370" s="13">
        <v>46064</v>
      </c>
      <c r="F370" t="s">
        <v>3593</v>
      </c>
      <c r="G370">
        <v>49.97</v>
      </c>
      <c r="H370" t="s">
        <v>15</v>
      </c>
      <c r="I370" t="s">
        <v>21</v>
      </c>
      <c r="J370" t="s">
        <v>111</v>
      </c>
      <c r="L370">
        <v>6001</v>
      </c>
      <c r="M370" t="s">
        <v>3836</v>
      </c>
      <c r="N370" t="s">
        <v>4337</v>
      </c>
      <c r="O370" t="s">
        <v>545</v>
      </c>
    </row>
    <row r="371" spans="1:15" x14ac:dyDescent="0.25">
      <c r="A371" t="s">
        <v>4212</v>
      </c>
      <c r="B371" t="s">
        <v>4213</v>
      </c>
      <c r="C371" t="s">
        <v>4214</v>
      </c>
      <c r="E371" s="13">
        <v>46064</v>
      </c>
      <c r="F371" t="s">
        <v>3593</v>
      </c>
      <c r="G371">
        <v>7.49</v>
      </c>
      <c r="H371" t="s">
        <v>15</v>
      </c>
      <c r="I371" t="s">
        <v>21</v>
      </c>
      <c r="J371" t="s">
        <v>111</v>
      </c>
      <c r="L371">
        <v>6001</v>
      </c>
      <c r="M371" t="s">
        <v>3836</v>
      </c>
      <c r="N371" t="s">
        <v>4337</v>
      </c>
      <c r="O371" t="s">
        <v>545</v>
      </c>
    </row>
    <row r="372" spans="1:15" x14ac:dyDescent="0.25">
      <c r="A372" t="s">
        <v>4212</v>
      </c>
      <c r="B372" t="s">
        <v>4213</v>
      </c>
      <c r="C372" t="s">
        <v>4214</v>
      </c>
      <c r="E372" s="13">
        <v>46065</v>
      </c>
      <c r="F372" t="s">
        <v>3593</v>
      </c>
      <c r="G372">
        <v>71.81</v>
      </c>
      <c r="H372" t="s">
        <v>15</v>
      </c>
      <c r="I372" t="s">
        <v>21</v>
      </c>
      <c r="J372" t="s">
        <v>111</v>
      </c>
      <c r="L372">
        <v>6001</v>
      </c>
      <c r="M372" t="s">
        <v>3836</v>
      </c>
      <c r="N372" t="s">
        <v>4337</v>
      </c>
      <c r="O372" t="s">
        <v>545</v>
      </c>
    </row>
    <row r="373" spans="1:15" x14ac:dyDescent="0.25">
      <c r="A373" t="s">
        <v>4212</v>
      </c>
      <c r="B373" t="s">
        <v>4213</v>
      </c>
      <c r="C373" t="s">
        <v>4214</v>
      </c>
      <c r="E373" s="13">
        <v>46065</v>
      </c>
      <c r="F373" t="s">
        <v>4215</v>
      </c>
      <c r="G373">
        <v>7.18</v>
      </c>
      <c r="H373" t="s">
        <v>15</v>
      </c>
      <c r="I373" t="s">
        <v>21</v>
      </c>
      <c r="J373" t="s">
        <v>111</v>
      </c>
      <c r="L373">
        <v>6001</v>
      </c>
      <c r="M373" t="s">
        <v>3836</v>
      </c>
      <c r="N373" t="s">
        <v>4337</v>
      </c>
      <c r="O373" t="s">
        <v>545</v>
      </c>
    </row>
    <row r="374" spans="1:15" x14ac:dyDescent="0.25">
      <c r="A374" t="s">
        <v>4212</v>
      </c>
      <c r="B374" t="s">
        <v>4213</v>
      </c>
      <c r="C374" t="s">
        <v>4214</v>
      </c>
      <c r="E374" s="13">
        <v>46066</v>
      </c>
      <c r="F374" t="s">
        <v>3593</v>
      </c>
      <c r="G374">
        <v>44.36</v>
      </c>
      <c r="H374" t="s">
        <v>15</v>
      </c>
      <c r="I374" t="s">
        <v>21</v>
      </c>
      <c r="J374" t="s">
        <v>111</v>
      </c>
      <c r="L374">
        <v>6001</v>
      </c>
      <c r="M374" t="s">
        <v>3836</v>
      </c>
      <c r="N374" t="s">
        <v>4337</v>
      </c>
      <c r="O374" t="s">
        <v>545</v>
      </c>
    </row>
    <row r="375" spans="1:15" x14ac:dyDescent="0.25">
      <c r="A375" t="s">
        <v>4212</v>
      </c>
      <c r="B375" t="s">
        <v>4213</v>
      </c>
      <c r="C375" t="s">
        <v>4214</v>
      </c>
      <c r="E375" s="13">
        <v>46072</v>
      </c>
      <c r="F375" t="s">
        <v>3593</v>
      </c>
      <c r="G375">
        <v>43.2</v>
      </c>
      <c r="H375" t="s">
        <v>15</v>
      </c>
      <c r="I375" t="s">
        <v>21</v>
      </c>
      <c r="J375" t="s">
        <v>111</v>
      </c>
      <c r="L375">
        <v>6001</v>
      </c>
      <c r="M375" t="s">
        <v>3836</v>
      </c>
      <c r="N375" t="s">
        <v>4337</v>
      </c>
      <c r="O375" t="s">
        <v>545</v>
      </c>
    </row>
    <row r="376" spans="1:15" x14ac:dyDescent="0.25">
      <c r="A376" t="s">
        <v>4212</v>
      </c>
      <c r="B376" t="s">
        <v>4213</v>
      </c>
      <c r="C376" t="s">
        <v>4214</v>
      </c>
      <c r="E376" s="13">
        <v>46072</v>
      </c>
      <c r="F376" t="s">
        <v>4215</v>
      </c>
      <c r="G376">
        <v>8.64</v>
      </c>
      <c r="H376" t="s">
        <v>15</v>
      </c>
      <c r="I376" t="s">
        <v>21</v>
      </c>
      <c r="J376" t="s">
        <v>111</v>
      </c>
      <c r="L376">
        <v>6001</v>
      </c>
      <c r="M376" t="s">
        <v>3836</v>
      </c>
      <c r="N376" t="s">
        <v>4337</v>
      </c>
      <c r="O376" t="s">
        <v>545</v>
      </c>
    </row>
    <row r="377" spans="1:15" x14ac:dyDescent="0.25">
      <c r="A377" t="s">
        <v>4212</v>
      </c>
      <c r="B377" t="s">
        <v>4213</v>
      </c>
      <c r="C377" t="s">
        <v>4214</v>
      </c>
      <c r="E377" s="13">
        <v>46072</v>
      </c>
      <c r="F377" t="s">
        <v>3593</v>
      </c>
      <c r="G377">
        <v>58.57</v>
      </c>
      <c r="H377" t="s">
        <v>15</v>
      </c>
      <c r="I377" t="s">
        <v>21</v>
      </c>
      <c r="J377" t="s">
        <v>111</v>
      </c>
      <c r="L377">
        <v>6001</v>
      </c>
      <c r="M377" t="s">
        <v>3836</v>
      </c>
      <c r="N377" t="s">
        <v>4337</v>
      </c>
      <c r="O377" t="s">
        <v>545</v>
      </c>
    </row>
    <row r="378" spans="1:15" x14ac:dyDescent="0.25">
      <c r="A378" t="s">
        <v>4212</v>
      </c>
      <c r="B378" t="s">
        <v>4213</v>
      </c>
      <c r="C378" t="s">
        <v>4214</v>
      </c>
      <c r="E378" s="13">
        <v>46073</v>
      </c>
      <c r="F378" t="s">
        <v>4216</v>
      </c>
      <c r="G378">
        <v>166.35</v>
      </c>
      <c r="H378" t="s">
        <v>15</v>
      </c>
      <c r="I378" t="s">
        <v>21</v>
      </c>
      <c r="J378" t="s">
        <v>111</v>
      </c>
      <c r="L378">
        <v>1035</v>
      </c>
      <c r="M378" t="s">
        <v>3836</v>
      </c>
      <c r="N378" t="s">
        <v>4337</v>
      </c>
      <c r="O378" t="s">
        <v>545</v>
      </c>
    </row>
    <row r="379" spans="1:15" x14ac:dyDescent="0.25">
      <c r="A379" t="s">
        <v>4212</v>
      </c>
      <c r="B379" t="s">
        <v>4213</v>
      </c>
      <c r="C379" t="s">
        <v>4214</v>
      </c>
      <c r="E379" s="13">
        <v>46079</v>
      </c>
      <c r="F379" t="s">
        <v>4217</v>
      </c>
      <c r="G379">
        <v>84.35</v>
      </c>
      <c r="H379" t="s">
        <v>15</v>
      </c>
      <c r="I379" t="s">
        <v>21</v>
      </c>
      <c r="J379" t="s">
        <v>111</v>
      </c>
      <c r="L379">
        <v>1035</v>
      </c>
      <c r="M379" t="s">
        <v>3836</v>
      </c>
      <c r="N379" t="s">
        <v>4337</v>
      </c>
      <c r="O379" t="s">
        <v>545</v>
      </c>
    </row>
    <row r="380" spans="1:15" x14ac:dyDescent="0.25">
      <c r="A380" t="s">
        <v>4212</v>
      </c>
      <c r="B380" t="s">
        <v>4213</v>
      </c>
      <c r="C380" t="s">
        <v>4214</v>
      </c>
      <c r="E380" s="13">
        <v>46084</v>
      </c>
      <c r="F380" t="s">
        <v>3593</v>
      </c>
      <c r="G380">
        <v>39.049999999999997</v>
      </c>
      <c r="H380" t="s">
        <v>15</v>
      </c>
      <c r="I380" t="s">
        <v>21</v>
      </c>
      <c r="J380" t="s">
        <v>111</v>
      </c>
      <c r="L380">
        <v>6001</v>
      </c>
      <c r="M380" t="s">
        <v>3836</v>
      </c>
      <c r="N380" t="s">
        <v>4337</v>
      </c>
      <c r="O380" t="s">
        <v>545</v>
      </c>
    </row>
    <row r="381" spans="1:15" x14ac:dyDescent="0.25">
      <c r="A381" t="s">
        <v>4212</v>
      </c>
      <c r="B381" t="s">
        <v>4213</v>
      </c>
      <c r="C381" t="s">
        <v>4214</v>
      </c>
      <c r="E381" s="13">
        <v>46084</v>
      </c>
      <c r="F381" t="s">
        <v>4215</v>
      </c>
      <c r="G381">
        <v>7.81</v>
      </c>
      <c r="H381" t="s">
        <v>15</v>
      </c>
      <c r="I381" t="s">
        <v>21</v>
      </c>
      <c r="J381" t="s">
        <v>111</v>
      </c>
      <c r="L381">
        <v>6001</v>
      </c>
      <c r="M381" t="s">
        <v>3836</v>
      </c>
      <c r="N381" t="s">
        <v>4337</v>
      </c>
      <c r="O381" t="s">
        <v>545</v>
      </c>
    </row>
    <row r="382" spans="1:15" x14ac:dyDescent="0.25">
      <c r="A382" t="s">
        <v>4212</v>
      </c>
      <c r="B382" t="s">
        <v>4213</v>
      </c>
      <c r="C382" t="s">
        <v>4214</v>
      </c>
      <c r="E382" s="13">
        <v>46084</v>
      </c>
      <c r="F382" t="s">
        <v>3593</v>
      </c>
      <c r="G382">
        <v>67.209999999999994</v>
      </c>
      <c r="H382" t="s">
        <v>15</v>
      </c>
      <c r="I382" t="s">
        <v>21</v>
      </c>
      <c r="J382" t="s">
        <v>111</v>
      </c>
      <c r="L382">
        <v>6001</v>
      </c>
      <c r="M382" t="s">
        <v>3836</v>
      </c>
      <c r="N382" t="s">
        <v>4337</v>
      </c>
      <c r="O382" t="s">
        <v>545</v>
      </c>
    </row>
    <row r="383" spans="1:15" x14ac:dyDescent="0.25">
      <c r="A383" t="s">
        <v>4212</v>
      </c>
      <c r="B383" t="s">
        <v>4213</v>
      </c>
      <c r="C383" t="s">
        <v>4214</v>
      </c>
      <c r="E383" s="13">
        <v>46085</v>
      </c>
      <c r="F383" t="s">
        <v>3593</v>
      </c>
      <c r="G383">
        <v>62.01</v>
      </c>
      <c r="H383" t="s">
        <v>15</v>
      </c>
      <c r="I383" t="s">
        <v>21</v>
      </c>
      <c r="J383" t="s">
        <v>111</v>
      </c>
      <c r="L383">
        <v>6001</v>
      </c>
      <c r="M383" t="s">
        <v>3836</v>
      </c>
      <c r="N383" t="s">
        <v>4337</v>
      </c>
      <c r="O383" t="s">
        <v>545</v>
      </c>
    </row>
    <row r="384" spans="1:15" x14ac:dyDescent="0.25">
      <c r="A384" t="s">
        <v>4212</v>
      </c>
      <c r="B384" t="s">
        <v>4213</v>
      </c>
      <c r="C384" t="s">
        <v>4214</v>
      </c>
      <c r="E384" s="13">
        <v>46079</v>
      </c>
      <c r="F384" t="s">
        <v>4198</v>
      </c>
      <c r="G384">
        <v>16.170000000000002</v>
      </c>
      <c r="H384" t="s">
        <v>15</v>
      </c>
      <c r="I384" t="s">
        <v>16</v>
      </c>
      <c r="J384" t="s">
        <v>4218</v>
      </c>
      <c r="L384">
        <v>1035</v>
      </c>
      <c r="M384" t="s">
        <v>3836</v>
      </c>
      <c r="N384" t="s">
        <v>4337</v>
      </c>
      <c r="O384" t="s">
        <v>545</v>
      </c>
    </row>
    <row r="385" spans="1:15" x14ac:dyDescent="0.25">
      <c r="A385" t="s">
        <v>4212</v>
      </c>
      <c r="B385" t="s">
        <v>4213</v>
      </c>
      <c r="C385" t="s">
        <v>4214</v>
      </c>
      <c r="E385" s="13">
        <v>46073</v>
      </c>
      <c r="F385" t="s">
        <v>4198</v>
      </c>
      <c r="G385">
        <v>22.65</v>
      </c>
      <c r="H385" t="s">
        <v>15</v>
      </c>
      <c r="I385" t="s">
        <v>16</v>
      </c>
      <c r="J385" t="s">
        <v>4219</v>
      </c>
      <c r="L385">
        <v>1035</v>
      </c>
      <c r="M385" t="s">
        <v>3836</v>
      </c>
      <c r="N385" t="s">
        <v>4337</v>
      </c>
      <c r="O385" t="s">
        <v>545</v>
      </c>
    </row>
    <row r="386" spans="1:15" x14ac:dyDescent="0.25">
      <c r="A386" t="s">
        <v>4212</v>
      </c>
      <c r="B386" t="s">
        <v>4213</v>
      </c>
      <c r="C386" t="s">
        <v>4214</v>
      </c>
      <c r="E386" s="13">
        <v>46059</v>
      </c>
      <c r="F386" t="s">
        <v>3593</v>
      </c>
      <c r="G386">
        <v>43.99</v>
      </c>
      <c r="H386" t="s">
        <v>15</v>
      </c>
      <c r="I386" t="s">
        <v>21</v>
      </c>
      <c r="J386" t="s">
        <v>111</v>
      </c>
      <c r="L386">
        <v>6001</v>
      </c>
      <c r="M386" t="s">
        <v>3836</v>
      </c>
      <c r="N386" t="s">
        <v>4337</v>
      </c>
      <c r="O386" t="s">
        <v>545</v>
      </c>
    </row>
    <row r="387" spans="1:15" x14ac:dyDescent="0.25">
      <c r="A387" t="s">
        <v>4212</v>
      </c>
      <c r="B387" t="s">
        <v>4213</v>
      </c>
      <c r="C387" t="s">
        <v>4214</v>
      </c>
      <c r="E387" s="13">
        <v>46079</v>
      </c>
      <c r="F387" t="s">
        <v>3921</v>
      </c>
      <c r="G387">
        <v>10</v>
      </c>
      <c r="H387" t="s">
        <v>15</v>
      </c>
      <c r="I387" t="s">
        <v>3594</v>
      </c>
      <c r="J387" t="s">
        <v>93</v>
      </c>
      <c r="L387">
        <v>6001</v>
      </c>
      <c r="M387" t="s">
        <v>3836</v>
      </c>
      <c r="N387" t="s">
        <v>4337</v>
      </c>
      <c r="O387" t="s">
        <v>545</v>
      </c>
    </row>
    <row r="388" spans="1:15" x14ac:dyDescent="0.25">
      <c r="A388" t="s">
        <v>4212</v>
      </c>
      <c r="B388" t="s">
        <v>4213</v>
      </c>
      <c r="C388" t="s">
        <v>4214</v>
      </c>
      <c r="E388" s="13">
        <v>46079</v>
      </c>
      <c r="F388" t="s">
        <v>3921</v>
      </c>
      <c r="G388">
        <v>8</v>
      </c>
      <c r="H388" t="s">
        <v>15</v>
      </c>
      <c r="I388" t="s">
        <v>3594</v>
      </c>
      <c r="J388" t="s">
        <v>93</v>
      </c>
      <c r="L388">
        <v>6001</v>
      </c>
      <c r="M388" t="s">
        <v>3836</v>
      </c>
      <c r="N388" t="s">
        <v>4337</v>
      </c>
      <c r="O388" t="s">
        <v>545</v>
      </c>
    </row>
    <row r="389" spans="1:15" x14ac:dyDescent="0.25">
      <c r="A389" t="s">
        <v>4212</v>
      </c>
      <c r="B389" t="s">
        <v>4213</v>
      </c>
      <c r="C389" t="s">
        <v>4214</v>
      </c>
      <c r="E389" s="13">
        <v>46059</v>
      </c>
      <c r="F389" t="s">
        <v>4220</v>
      </c>
      <c r="G389">
        <v>8.99</v>
      </c>
      <c r="H389" t="s">
        <v>15</v>
      </c>
      <c r="I389" t="s">
        <v>4093</v>
      </c>
      <c r="J389" t="s">
        <v>4221</v>
      </c>
      <c r="L389">
        <v>6487</v>
      </c>
      <c r="M389" t="s">
        <v>3836</v>
      </c>
      <c r="N389" t="s">
        <v>4337</v>
      </c>
      <c r="O389" t="s">
        <v>545</v>
      </c>
    </row>
    <row r="390" spans="1:15" x14ac:dyDescent="0.25">
      <c r="A390" t="s">
        <v>4222</v>
      </c>
      <c r="B390" t="s">
        <v>4223</v>
      </c>
      <c r="C390" t="s">
        <v>4224</v>
      </c>
      <c r="E390" s="13">
        <v>46083</v>
      </c>
      <c r="F390" t="s">
        <v>4225</v>
      </c>
      <c r="G390">
        <v>1799.72</v>
      </c>
      <c r="H390" t="s">
        <v>15</v>
      </c>
      <c r="I390" t="s">
        <v>3594</v>
      </c>
      <c r="J390" t="s">
        <v>32</v>
      </c>
      <c r="L390">
        <v>1016</v>
      </c>
      <c r="M390" t="s">
        <v>4137</v>
      </c>
      <c r="N390" t="s">
        <v>4337</v>
      </c>
      <c r="O390" t="s">
        <v>419</v>
      </c>
    </row>
    <row r="391" spans="1:15" x14ac:dyDescent="0.25">
      <c r="A391" t="s">
        <v>4222</v>
      </c>
      <c r="B391" t="s">
        <v>4223</v>
      </c>
      <c r="C391" t="s">
        <v>4224</v>
      </c>
      <c r="E391" s="13">
        <v>46083</v>
      </c>
      <c r="F391" t="s">
        <v>4226</v>
      </c>
      <c r="G391">
        <v>30</v>
      </c>
      <c r="H391" t="s">
        <v>15</v>
      </c>
      <c r="I391" t="s">
        <v>3843</v>
      </c>
      <c r="J391" t="s">
        <v>30</v>
      </c>
      <c r="L391">
        <v>1016</v>
      </c>
      <c r="M391" t="s">
        <v>4137</v>
      </c>
      <c r="N391" t="s">
        <v>4337</v>
      </c>
      <c r="O391" t="s">
        <v>419</v>
      </c>
    </row>
    <row r="392" spans="1:15" x14ac:dyDescent="0.25">
      <c r="A392" t="s">
        <v>4222</v>
      </c>
      <c r="B392" t="s">
        <v>4223</v>
      </c>
      <c r="C392" t="s">
        <v>4224</v>
      </c>
      <c r="E392" s="13">
        <v>46072</v>
      </c>
      <c r="F392" t="s">
        <v>4227</v>
      </c>
      <c r="G392">
        <v>63.98</v>
      </c>
      <c r="H392" t="s">
        <v>15</v>
      </c>
      <c r="I392" t="s">
        <v>21</v>
      </c>
      <c r="J392" t="s">
        <v>111</v>
      </c>
      <c r="L392">
        <v>2106</v>
      </c>
      <c r="M392" t="s">
        <v>4137</v>
      </c>
      <c r="N392" t="s">
        <v>4337</v>
      </c>
      <c r="O392" t="s">
        <v>419</v>
      </c>
    </row>
    <row r="393" spans="1:15" x14ac:dyDescent="0.25">
      <c r="A393" t="s">
        <v>4222</v>
      </c>
      <c r="B393" t="s">
        <v>4223</v>
      </c>
      <c r="C393" t="s">
        <v>4224</v>
      </c>
      <c r="E393" s="13">
        <v>46072</v>
      </c>
      <c r="F393" t="s">
        <v>4228</v>
      </c>
      <c r="G393">
        <v>40.26</v>
      </c>
      <c r="H393" t="s">
        <v>15</v>
      </c>
      <c r="I393" t="s">
        <v>21</v>
      </c>
      <c r="J393" t="s">
        <v>111</v>
      </c>
      <c r="L393">
        <v>2106</v>
      </c>
      <c r="M393" t="s">
        <v>4137</v>
      </c>
      <c r="N393" t="s">
        <v>4337</v>
      </c>
      <c r="O393" t="s">
        <v>419</v>
      </c>
    </row>
    <row r="394" spans="1:15" x14ac:dyDescent="0.25">
      <c r="A394" t="s">
        <v>4222</v>
      </c>
      <c r="B394" t="s">
        <v>4223</v>
      </c>
      <c r="C394" t="s">
        <v>4224</v>
      </c>
      <c r="E394" s="13">
        <v>46071</v>
      </c>
      <c r="F394" t="s">
        <v>4229</v>
      </c>
      <c r="G394">
        <v>23.44</v>
      </c>
      <c r="H394" t="s">
        <v>15</v>
      </c>
      <c r="I394" t="s">
        <v>16</v>
      </c>
      <c r="J394" t="s">
        <v>4230</v>
      </c>
      <c r="L394">
        <v>2106</v>
      </c>
      <c r="M394" t="s">
        <v>4137</v>
      </c>
      <c r="N394" t="s">
        <v>4337</v>
      </c>
      <c r="O394" t="s">
        <v>419</v>
      </c>
    </row>
    <row r="395" spans="1:15" x14ac:dyDescent="0.25">
      <c r="A395" t="s">
        <v>4222</v>
      </c>
      <c r="B395" t="s">
        <v>4223</v>
      </c>
      <c r="C395" t="s">
        <v>4224</v>
      </c>
      <c r="E395" s="13">
        <v>46071</v>
      </c>
      <c r="F395" t="s">
        <v>4229</v>
      </c>
      <c r="G395">
        <v>55.58</v>
      </c>
      <c r="H395" t="s">
        <v>15</v>
      </c>
      <c r="I395" t="s">
        <v>16</v>
      </c>
      <c r="J395" t="s">
        <v>4231</v>
      </c>
      <c r="L395">
        <v>2106</v>
      </c>
      <c r="M395" t="s">
        <v>4137</v>
      </c>
      <c r="N395" t="s">
        <v>4337</v>
      </c>
      <c r="O395" t="s">
        <v>419</v>
      </c>
    </row>
    <row r="396" spans="1:15" x14ac:dyDescent="0.25">
      <c r="A396" t="s">
        <v>4222</v>
      </c>
      <c r="B396" t="s">
        <v>4223</v>
      </c>
      <c r="C396" t="s">
        <v>4224</v>
      </c>
      <c r="E396" s="13">
        <v>46070</v>
      </c>
      <c r="F396" t="s">
        <v>4232</v>
      </c>
      <c r="G396">
        <v>29.98</v>
      </c>
      <c r="H396" t="s">
        <v>15</v>
      </c>
      <c r="I396" t="s">
        <v>21</v>
      </c>
      <c r="J396" t="s">
        <v>111</v>
      </c>
      <c r="L396">
        <v>2106</v>
      </c>
      <c r="M396" t="s">
        <v>4137</v>
      </c>
      <c r="N396" t="s">
        <v>4337</v>
      </c>
      <c r="O396" t="s">
        <v>419</v>
      </c>
    </row>
    <row r="397" spans="1:15" x14ac:dyDescent="0.25">
      <c r="A397" t="s">
        <v>4222</v>
      </c>
      <c r="B397" t="s">
        <v>4223</v>
      </c>
      <c r="C397" t="s">
        <v>4224</v>
      </c>
      <c r="E397" s="13">
        <v>46070</v>
      </c>
      <c r="F397" t="s">
        <v>4233</v>
      </c>
      <c r="G397">
        <v>44.97</v>
      </c>
      <c r="H397" t="s">
        <v>15</v>
      </c>
      <c r="I397" t="s">
        <v>21</v>
      </c>
      <c r="J397" t="s">
        <v>111</v>
      </c>
      <c r="L397">
        <v>2106</v>
      </c>
      <c r="M397" t="s">
        <v>4137</v>
      </c>
      <c r="N397" t="s">
        <v>4337</v>
      </c>
      <c r="O397" t="s">
        <v>419</v>
      </c>
    </row>
    <row r="398" spans="1:15" x14ac:dyDescent="0.25">
      <c r="A398" t="s">
        <v>4222</v>
      </c>
      <c r="B398" t="s">
        <v>4223</v>
      </c>
      <c r="C398" t="s">
        <v>4224</v>
      </c>
      <c r="E398" s="13">
        <v>46070</v>
      </c>
      <c r="F398" t="s">
        <v>4234</v>
      </c>
      <c r="G398">
        <v>50.99</v>
      </c>
      <c r="H398" t="s">
        <v>15</v>
      </c>
      <c r="I398" t="s">
        <v>21</v>
      </c>
      <c r="J398" t="s">
        <v>111</v>
      </c>
      <c r="L398">
        <v>2106</v>
      </c>
      <c r="M398" t="s">
        <v>4137</v>
      </c>
      <c r="N398" t="s">
        <v>4337</v>
      </c>
      <c r="O398" t="s">
        <v>419</v>
      </c>
    </row>
    <row r="399" spans="1:15" x14ac:dyDescent="0.25">
      <c r="A399" t="s">
        <v>4222</v>
      </c>
      <c r="B399" t="s">
        <v>4223</v>
      </c>
      <c r="C399" t="s">
        <v>4224</v>
      </c>
      <c r="E399" s="13">
        <v>46065</v>
      </c>
      <c r="F399" t="s">
        <v>4235</v>
      </c>
      <c r="G399">
        <v>138</v>
      </c>
      <c r="H399" t="s">
        <v>15</v>
      </c>
      <c r="I399" t="s">
        <v>3594</v>
      </c>
      <c r="J399" t="s">
        <v>32</v>
      </c>
      <c r="L399">
        <v>2106</v>
      </c>
      <c r="M399" t="s">
        <v>4137</v>
      </c>
      <c r="N399" t="s">
        <v>4337</v>
      </c>
      <c r="O399" t="s">
        <v>419</v>
      </c>
    </row>
    <row r="400" spans="1:15" x14ac:dyDescent="0.25">
      <c r="A400" t="s">
        <v>4222</v>
      </c>
      <c r="B400" t="s">
        <v>4223</v>
      </c>
      <c r="C400" t="s">
        <v>4224</v>
      </c>
      <c r="E400" s="13">
        <v>46065</v>
      </c>
      <c r="F400" t="s">
        <v>4236</v>
      </c>
      <c r="G400">
        <v>30</v>
      </c>
      <c r="H400" t="s">
        <v>15</v>
      </c>
      <c r="I400" t="s">
        <v>3843</v>
      </c>
      <c r="J400" t="s">
        <v>30</v>
      </c>
      <c r="L400">
        <v>2106</v>
      </c>
      <c r="M400" t="s">
        <v>4137</v>
      </c>
      <c r="N400" t="s">
        <v>4337</v>
      </c>
      <c r="O400" t="s">
        <v>419</v>
      </c>
    </row>
    <row r="401" spans="1:15" x14ac:dyDescent="0.25">
      <c r="A401" t="s">
        <v>4222</v>
      </c>
      <c r="B401" t="s">
        <v>4223</v>
      </c>
      <c r="C401" t="s">
        <v>4224</v>
      </c>
      <c r="E401" s="13">
        <v>46059</v>
      </c>
      <c r="F401" t="s">
        <v>4235</v>
      </c>
      <c r="G401">
        <v>556.36</v>
      </c>
      <c r="H401" t="s">
        <v>15</v>
      </c>
      <c r="I401" t="s">
        <v>3594</v>
      </c>
      <c r="J401" t="s">
        <v>32</v>
      </c>
      <c r="L401">
        <v>2106</v>
      </c>
      <c r="M401" t="s">
        <v>4137</v>
      </c>
      <c r="N401" t="s">
        <v>4337</v>
      </c>
      <c r="O401" t="s">
        <v>419</v>
      </c>
    </row>
    <row r="402" spans="1:15" x14ac:dyDescent="0.25">
      <c r="A402" t="s">
        <v>4222</v>
      </c>
      <c r="B402" t="s">
        <v>4223</v>
      </c>
      <c r="C402" t="s">
        <v>4224</v>
      </c>
      <c r="E402" s="13">
        <v>46059</v>
      </c>
      <c r="F402" t="s">
        <v>4236</v>
      </c>
      <c r="G402">
        <v>30</v>
      </c>
      <c r="H402" t="s">
        <v>15</v>
      </c>
      <c r="I402" t="s">
        <v>3843</v>
      </c>
      <c r="J402" t="s">
        <v>30</v>
      </c>
      <c r="L402">
        <v>2106</v>
      </c>
      <c r="M402" t="s">
        <v>4137</v>
      </c>
      <c r="N402" t="s">
        <v>4337</v>
      </c>
      <c r="O402" t="s">
        <v>419</v>
      </c>
    </row>
    <row r="403" spans="1:15" x14ac:dyDescent="0.25">
      <c r="A403" t="s">
        <v>4222</v>
      </c>
      <c r="B403" t="s">
        <v>4223</v>
      </c>
      <c r="C403" t="s">
        <v>4224</v>
      </c>
      <c r="E403" s="13">
        <v>46059</v>
      </c>
      <c r="F403" t="s">
        <v>4237</v>
      </c>
      <c r="G403">
        <v>259</v>
      </c>
      <c r="H403" t="s">
        <v>15</v>
      </c>
      <c r="I403" t="s">
        <v>3843</v>
      </c>
      <c r="J403" t="s">
        <v>120</v>
      </c>
      <c r="L403">
        <v>2106</v>
      </c>
      <c r="M403" t="s">
        <v>4137</v>
      </c>
      <c r="N403" t="s">
        <v>4337</v>
      </c>
      <c r="O403" t="s">
        <v>419</v>
      </c>
    </row>
    <row r="404" spans="1:15" x14ac:dyDescent="0.25">
      <c r="A404" t="s">
        <v>4222</v>
      </c>
      <c r="B404" t="s">
        <v>4223</v>
      </c>
      <c r="C404" t="s">
        <v>4224</v>
      </c>
      <c r="E404" s="13">
        <v>46059</v>
      </c>
      <c r="F404" t="s">
        <v>4238</v>
      </c>
      <c r="G404">
        <v>30</v>
      </c>
      <c r="H404" t="s">
        <v>15</v>
      </c>
      <c r="I404" t="s">
        <v>3843</v>
      </c>
      <c r="J404" t="s">
        <v>30</v>
      </c>
      <c r="L404">
        <v>2106</v>
      </c>
      <c r="M404" t="s">
        <v>4137</v>
      </c>
      <c r="N404" t="s">
        <v>4337</v>
      </c>
      <c r="O404" t="s">
        <v>419</v>
      </c>
    </row>
    <row r="405" spans="1:15" x14ac:dyDescent="0.25">
      <c r="A405" t="s">
        <v>4222</v>
      </c>
      <c r="B405" t="s">
        <v>4223</v>
      </c>
      <c r="C405" t="s">
        <v>4224</v>
      </c>
      <c r="E405" s="13">
        <v>46057</v>
      </c>
      <c r="F405" t="s">
        <v>4239</v>
      </c>
      <c r="G405">
        <v>143.97999999999999</v>
      </c>
      <c r="H405" t="s">
        <v>15</v>
      </c>
      <c r="I405" t="s">
        <v>21</v>
      </c>
      <c r="J405" t="s">
        <v>111</v>
      </c>
      <c r="L405">
        <v>1016</v>
      </c>
      <c r="M405" t="s">
        <v>4137</v>
      </c>
      <c r="N405" t="s">
        <v>4337</v>
      </c>
      <c r="O405" t="s">
        <v>419</v>
      </c>
    </row>
    <row r="406" spans="1:15" x14ac:dyDescent="0.25">
      <c r="A406" t="s">
        <v>4222</v>
      </c>
      <c r="B406" t="s">
        <v>4223</v>
      </c>
      <c r="C406" t="s">
        <v>4224</v>
      </c>
      <c r="E406" s="13">
        <v>46057</v>
      </c>
      <c r="F406" t="s">
        <v>4240</v>
      </c>
      <c r="G406">
        <v>8</v>
      </c>
      <c r="H406" t="s">
        <v>15</v>
      </c>
      <c r="I406" t="s">
        <v>3594</v>
      </c>
      <c r="J406" t="s">
        <v>93</v>
      </c>
      <c r="L406">
        <v>1016</v>
      </c>
      <c r="M406" t="s">
        <v>4137</v>
      </c>
      <c r="N406" t="s">
        <v>4337</v>
      </c>
      <c r="O406" t="s">
        <v>419</v>
      </c>
    </row>
    <row r="407" spans="1:15" x14ac:dyDescent="0.25">
      <c r="A407" t="s">
        <v>4222</v>
      </c>
      <c r="B407" t="s">
        <v>4223</v>
      </c>
      <c r="C407" t="s">
        <v>4224</v>
      </c>
      <c r="E407" s="13">
        <v>46057</v>
      </c>
      <c r="F407" t="s">
        <v>4241</v>
      </c>
      <c r="G407">
        <v>1082.6600000000001</v>
      </c>
      <c r="H407" t="s">
        <v>15</v>
      </c>
      <c r="I407" t="s">
        <v>3864</v>
      </c>
      <c r="J407" t="s">
        <v>3612</v>
      </c>
      <c r="L407">
        <v>1016</v>
      </c>
      <c r="M407" t="s">
        <v>4137</v>
      </c>
      <c r="N407" t="s">
        <v>4337</v>
      </c>
      <c r="O407" t="s">
        <v>419</v>
      </c>
    </row>
    <row r="408" spans="1:15" x14ac:dyDescent="0.25">
      <c r="A408" t="s">
        <v>4242</v>
      </c>
      <c r="B408" t="s">
        <v>4243</v>
      </c>
      <c r="C408" t="s">
        <v>4244</v>
      </c>
      <c r="E408" s="13">
        <v>46073</v>
      </c>
      <c r="F408" t="s">
        <v>4245</v>
      </c>
      <c r="G408">
        <v>147.86000000000001</v>
      </c>
      <c r="H408" t="s">
        <v>15</v>
      </c>
      <c r="I408" t="s">
        <v>21</v>
      </c>
      <c r="J408" t="s">
        <v>111</v>
      </c>
      <c r="L408">
        <v>1035</v>
      </c>
      <c r="M408" t="s">
        <v>3836</v>
      </c>
      <c r="N408" t="s">
        <v>4337</v>
      </c>
      <c r="O408" t="s">
        <v>539</v>
      </c>
    </row>
    <row r="409" spans="1:15" x14ac:dyDescent="0.25">
      <c r="A409" t="s">
        <v>4242</v>
      </c>
      <c r="B409" t="s">
        <v>4243</v>
      </c>
      <c r="C409" t="s">
        <v>4244</v>
      </c>
      <c r="E409" s="13">
        <v>46073</v>
      </c>
      <c r="F409" t="s">
        <v>4246</v>
      </c>
      <c r="G409">
        <v>45.79</v>
      </c>
      <c r="H409" t="s">
        <v>15</v>
      </c>
      <c r="I409" t="s">
        <v>21</v>
      </c>
      <c r="J409" t="s">
        <v>111</v>
      </c>
      <c r="L409">
        <v>6001</v>
      </c>
      <c r="M409" t="s">
        <v>3836</v>
      </c>
      <c r="N409" t="s">
        <v>4337</v>
      </c>
      <c r="O409" t="s">
        <v>539</v>
      </c>
    </row>
    <row r="410" spans="1:15" x14ac:dyDescent="0.25">
      <c r="A410" t="s">
        <v>4242</v>
      </c>
      <c r="B410" t="s">
        <v>4243</v>
      </c>
      <c r="C410" t="s">
        <v>4244</v>
      </c>
      <c r="E410" s="13">
        <v>46066</v>
      </c>
      <c r="F410" t="s">
        <v>4246</v>
      </c>
      <c r="G410">
        <v>79.650000000000006</v>
      </c>
      <c r="H410" t="s">
        <v>15</v>
      </c>
      <c r="I410" t="s">
        <v>21</v>
      </c>
      <c r="J410" t="s">
        <v>111</v>
      </c>
      <c r="L410">
        <v>6001</v>
      </c>
      <c r="M410" t="s">
        <v>3836</v>
      </c>
      <c r="N410" t="s">
        <v>4337</v>
      </c>
      <c r="O410" t="s">
        <v>539</v>
      </c>
    </row>
    <row r="411" spans="1:15" x14ac:dyDescent="0.25">
      <c r="A411" t="s">
        <v>4242</v>
      </c>
      <c r="B411" t="s">
        <v>4243</v>
      </c>
      <c r="C411" t="s">
        <v>4244</v>
      </c>
      <c r="E411" s="13">
        <v>46065</v>
      </c>
      <c r="F411" t="s">
        <v>4246</v>
      </c>
      <c r="G411">
        <v>46.59</v>
      </c>
      <c r="H411" t="s">
        <v>15</v>
      </c>
      <c r="I411" t="s">
        <v>21</v>
      </c>
      <c r="J411" t="s">
        <v>111</v>
      </c>
      <c r="L411">
        <v>6001</v>
      </c>
      <c r="M411" t="s">
        <v>3836</v>
      </c>
      <c r="N411" t="s">
        <v>4337</v>
      </c>
      <c r="O411" t="s">
        <v>539</v>
      </c>
    </row>
    <row r="412" spans="1:15" x14ac:dyDescent="0.25">
      <c r="A412" t="s">
        <v>4242</v>
      </c>
      <c r="B412" t="s">
        <v>4243</v>
      </c>
      <c r="C412" t="s">
        <v>4244</v>
      </c>
      <c r="E412" s="13">
        <v>46064</v>
      </c>
      <c r="F412" t="s">
        <v>4246</v>
      </c>
      <c r="G412">
        <v>46.99</v>
      </c>
      <c r="H412" t="s">
        <v>15</v>
      </c>
      <c r="I412" t="s">
        <v>21</v>
      </c>
      <c r="J412" t="s">
        <v>111</v>
      </c>
      <c r="L412">
        <v>6001</v>
      </c>
      <c r="M412" t="s">
        <v>3836</v>
      </c>
      <c r="N412" t="s">
        <v>4337</v>
      </c>
      <c r="O412" t="s">
        <v>539</v>
      </c>
    </row>
    <row r="413" spans="1:15" x14ac:dyDescent="0.25">
      <c r="A413" t="s">
        <v>4242</v>
      </c>
      <c r="B413" t="s">
        <v>4243</v>
      </c>
      <c r="C413" t="s">
        <v>4244</v>
      </c>
      <c r="E413" s="13">
        <v>46059</v>
      </c>
      <c r="F413" t="s">
        <v>4246</v>
      </c>
      <c r="G413">
        <v>47.58</v>
      </c>
      <c r="H413" t="s">
        <v>15</v>
      </c>
      <c r="I413" t="s">
        <v>21</v>
      </c>
      <c r="J413" t="s">
        <v>111</v>
      </c>
      <c r="L413">
        <v>6001</v>
      </c>
      <c r="M413" t="s">
        <v>3836</v>
      </c>
      <c r="N413" t="s">
        <v>4337</v>
      </c>
      <c r="O413" t="s">
        <v>539</v>
      </c>
    </row>
    <row r="414" spans="1:15" x14ac:dyDescent="0.25">
      <c r="A414" t="s">
        <v>4242</v>
      </c>
      <c r="B414" t="s">
        <v>4243</v>
      </c>
      <c r="C414" t="s">
        <v>4244</v>
      </c>
      <c r="E414" s="13">
        <v>46058</v>
      </c>
      <c r="F414" t="s">
        <v>4247</v>
      </c>
      <c r="G414">
        <v>150.97999999999999</v>
      </c>
      <c r="H414" t="s">
        <v>15</v>
      </c>
      <c r="I414" t="s">
        <v>21</v>
      </c>
      <c r="J414" t="s">
        <v>111</v>
      </c>
      <c r="L414">
        <v>6396</v>
      </c>
      <c r="M414" t="s">
        <v>3836</v>
      </c>
      <c r="N414" t="s">
        <v>4337</v>
      </c>
      <c r="O414" t="s">
        <v>539</v>
      </c>
    </row>
    <row r="415" spans="1:15" x14ac:dyDescent="0.25">
      <c r="A415" t="s">
        <v>4248</v>
      </c>
      <c r="B415" t="s">
        <v>4249</v>
      </c>
      <c r="C415" t="s">
        <v>4250</v>
      </c>
      <c r="E415" s="13">
        <v>46085</v>
      </c>
      <c r="F415" t="s">
        <v>4251</v>
      </c>
      <c r="G415">
        <v>68.02</v>
      </c>
      <c r="H415" t="s">
        <v>15</v>
      </c>
      <c r="I415" t="s">
        <v>21</v>
      </c>
      <c r="J415" t="s">
        <v>111</v>
      </c>
      <c r="L415">
        <v>4246</v>
      </c>
      <c r="M415" t="s">
        <v>3855</v>
      </c>
      <c r="N415" t="s">
        <v>4337</v>
      </c>
      <c r="O415" t="s">
        <v>299</v>
      </c>
    </row>
    <row r="416" spans="1:15" x14ac:dyDescent="0.25">
      <c r="A416" t="s">
        <v>4248</v>
      </c>
      <c r="B416" t="s">
        <v>4249</v>
      </c>
      <c r="C416" t="s">
        <v>4250</v>
      </c>
      <c r="E416" s="13">
        <v>46085</v>
      </c>
      <c r="F416" t="s">
        <v>4252</v>
      </c>
      <c r="G416">
        <v>52.73</v>
      </c>
      <c r="H416" t="s">
        <v>15</v>
      </c>
      <c r="I416" t="s">
        <v>21</v>
      </c>
      <c r="J416" t="s">
        <v>111</v>
      </c>
      <c r="L416">
        <v>4246</v>
      </c>
      <c r="M416" t="s">
        <v>3855</v>
      </c>
      <c r="N416" t="s">
        <v>4337</v>
      </c>
      <c r="O416" t="s">
        <v>299</v>
      </c>
    </row>
    <row r="417" spans="1:15" x14ac:dyDescent="0.25">
      <c r="A417" t="s">
        <v>4248</v>
      </c>
      <c r="B417" t="s">
        <v>4249</v>
      </c>
      <c r="C417" t="s">
        <v>4250</v>
      </c>
      <c r="E417" s="13">
        <v>46084</v>
      </c>
      <c r="F417" t="s">
        <v>4253</v>
      </c>
      <c r="G417">
        <v>26.25</v>
      </c>
      <c r="H417" t="s">
        <v>15</v>
      </c>
      <c r="I417" t="s">
        <v>21</v>
      </c>
      <c r="J417" t="s">
        <v>111</v>
      </c>
      <c r="L417">
        <v>4001</v>
      </c>
      <c r="M417" t="s">
        <v>3855</v>
      </c>
      <c r="N417" t="s">
        <v>4337</v>
      </c>
      <c r="O417" t="s">
        <v>299</v>
      </c>
    </row>
    <row r="418" spans="1:15" x14ac:dyDescent="0.25">
      <c r="A418" t="s">
        <v>4248</v>
      </c>
      <c r="B418" t="s">
        <v>4249</v>
      </c>
      <c r="C418" t="s">
        <v>4250</v>
      </c>
      <c r="E418" s="13">
        <v>46080</v>
      </c>
      <c r="F418" t="s">
        <v>4254</v>
      </c>
      <c r="G418">
        <v>83.56</v>
      </c>
      <c r="H418" t="s">
        <v>15</v>
      </c>
      <c r="I418" t="s">
        <v>21</v>
      </c>
      <c r="J418" t="s">
        <v>111</v>
      </c>
      <c r="L418">
        <v>1035</v>
      </c>
      <c r="M418" t="s">
        <v>3855</v>
      </c>
      <c r="N418" t="s">
        <v>4337</v>
      </c>
      <c r="O418" t="s">
        <v>299</v>
      </c>
    </row>
    <row r="419" spans="1:15" x14ac:dyDescent="0.25">
      <c r="A419" t="s">
        <v>4248</v>
      </c>
      <c r="B419" t="s">
        <v>4249</v>
      </c>
      <c r="C419" t="s">
        <v>4250</v>
      </c>
      <c r="E419" s="13">
        <v>46080</v>
      </c>
      <c r="F419" t="s">
        <v>4113</v>
      </c>
      <c r="G419">
        <v>26.99</v>
      </c>
      <c r="H419" t="s">
        <v>15</v>
      </c>
      <c r="I419" t="s">
        <v>16</v>
      </c>
      <c r="J419" t="s">
        <v>95</v>
      </c>
      <c r="L419">
        <v>1035</v>
      </c>
      <c r="M419" t="s">
        <v>3855</v>
      </c>
      <c r="N419" t="s">
        <v>4337</v>
      </c>
      <c r="O419" t="s">
        <v>299</v>
      </c>
    </row>
    <row r="420" spans="1:15" x14ac:dyDescent="0.25">
      <c r="A420" t="s">
        <v>4248</v>
      </c>
      <c r="B420" t="s">
        <v>4249</v>
      </c>
      <c r="C420" t="s">
        <v>4250</v>
      </c>
      <c r="E420" s="13">
        <v>46079</v>
      </c>
      <c r="F420" t="s">
        <v>4113</v>
      </c>
      <c r="G420">
        <v>17.82</v>
      </c>
      <c r="H420" t="s">
        <v>15</v>
      </c>
      <c r="I420" t="s">
        <v>16</v>
      </c>
      <c r="J420" t="s">
        <v>4255</v>
      </c>
      <c r="L420">
        <v>1035</v>
      </c>
      <c r="M420" t="s">
        <v>3855</v>
      </c>
      <c r="N420" t="s">
        <v>4337</v>
      </c>
      <c r="O420" t="s">
        <v>299</v>
      </c>
    </row>
    <row r="421" spans="1:15" x14ac:dyDescent="0.25">
      <c r="A421" t="s">
        <v>4248</v>
      </c>
      <c r="B421" t="s">
        <v>4249</v>
      </c>
      <c r="C421" t="s">
        <v>4250</v>
      </c>
      <c r="E421" s="13">
        <v>46079</v>
      </c>
      <c r="F421" t="s">
        <v>3921</v>
      </c>
      <c r="G421">
        <v>8</v>
      </c>
      <c r="H421" t="s">
        <v>15</v>
      </c>
      <c r="I421" t="s">
        <v>3594</v>
      </c>
      <c r="J421" t="s">
        <v>93</v>
      </c>
      <c r="L421">
        <v>4001</v>
      </c>
      <c r="M421" t="s">
        <v>3855</v>
      </c>
      <c r="N421" t="s">
        <v>4337</v>
      </c>
      <c r="O421" t="s">
        <v>299</v>
      </c>
    </row>
    <row r="422" spans="1:15" x14ac:dyDescent="0.25">
      <c r="A422" t="s">
        <v>4248</v>
      </c>
      <c r="B422" t="s">
        <v>4249</v>
      </c>
      <c r="C422" t="s">
        <v>4250</v>
      </c>
      <c r="E422" s="13">
        <v>46078</v>
      </c>
      <c r="F422" t="s">
        <v>4256</v>
      </c>
      <c r="G422">
        <v>311.10000000000002</v>
      </c>
      <c r="H422" t="s">
        <v>15</v>
      </c>
      <c r="I422" t="s">
        <v>64</v>
      </c>
      <c r="J422" t="s">
        <v>4257</v>
      </c>
      <c r="L422">
        <v>1035</v>
      </c>
      <c r="M422" t="s">
        <v>3855</v>
      </c>
      <c r="N422" t="s">
        <v>4337</v>
      </c>
      <c r="O422" t="s">
        <v>299</v>
      </c>
    </row>
    <row r="423" spans="1:15" x14ac:dyDescent="0.25">
      <c r="A423" t="s">
        <v>4248</v>
      </c>
      <c r="B423" t="s">
        <v>4249</v>
      </c>
      <c r="C423" t="s">
        <v>4250</v>
      </c>
      <c r="E423" s="13">
        <v>46074</v>
      </c>
      <c r="F423" t="s">
        <v>4258</v>
      </c>
      <c r="G423">
        <v>160.87</v>
      </c>
      <c r="H423" t="s">
        <v>15</v>
      </c>
      <c r="I423" t="s">
        <v>21</v>
      </c>
      <c r="J423" t="s">
        <v>111</v>
      </c>
      <c r="L423">
        <v>1035</v>
      </c>
      <c r="M423" t="s">
        <v>3855</v>
      </c>
      <c r="N423" t="s">
        <v>4337</v>
      </c>
      <c r="O423" t="s">
        <v>299</v>
      </c>
    </row>
    <row r="424" spans="1:15" x14ac:dyDescent="0.25">
      <c r="A424" t="s">
        <v>4248</v>
      </c>
      <c r="B424" t="s">
        <v>4249</v>
      </c>
      <c r="C424" t="s">
        <v>4250</v>
      </c>
      <c r="E424" s="13">
        <v>46073</v>
      </c>
      <c r="F424" t="s">
        <v>4253</v>
      </c>
      <c r="G424">
        <v>24.63</v>
      </c>
      <c r="H424" t="s">
        <v>15</v>
      </c>
      <c r="I424" t="s">
        <v>21</v>
      </c>
      <c r="J424" t="s">
        <v>111</v>
      </c>
      <c r="L424">
        <v>4001</v>
      </c>
      <c r="M424" t="s">
        <v>3855</v>
      </c>
      <c r="N424" t="s">
        <v>4337</v>
      </c>
      <c r="O424" t="s">
        <v>299</v>
      </c>
    </row>
    <row r="425" spans="1:15" x14ac:dyDescent="0.25">
      <c r="A425" t="s">
        <v>4248</v>
      </c>
      <c r="B425" t="s">
        <v>4249</v>
      </c>
      <c r="C425" t="s">
        <v>4250</v>
      </c>
      <c r="E425" s="13">
        <v>46072</v>
      </c>
      <c r="F425" t="s">
        <v>4253</v>
      </c>
      <c r="G425">
        <v>51.39</v>
      </c>
      <c r="H425" t="s">
        <v>15</v>
      </c>
      <c r="I425" t="s">
        <v>21</v>
      </c>
      <c r="J425" t="s">
        <v>111</v>
      </c>
      <c r="L425">
        <v>4001</v>
      </c>
      <c r="M425" t="s">
        <v>3855</v>
      </c>
      <c r="N425" t="s">
        <v>4337</v>
      </c>
      <c r="O425" t="s">
        <v>299</v>
      </c>
    </row>
    <row r="426" spans="1:15" x14ac:dyDescent="0.25">
      <c r="A426" t="s">
        <v>4248</v>
      </c>
      <c r="B426" t="s">
        <v>4249</v>
      </c>
      <c r="C426" t="s">
        <v>4250</v>
      </c>
      <c r="E426" s="13">
        <v>46071</v>
      </c>
      <c r="F426" t="s">
        <v>4253</v>
      </c>
      <c r="G426">
        <v>67.930000000000007</v>
      </c>
      <c r="H426" t="s">
        <v>15</v>
      </c>
      <c r="I426" t="s">
        <v>21</v>
      </c>
      <c r="J426" t="s">
        <v>111</v>
      </c>
      <c r="L426">
        <v>4001</v>
      </c>
      <c r="M426" t="s">
        <v>3855</v>
      </c>
      <c r="N426" t="s">
        <v>4337</v>
      </c>
      <c r="O426" t="s">
        <v>299</v>
      </c>
    </row>
    <row r="427" spans="1:15" x14ac:dyDescent="0.25">
      <c r="A427" t="s">
        <v>4248</v>
      </c>
      <c r="B427" t="s">
        <v>4249</v>
      </c>
      <c r="C427" t="s">
        <v>4250</v>
      </c>
      <c r="E427" s="13">
        <v>46066</v>
      </c>
      <c r="F427" t="s">
        <v>4253</v>
      </c>
      <c r="G427">
        <v>38.44</v>
      </c>
      <c r="H427" t="s">
        <v>15</v>
      </c>
      <c r="I427" t="s">
        <v>21</v>
      </c>
      <c r="J427" t="s">
        <v>111</v>
      </c>
      <c r="L427">
        <v>4001</v>
      </c>
      <c r="M427" t="s">
        <v>3855</v>
      </c>
      <c r="N427" t="s">
        <v>4337</v>
      </c>
      <c r="O427" t="s">
        <v>299</v>
      </c>
    </row>
    <row r="428" spans="1:15" x14ac:dyDescent="0.25">
      <c r="A428" t="s">
        <v>4248</v>
      </c>
      <c r="B428" t="s">
        <v>4249</v>
      </c>
      <c r="C428" t="s">
        <v>4250</v>
      </c>
      <c r="E428" s="13">
        <v>46065</v>
      </c>
      <c r="F428" t="s">
        <v>4253</v>
      </c>
      <c r="G428">
        <v>37.32</v>
      </c>
      <c r="H428" t="s">
        <v>15</v>
      </c>
      <c r="I428" t="s">
        <v>21</v>
      </c>
      <c r="J428" t="s">
        <v>111</v>
      </c>
      <c r="L428">
        <v>4001</v>
      </c>
      <c r="M428" t="s">
        <v>3855</v>
      </c>
      <c r="N428" t="s">
        <v>4337</v>
      </c>
      <c r="O428" t="s">
        <v>299</v>
      </c>
    </row>
    <row r="429" spans="1:15" x14ac:dyDescent="0.25">
      <c r="A429" t="s">
        <v>4248</v>
      </c>
      <c r="B429" t="s">
        <v>4249</v>
      </c>
      <c r="C429" t="s">
        <v>4250</v>
      </c>
      <c r="E429" s="13">
        <v>46065</v>
      </c>
      <c r="F429" t="s">
        <v>4259</v>
      </c>
      <c r="G429">
        <v>19.09</v>
      </c>
      <c r="H429" t="s">
        <v>15</v>
      </c>
      <c r="I429" t="s">
        <v>16</v>
      </c>
      <c r="J429" t="s">
        <v>89</v>
      </c>
      <c r="L429">
        <v>4001</v>
      </c>
      <c r="M429" t="s">
        <v>3855</v>
      </c>
      <c r="N429" t="s">
        <v>4337</v>
      </c>
      <c r="O429" t="s">
        <v>299</v>
      </c>
    </row>
    <row r="430" spans="1:15" x14ac:dyDescent="0.25">
      <c r="A430" t="s">
        <v>4248</v>
      </c>
      <c r="B430" t="s">
        <v>4249</v>
      </c>
      <c r="C430" t="s">
        <v>4250</v>
      </c>
      <c r="E430" s="13">
        <v>46064</v>
      </c>
      <c r="F430" t="s">
        <v>4260</v>
      </c>
      <c r="G430">
        <v>2236.27</v>
      </c>
      <c r="H430" t="s">
        <v>15</v>
      </c>
      <c r="I430" t="s">
        <v>3594</v>
      </c>
      <c r="J430" t="s">
        <v>29</v>
      </c>
      <c r="L430">
        <v>1035</v>
      </c>
      <c r="M430" t="s">
        <v>3855</v>
      </c>
      <c r="N430" t="s">
        <v>4337</v>
      </c>
      <c r="O430" t="s">
        <v>299</v>
      </c>
    </row>
    <row r="431" spans="1:15" x14ac:dyDescent="0.25">
      <c r="A431" t="s">
        <v>4248</v>
      </c>
      <c r="B431" t="s">
        <v>4249</v>
      </c>
      <c r="C431" t="s">
        <v>4250</v>
      </c>
      <c r="E431" s="13">
        <v>46064</v>
      </c>
      <c r="F431" t="s">
        <v>4253</v>
      </c>
      <c r="G431">
        <v>30.43</v>
      </c>
      <c r="H431" t="s">
        <v>15</v>
      </c>
      <c r="I431" t="s">
        <v>21</v>
      </c>
      <c r="J431" t="s">
        <v>111</v>
      </c>
      <c r="L431">
        <v>4001</v>
      </c>
      <c r="M431" t="s">
        <v>3855</v>
      </c>
      <c r="N431" t="s">
        <v>4337</v>
      </c>
      <c r="O431" t="s">
        <v>299</v>
      </c>
    </row>
    <row r="432" spans="1:15" x14ac:dyDescent="0.25">
      <c r="A432" t="s">
        <v>4248</v>
      </c>
      <c r="B432" t="s">
        <v>4249</v>
      </c>
      <c r="C432" t="s">
        <v>4250</v>
      </c>
      <c r="E432" s="13">
        <v>46064</v>
      </c>
      <c r="F432" t="s">
        <v>3929</v>
      </c>
      <c r="G432">
        <v>-2108.56</v>
      </c>
      <c r="H432" t="s">
        <v>15</v>
      </c>
      <c r="I432" t="s">
        <v>3594</v>
      </c>
      <c r="J432" t="s">
        <v>47</v>
      </c>
      <c r="L432">
        <v>1035</v>
      </c>
      <c r="M432" t="s">
        <v>3855</v>
      </c>
      <c r="N432" t="s">
        <v>4337</v>
      </c>
      <c r="O432" t="s">
        <v>299</v>
      </c>
    </row>
    <row r="433" spans="1:15" x14ac:dyDescent="0.25">
      <c r="A433" t="s">
        <v>4248</v>
      </c>
      <c r="B433" t="s">
        <v>4249</v>
      </c>
      <c r="C433" t="s">
        <v>4250</v>
      </c>
      <c r="E433" s="13">
        <v>46064</v>
      </c>
      <c r="F433" t="s">
        <v>4261</v>
      </c>
      <c r="G433">
        <v>30</v>
      </c>
      <c r="H433" t="s">
        <v>15</v>
      </c>
      <c r="I433" t="s">
        <v>3594</v>
      </c>
      <c r="J433" t="s">
        <v>30</v>
      </c>
      <c r="L433">
        <v>1035</v>
      </c>
      <c r="M433" t="s">
        <v>3855</v>
      </c>
      <c r="N433" t="s">
        <v>4337</v>
      </c>
      <c r="O433" t="s">
        <v>299</v>
      </c>
    </row>
    <row r="434" spans="1:15" x14ac:dyDescent="0.25">
      <c r="A434" t="s">
        <v>4248</v>
      </c>
      <c r="B434" t="s">
        <v>4249</v>
      </c>
      <c r="C434" t="s">
        <v>4250</v>
      </c>
      <c r="E434" s="13">
        <v>46064</v>
      </c>
      <c r="F434" t="s">
        <v>4262</v>
      </c>
      <c r="G434">
        <v>30</v>
      </c>
      <c r="H434" t="s">
        <v>15</v>
      </c>
      <c r="I434" t="s">
        <v>3594</v>
      </c>
      <c r="J434" t="s">
        <v>30</v>
      </c>
      <c r="L434">
        <v>1035</v>
      </c>
      <c r="M434" t="s">
        <v>3855</v>
      </c>
      <c r="N434" t="s">
        <v>4337</v>
      </c>
      <c r="O434" t="s">
        <v>299</v>
      </c>
    </row>
    <row r="435" spans="1:15" x14ac:dyDescent="0.25">
      <c r="A435" t="s">
        <v>4248</v>
      </c>
      <c r="B435" t="s">
        <v>4249</v>
      </c>
      <c r="C435" t="s">
        <v>4250</v>
      </c>
      <c r="E435" s="13">
        <v>46063</v>
      </c>
      <c r="F435" t="s">
        <v>4253</v>
      </c>
      <c r="G435">
        <v>35.14</v>
      </c>
      <c r="H435" t="s">
        <v>15</v>
      </c>
      <c r="I435" t="s">
        <v>21</v>
      </c>
      <c r="J435" t="s">
        <v>111</v>
      </c>
      <c r="L435">
        <v>4001</v>
      </c>
      <c r="M435" t="s">
        <v>3855</v>
      </c>
      <c r="N435" t="s">
        <v>4337</v>
      </c>
      <c r="O435" t="s">
        <v>299</v>
      </c>
    </row>
    <row r="436" spans="1:15" x14ac:dyDescent="0.25">
      <c r="A436" t="s">
        <v>4248</v>
      </c>
      <c r="B436" t="s">
        <v>4249</v>
      </c>
      <c r="C436" t="s">
        <v>4250</v>
      </c>
      <c r="E436" s="13">
        <v>46062</v>
      </c>
      <c r="F436" t="s">
        <v>4263</v>
      </c>
      <c r="G436">
        <v>16.100000000000001</v>
      </c>
      <c r="H436" t="s">
        <v>15</v>
      </c>
      <c r="I436" t="s">
        <v>16</v>
      </c>
      <c r="J436" t="s">
        <v>4264</v>
      </c>
      <c r="L436">
        <v>4001</v>
      </c>
      <c r="M436" t="s">
        <v>3855</v>
      </c>
      <c r="N436" t="s">
        <v>4337</v>
      </c>
      <c r="O436" t="s">
        <v>299</v>
      </c>
    </row>
    <row r="437" spans="1:15" x14ac:dyDescent="0.25">
      <c r="A437" t="s">
        <v>4248</v>
      </c>
      <c r="B437" t="s">
        <v>4249</v>
      </c>
      <c r="C437" t="s">
        <v>4250</v>
      </c>
      <c r="E437" s="13">
        <v>46059</v>
      </c>
      <c r="F437" t="s">
        <v>4265</v>
      </c>
      <c r="G437">
        <v>16.34</v>
      </c>
      <c r="H437" t="s">
        <v>15</v>
      </c>
      <c r="I437" t="s">
        <v>3935</v>
      </c>
      <c r="J437" t="s">
        <v>734</v>
      </c>
      <c r="L437">
        <v>4263</v>
      </c>
      <c r="M437" t="s">
        <v>3855</v>
      </c>
      <c r="N437" t="s">
        <v>4337</v>
      </c>
      <c r="O437" t="s">
        <v>299</v>
      </c>
    </row>
    <row r="438" spans="1:15" x14ac:dyDescent="0.25">
      <c r="A438" t="s">
        <v>4248</v>
      </c>
      <c r="B438" t="s">
        <v>4249</v>
      </c>
      <c r="C438" t="s">
        <v>4250</v>
      </c>
      <c r="E438" s="13">
        <v>46058</v>
      </c>
      <c r="F438" t="s">
        <v>4253</v>
      </c>
      <c r="G438">
        <v>27.98</v>
      </c>
      <c r="H438" t="s">
        <v>15</v>
      </c>
      <c r="I438" t="s">
        <v>21</v>
      </c>
      <c r="J438" t="s">
        <v>111</v>
      </c>
      <c r="L438">
        <v>4001</v>
      </c>
      <c r="M438" t="s">
        <v>3855</v>
      </c>
      <c r="N438" t="s">
        <v>4337</v>
      </c>
      <c r="O438" t="s">
        <v>299</v>
      </c>
    </row>
    <row r="439" spans="1:15" x14ac:dyDescent="0.25">
      <c r="A439" t="s">
        <v>4248</v>
      </c>
      <c r="B439" t="s">
        <v>4249</v>
      </c>
      <c r="C439" t="s">
        <v>4250</v>
      </c>
      <c r="E439" s="13">
        <v>46084</v>
      </c>
      <c r="F439" t="s">
        <v>3899</v>
      </c>
      <c r="G439">
        <v>-153.4</v>
      </c>
      <c r="H439" t="s">
        <v>15</v>
      </c>
      <c r="I439" t="s">
        <v>64</v>
      </c>
      <c r="J439" t="s">
        <v>1225</v>
      </c>
      <c r="L439">
        <v>1008</v>
      </c>
      <c r="M439" t="s">
        <v>3855</v>
      </c>
      <c r="N439" t="s">
        <v>4337</v>
      </c>
      <c r="O439" t="s">
        <v>299</v>
      </c>
    </row>
    <row r="440" spans="1:15" x14ac:dyDescent="0.25">
      <c r="A440" t="s">
        <v>4248</v>
      </c>
      <c r="B440" t="s">
        <v>4249</v>
      </c>
      <c r="C440" t="s">
        <v>4250</v>
      </c>
      <c r="E440" s="13">
        <v>46086</v>
      </c>
      <c r="F440" t="s">
        <v>4253</v>
      </c>
      <c r="G440">
        <v>43.58</v>
      </c>
      <c r="H440" t="s">
        <v>15</v>
      </c>
      <c r="I440" t="s">
        <v>21</v>
      </c>
      <c r="J440" t="s">
        <v>111</v>
      </c>
      <c r="L440">
        <v>4001</v>
      </c>
      <c r="M440" t="s">
        <v>3855</v>
      </c>
      <c r="N440" t="s">
        <v>4337</v>
      </c>
      <c r="O440" t="s">
        <v>299</v>
      </c>
    </row>
    <row r="441" spans="1:15" x14ac:dyDescent="0.25">
      <c r="A441" t="s">
        <v>4248</v>
      </c>
      <c r="B441" t="s">
        <v>4249</v>
      </c>
      <c r="C441" t="s">
        <v>4250</v>
      </c>
      <c r="E441" s="13">
        <v>46087</v>
      </c>
      <c r="F441" t="s">
        <v>4266</v>
      </c>
      <c r="G441">
        <v>16.34</v>
      </c>
      <c r="H441" t="s">
        <v>15</v>
      </c>
      <c r="I441" t="s">
        <v>3935</v>
      </c>
      <c r="J441" t="s">
        <v>734</v>
      </c>
      <c r="L441">
        <v>4246</v>
      </c>
      <c r="M441" t="s">
        <v>3855</v>
      </c>
      <c r="N441" t="s">
        <v>4337</v>
      </c>
      <c r="O441" t="s">
        <v>299</v>
      </c>
    </row>
    <row r="442" spans="1:15" x14ac:dyDescent="0.25">
      <c r="A442" t="s">
        <v>4248</v>
      </c>
      <c r="B442" t="s">
        <v>4249</v>
      </c>
      <c r="C442" t="s">
        <v>4250</v>
      </c>
      <c r="E442" s="13">
        <v>46086</v>
      </c>
      <c r="F442" t="s">
        <v>4253</v>
      </c>
      <c r="G442">
        <v>56.09</v>
      </c>
      <c r="H442" t="s">
        <v>15</v>
      </c>
      <c r="I442" t="s">
        <v>21</v>
      </c>
      <c r="J442" t="s">
        <v>111</v>
      </c>
      <c r="L442">
        <v>4001</v>
      </c>
      <c r="M442" t="s">
        <v>3855</v>
      </c>
      <c r="N442" t="s">
        <v>4337</v>
      </c>
      <c r="O442" t="s">
        <v>299</v>
      </c>
    </row>
    <row r="443" spans="1:15" x14ac:dyDescent="0.25">
      <c r="A443" t="s">
        <v>4267</v>
      </c>
      <c r="B443" t="s">
        <v>4268</v>
      </c>
      <c r="C443" t="s">
        <v>4269</v>
      </c>
      <c r="E443" s="13">
        <v>46085</v>
      </c>
      <c r="F443" t="s">
        <v>4253</v>
      </c>
      <c r="G443">
        <v>37.99</v>
      </c>
      <c r="H443" t="s">
        <v>15</v>
      </c>
      <c r="I443" t="s">
        <v>21</v>
      </c>
      <c r="J443" t="s">
        <v>111</v>
      </c>
      <c r="L443">
        <v>4001</v>
      </c>
      <c r="M443" t="s">
        <v>3855</v>
      </c>
      <c r="N443" t="s">
        <v>4337</v>
      </c>
      <c r="O443" t="s">
        <v>305</v>
      </c>
    </row>
    <row r="444" spans="1:15" x14ac:dyDescent="0.25">
      <c r="A444" t="s">
        <v>4267</v>
      </c>
      <c r="B444" t="s">
        <v>4268</v>
      </c>
      <c r="C444" t="s">
        <v>4269</v>
      </c>
      <c r="E444" s="13">
        <v>46084</v>
      </c>
      <c r="F444" t="s">
        <v>4253</v>
      </c>
      <c r="G444">
        <v>38.520000000000003</v>
      </c>
      <c r="H444" t="s">
        <v>15</v>
      </c>
      <c r="I444" t="s">
        <v>21</v>
      </c>
      <c r="J444" t="s">
        <v>111</v>
      </c>
      <c r="L444">
        <v>4001</v>
      </c>
      <c r="M444" t="s">
        <v>3855</v>
      </c>
      <c r="N444" t="s">
        <v>4337</v>
      </c>
      <c r="O444" t="s">
        <v>305</v>
      </c>
    </row>
    <row r="445" spans="1:15" x14ac:dyDescent="0.25">
      <c r="A445" t="s">
        <v>4267</v>
      </c>
      <c r="B445" t="s">
        <v>4268</v>
      </c>
      <c r="C445" t="s">
        <v>4269</v>
      </c>
      <c r="E445" s="13">
        <v>46083</v>
      </c>
      <c r="F445" t="s">
        <v>3921</v>
      </c>
      <c r="G445">
        <v>5</v>
      </c>
      <c r="H445" t="s">
        <v>15</v>
      </c>
      <c r="I445" t="s">
        <v>3594</v>
      </c>
      <c r="J445" t="s">
        <v>4270</v>
      </c>
      <c r="L445">
        <v>4001</v>
      </c>
      <c r="M445" t="s">
        <v>3855</v>
      </c>
      <c r="N445" t="s">
        <v>4337</v>
      </c>
      <c r="O445" t="s">
        <v>305</v>
      </c>
    </row>
    <row r="446" spans="1:15" x14ac:dyDescent="0.25">
      <c r="A446" t="s">
        <v>4267</v>
      </c>
      <c r="B446" t="s">
        <v>4268</v>
      </c>
      <c r="C446" t="s">
        <v>4269</v>
      </c>
      <c r="E446" s="13">
        <v>46082</v>
      </c>
      <c r="F446" t="s">
        <v>4271</v>
      </c>
      <c r="G446">
        <v>50.69</v>
      </c>
      <c r="H446" t="s">
        <v>15</v>
      </c>
      <c r="I446" t="s">
        <v>21</v>
      </c>
      <c r="J446" t="s">
        <v>111</v>
      </c>
      <c r="L446">
        <v>1035</v>
      </c>
      <c r="M446" t="s">
        <v>3855</v>
      </c>
      <c r="N446" t="s">
        <v>4337</v>
      </c>
      <c r="O446" t="s">
        <v>305</v>
      </c>
    </row>
    <row r="447" spans="1:15" x14ac:dyDescent="0.25">
      <c r="A447" t="s">
        <v>4267</v>
      </c>
      <c r="B447" t="s">
        <v>4268</v>
      </c>
      <c r="C447" t="s">
        <v>4269</v>
      </c>
      <c r="E447" s="13">
        <v>46082</v>
      </c>
      <c r="F447" t="s">
        <v>4254</v>
      </c>
      <c r="G447">
        <v>125.35</v>
      </c>
      <c r="H447" t="s">
        <v>15</v>
      </c>
      <c r="I447" t="s">
        <v>21</v>
      </c>
      <c r="J447" t="s">
        <v>111</v>
      </c>
      <c r="L447">
        <v>1035</v>
      </c>
      <c r="M447" t="s">
        <v>3855</v>
      </c>
      <c r="N447" t="s">
        <v>4337</v>
      </c>
      <c r="O447" t="s">
        <v>305</v>
      </c>
    </row>
    <row r="448" spans="1:15" x14ac:dyDescent="0.25">
      <c r="A448" t="s">
        <v>4267</v>
      </c>
      <c r="B448" t="s">
        <v>4268</v>
      </c>
      <c r="C448" t="s">
        <v>4269</v>
      </c>
      <c r="E448" s="13">
        <v>46074</v>
      </c>
      <c r="F448" t="s">
        <v>4258</v>
      </c>
      <c r="G448">
        <v>192.12</v>
      </c>
      <c r="H448" t="s">
        <v>15</v>
      </c>
      <c r="I448" t="s">
        <v>21</v>
      </c>
      <c r="J448" t="s">
        <v>111</v>
      </c>
      <c r="L448">
        <v>1035</v>
      </c>
      <c r="M448" t="s">
        <v>3855</v>
      </c>
      <c r="N448" t="s">
        <v>4337</v>
      </c>
      <c r="O448" t="s">
        <v>305</v>
      </c>
    </row>
    <row r="449" spans="1:15" x14ac:dyDescent="0.25">
      <c r="A449" t="s">
        <v>4267</v>
      </c>
      <c r="B449" t="s">
        <v>4268</v>
      </c>
      <c r="C449" t="s">
        <v>4269</v>
      </c>
      <c r="E449" s="13">
        <v>46073</v>
      </c>
      <c r="F449" t="s">
        <v>4253</v>
      </c>
      <c r="G449">
        <v>36.97</v>
      </c>
      <c r="H449" t="s">
        <v>15</v>
      </c>
      <c r="I449" t="s">
        <v>21</v>
      </c>
      <c r="J449" t="s">
        <v>111</v>
      </c>
      <c r="L449">
        <v>4001</v>
      </c>
      <c r="M449" t="s">
        <v>3855</v>
      </c>
      <c r="N449" t="s">
        <v>4337</v>
      </c>
      <c r="O449" t="s">
        <v>305</v>
      </c>
    </row>
    <row r="450" spans="1:15" x14ac:dyDescent="0.25">
      <c r="A450" t="s">
        <v>4267</v>
      </c>
      <c r="B450" t="s">
        <v>4268</v>
      </c>
      <c r="C450" t="s">
        <v>4269</v>
      </c>
      <c r="E450" s="13">
        <v>46072</v>
      </c>
      <c r="F450" t="s">
        <v>4253</v>
      </c>
      <c r="G450">
        <v>53.17</v>
      </c>
      <c r="H450" t="s">
        <v>15</v>
      </c>
      <c r="I450" t="s">
        <v>21</v>
      </c>
      <c r="J450" t="s">
        <v>111</v>
      </c>
      <c r="L450">
        <v>4001</v>
      </c>
      <c r="M450" t="s">
        <v>3855</v>
      </c>
      <c r="N450" t="s">
        <v>4337</v>
      </c>
      <c r="O450" t="s">
        <v>305</v>
      </c>
    </row>
    <row r="451" spans="1:15" x14ac:dyDescent="0.25">
      <c r="A451" t="s">
        <v>4267</v>
      </c>
      <c r="B451" t="s">
        <v>4268</v>
      </c>
      <c r="C451" t="s">
        <v>4269</v>
      </c>
      <c r="E451" s="13">
        <v>46071</v>
      </c>
      <c r="F451" t="s">
        <v>4253</v>
      </c>
      <c r="G451">
        <v>39.44</v>
      </c>
      <c r="H451" t="s">
        <v>15</v>
      </c>
      <c r="I451" t="s">
        <v>21</v>
      </c>
      <c r="J451" t="s">
        <v>111</v>
      </c>
      <c r="L451">
        <v>4001</v>
      </c>
      <c r="M451" t="s">
        <v>3855</v>
      </c>
      <c r="N451" t="s">
        <v>4337</v>
      </c>
      <c r="O451" t="s">
        <v>305</v>
      </c>
    </row>
    <row r="452" spans="1:15" x14ac:dyDescent="0.25">
      <c r="A452" t="s">
        <v>4267</v>
      </c>
      <c r="B452" t="s">
        <v>4268</v>
      </c>
      <c r="C452" t="s">
        <v>4269</v>
      </c>
      <c r="E452" s="13">
        <v>46070</v>
      </c>
      <c r="F452" t="s">
        <v>4272</v>
      </c>
      <c r="G452">
        <v>-4793.3999999999996</v>
      </c>
      <c r="H452" t="s">
        <v>15</v>
      </c>
      <c r="I452" t="s">
        <v>3594</v>
      </c>
      <c r="J452" t="s">
        <v>70</v>
      </c>
      <c r="L452">
        <v>4239</v>
      </c>
      <c r="M452" t="s">
        <v>3855</v>
      </c>
      <c r="N452" t="s">
        <v>4337</v>
      </c>
      <c r="O452" t="s">
        <v>305</v>
      </c>
    </row>
    <row r="453" spans="1:15" x14ac:dyDescent="0.25">
      <c r="A453" t="s">
        <v>4267</v>
      </c>
      <c r="B453" t="s">
        <v>4268</v>
      </c>
      <c r="C453" t="s">
        <v>4269</v>
      </c>
      <c r="E453" s="13">
        <v>46070</v>
      </c>
      <c r="F453" t="s">
        <v>4273</v>
      </c>
      <c r="G453">
        <v>-3498.49</v>
      </c>
      <c r="H453" t="s">
        <v>15</v>
      </c>
      <c r="I453" t="s">
        <v>3594</v>
      </c>
      <c r="J453" t="s">
        <v>47</v>
      </c>
      <c r="L453">
        <v>4239</v>
      </c>
      <c r="M453" t="s">
        <v>3855</v>
      </c>
      <c r="N453" t="s">
        <v>4337</v>
      </c>
      <c r="O453" t="s">
        <v>305</v>
      </c>
    </row>
    <row r="454" spans="1:15" x14ac:dyDescent="0.25">
      <c r="A454" t="s">
        <v>4267</v>
      </c>
      <c r="B454" t="s">
        <v>4268</v>
      </c>
      <c r="C454" t="s">
        <v>4269</v>
      </c>
      <c r="E454" s="13">
        <v>46070</v>
      </c>
      <c r="F454" t="s">
        <v>4274</v>
      </c>
      <c r="G454">
        <v>27.85</v>
      </c>
      <c r="H454" t="s">
        <v>15</v>
      </c>
      <c r="I454" t="s">
        <v>16</v>
      </c>
      <c r="J454" t="s">
        <v>89</v>
      </c>
      <c r="L454">
        <v>4001</v>
      </c>
      <c r="M454" t="s">
        <v>3855</v>
      </c>
      <c r="N454" t="s">
        <v>4337</v>
      </c>
      <c r="O454" t="s">
        <v>305</v>
      </c>
    </row>
    <row r="455" spans="1:15" x14ac:dyDescent="0.25">
      <c r="A455" t="s">
        <v>4267</v>
      </c>
      <c r="B455" t="s">
        <v>4268</v>
      </c>
      <c r="C455" t="s">
        <v>4269</v>
      </c>
      <c r="E455" s="13">
        <v>46066</v>
      </c>
      <c r="F455" t="s">
        <v>4253</v>
      </c>
      <c r="G455">
        <v>25.73</v>
      </c>
      <c r="H455" t="s">
        <v>15</v>
      </c>
      <c r="I455" t="s">
        <v>21</v>
      </c>
      <c r="J455" t="s">
        <v>111</v>
      </c>
      <c r="L455">
        <v>4001</v>
      </c>
      <c r="M455" t="s">
        <v>3855</v>
      </c>
      <c r="N455" t="s">
        <v>4337</v>
      </c>
      <c r="O455" t="s">
        <v>305</v>
      </c>
    </row>
    <row r="456" spans="1:15" x14ac:dyDescent="0.25">
      <c r="A456" t="s">
        <v>4267</v>
      </c>
      <c r="B456" t="s">
        <v>4268</v>
      </c>
      <c r="C456" t="s">
        <v>4269</v>
      </c>
      <c r="E456" s="13">
        <v>46065</v>
      </c>
      <c r="F456" t="s">
        <v>4253</v>
      </c>
      <c r="G456">
        <v>50.57</v>
      </c>
      <c r="H456" t="s">
        <v>15</v>
      </c>
      <c r="I456" t="s">
        <v>21</v>
      </c>
      <c r="J456" t="s">
        <v>111</v>
      </c>
      <c r="L456">
        <v>4001</v>
      </c>
      <c r="M456" t="s">
        <v>3855</v>
      </c>
      <c r="N456" t="s">
        <v>4337</v>
      </c>
      <c r="O456" t="s">
        <v>305</v>
      </c>
    </row>
    <row r="457" spans="1:15" x14ac:dyDescent="0.25">
      <c r="A457" t="s">
        <v>4267</v>
      </c>
      <c r="B457" t="s">
        <v>4268</v>
      </c>
      <c r="C457" t="s">
        <v>4269</v>
      </c>
      <c r="E457" s="13">
        <v>46065</v>
      </c>
      <c r="F457" t="s">
        <v>4253</v>
      </c>
      <c r="G457">
        <v>44.98</v>
      </c>
      <c r="H457" t="s">
        <v>15</v>
      </c>
      <c r="I457" t="s">
        <v>21</v>
      </c>
      <c r="J457" t="s">
        <v>111</v>
      </c>
      <c r="L457">
        <v>4001</v>
      </c>
      <c r="M457" t="s">
        <v>3855</v>
      </c>
      <c r="N457" t="s">
        <v>4337</v>
      </c>
      <c r="O457" t="s">
        <v>305</v>
      </c>
    </row>
    <row r="458" spans="1:15" x14ac:dyDescent="0.25">
      <c r="A458" t="s">
        <v>4267</v>
      </c>
      <c r="B458" t="s">
        <v>4268</v>
      </c>
      <c r="C458" t="s">
        <v>4269</v>
      </c>
      <c r="E458" s="13">
        <v>46064</v>
      </c>
      <c r="F458" t="s">
        <v>4275</v>
      </c>
      <c r="G458">
        <v>11.17</v>
      </c>
      <c r="H458" t="s">
        <v>15</v>
      </c>
      <c r="I458" t="s">
        <v>21</v>
      </c>
      <c r="J458" t="s">
        <v>111</v>
      </c>
      <c r="L458">
        <v>4239</v>
      </c>
      <c r="M458" t="s">
        <v>3855</v>
      </c>
      <c r="N458" t="s">
        <v>4337</v>
      </c>
      <c r="O458" t="s">
        <v>305</v>
      </c>
    </row>
    <row r="459" spans="1:15" x14ac:dyDescent="0.25">
      <c r="A459" t="s">
        <v>4267</v>
      </c>
      <c r="B459" t="s">
        <v>4268</v>
      </c>
      <c r="C459" t="s">
        <v>4269</v>
      </c>
      <c r="E459" s="13">
        <v>46064</v>
      </c>
      <c r="F459" t="s">
        <v>4276</v>
      </c>
      <c r="G459">
        <v>111.76</v>
      </c>
      <c r="H459" t="s">
        <v>15</v>
      </c>
      <c r="I459" t="s">
        <v>21</v>
      </c>
      <c r="J459" t="s">
        <v>111</v>
      </c>
      <c r="L459">
        <v>4239</v>
      </c>
      <c r="M459" t="s">
        <v>3855</v>
      </c>
      <c r="N459" t="s">
        <v>4337</v>
      </c>
      <c r="O459" t="s">
        <v>305</v>
      </c>
    </row>
    <row r="460" spans="1:15" x14ac:dyDescent="0.25">
      <c r="A460" t="s">
        <v>4267</v>
      </c>
      <c r="B460" t="s">
        <v>4268</v>
      </c>
      <c r="C460" t="s">
        <v>4269</v>
      </c>
      <c r="E460" s="13">
        <v>46063</v>
      </c>
      <c r="F460" t="s">
        <v>4277</v>
      </c>
      <c r="G460">
        <v>129.97999999999999</v>
      </c>
      <c r="H460" t="s">
        <v>15</v>
      </c>
      <c r="I460" t="s">
        <v>21</v>
      </c>
      <c r="J460" t="s">
        <v>111</v>
      </c>
      <c r="L460">
        <v>4239</v>
      </c>
      <c r="M460" t="s">
        <v>3855</v>
      </c>
      <c r="N460" t="s">
        <v>4337</v>
      </c>
      <c r="O460" t="s">
        <v>305</v>
      </c>
    </row>
    <row r="461" spans="1:15" x14ac:dyDescent="0.25">
      <c r="A461" t="s">
        <v>4267</v>
      </c>
      <c r="B461" t="s">
        <v>4268</v>
      </c>
      <c r="C461" t="s">
        <v>4269</v>
      </c>
      <c r="E461" s="13">
        <v>46062</v>
      </c>
      <c r="F461" t="s">
        <v>4278</v>
      </c>
      <c r="G461">
        <v>129.74</v>
      </c>
      <c r="H461" t="s">
        <v>15</v>
      </c>
      <c r="I461" t="s">
        <v>21</v>
      </c>
      <c r="J461" t="s">
        <v>111</v>
      </c>
      <c r="L461">
        <v>4239</v>
      </c>
      <c r="M461" t="s">
        <v>3855</v>
      </c>
      <c r="N461" t="s">
        <v>4337</v>
      </c>
      <c r="O461" t="s">
        <v>305</v>
      </c>
    </row>
    <row r="462" spans="1:15" x14ac:dyDescent="0.25">
      <c r="A462" t="s">
        <v>4267</v>
      </c>
      <c r="B462" t="s">
        <v>4268</v>
      </c>
      <c r="C462" t="s">
        <v>4269</v>
      </c>
      <c r="E462" s="13">
        <v>46062</v>
      </c>
      <c r="F462" t="s">
        <v>4279</v>
      </c>
      <c r="G462">
        <v>82.98</v>
      </c>
      <c r="H462" t="s">
        <v>15</v>
      </c>
      <c r="I462" t="s">
        <v>21</v>
      </c>
      <c r="J462" t="s">
        <v>111</v>
      </c>
      <c r="L462">
        <v>4239</v>
      </c>
      <c r="M462" t="s">
        <v>3855</v>
      </c>
      <c r="N462" t="s">
        <v>4337</v>
      </c>
      <c r="O462" t="s">
        <v>305</v>
      </c>
    </row>
    <row r="463" spans="1:15" x14ac:dyDescent="0.25">
      <c r="A463" t="s">
        <v>4267</v>
      </c>
      <c r="B463" t="s">
        <v>4268</v>
      </c>
      <c r="C463" t="s">
        <v>4269</v>
      </c>
      <c r="E463" s="13">
        <v>46062</v>
      </c>
      <c r="F463" t="s">
        <v>4280</v>
      </c>
      <c r="G463">
        <v>106.55</v>
      </c>
      <c r="H463" t="s">
        <v>15</v>
      </c>
      <c r="I463" t="s">
        <v>21</v>
      </c>
      <c r="J463" t="s">
        <v>111</v>
      </c>
      <c r="L463">
        <v>4239</v>
      </c>
      <c r="M463" t="s">
        <v>3855</v>
      </c>
      <c r="N463" t="s">
        <v>4337</v>
      </c>
      <c r="O463" t="s">
        <v>305</v>
      </c>
    </row>
    <row r="464" spans="1:15" x14ac:dyDescent="0.25">
      <c r="A464" t="s">
        <v>4267</v>
      </c>
      <c r="B464" t="s">
        <v>4268</v>
      </c>
      <c r="C464" t="s">
        <v>4269</v>
      </c>
      <c r="E464" s="13">
        <v>46059</v>
      </c>
      <c r="F464" t="s">
        <v>4253</v>
      </c>
      <c r="G464">
        <v>6.39</v>
      </c>
      <c r="H464" t="s">
        <v>15</v>
      </c>
      <c r="I464" t="s">
        <v>21</v>
      </c>
      <c r="J464" t="s">
        <v>111</v>
      </c>
      <c r="L464">
        <v>4001</v>
      </c>
      <c r="M464" t="s">
        <v>3855</v>
      </c>
      <c r="N464" t="s">
        <v>4337</v>
      </c>
      <c r="O464" t="s">
        <v>305</v>
      </c>
    </row>
    <row r="465" spans="1:15" x14ac:dyDescent="0.25">
      <c r="A465" t="s">
        <v>4267</v>
      </c>
      <c r="B465" t="s">
        <v>4268</v>
      </c>
      <c r="C465" t="s">
        <v>4269</v>
      </c>
      <c r="E465" s="13">
        <v>46059</v>
      </c>
      <c r="F465" t="s">
        <v>4253</v>
      </c>
      <c r="G465">
        <v>63.99</v>
      </c>
      <c r="H465" t="s">
        <v>15</v>
      </c>
      <c r="I465" t="s">
        <v>21</v>
      </c>
      <c r="J465" t="s">
        <v>111</v>
      </c>
      <c r="L465">
        <v>4001</v>
      </c>
      <c r="M465" t="s">
        <v>3855</v>
      </c>
      <c r="N465" t="s">
        <v>4337</v>
      </c>
      <c r="O465" t="s">
        <v>305</v>
      </c>
    </row>
    <row r="466" spans="1:15" x14ac:dyDescent="0.25">
      <c r="A466" t="s">
        <v>4267</v>
      </c>
      <c r="B466" t="s">
        <v>4268</v>
      </c>
      <c r="C466" t="s">
        <v>4269</v>
      </c>
      <c r="E466" s="13">
        <v>46058</v>
      </c>
      <c r="F466" t="s">
        <v>4281</v>
      </c>
      <c r="G466">
        <v>6696.8</v>
      </c>
      <c r="H466" t="s">
        <v>15</v>
      </c>
      <c r="I466" t="s">
        <v>3594</v>
      </c>
      <c r="J466" t="s">
        <v>41</v>
      </c>
      <c r="L466">
        <v>4239</v>
      </c>
      <c r="M466" t="s">
        <v>3855</v>
      </c>
      <c r="N466" t="s">
        <v>4337</v>
      </c>
      <c r="O466" t="s">
        <v>305</v>
      </c>
    </row>
    <row r="467" spans="1:15" x14ac:dyDescent="0.25">
      <c r="A467" t="s">
        <v>4267</v>
      </c>
      <c r="B467" t="s">
        <v>4268</v>
      </c>
      <c r="C467" t="s">
        <v>4269</v>
      </c>
      <c r="E467" s="13">
        <v>46058</v>
      </c>
      <c r="F467" t="s">
        <v>4253</v>
      </c>
      <c r="G467">
        <v>4.91</v>
      </c>
      <c r="H467" t="s">
        <v>15</v>
      </c>
      <c r="I467" t="s">
        <v>21</v>
      </c>
      <c r="J467" t="s">
        <v>111</v>
      </c>
      <c r="L467">
        <v>4001</v>
      </c>
      <c r="M467" t="s">
        <v>3855</v>
      </c>
      <c r="N467" t="s">
        <v>4337</v>
      </c>
      <c r="O467" t="s">
        <v>305</v>
      </c>
    </row>
    <row r="468" spans="1:15" x14ac:dyDescent="0.25">
      <c r="A468" t="s">
        <v>4267</v>
      </c>
      <c r="B468" t="s">
        <v>4268</v>
      </c>
      <c r="C468" t="s">
        <v>4269</v>
      </c>
      <c r="E468" s="13">
        <v>46058</v>
      </c>
      <c r="F468" t="s">
        <v>4253</v>
      </c>
      <c r="G468">
        <v>49.18</v>
      </c>
      <c r="H468" t="s">
        <v>15</v>
      </c>
      <c r="I468" t="s">
        <v>21</v>
      </c>
      <c r="J468" t="s">
        <v>111</v>
      </c>
      <c r="L468">
        <v>4001</v>
      </c>
      <c r="M468" t="s">
        <v>3855</v>
      </c>
      <c r="N468" t="s">
        <v>4337</v>
      </c>
      <c r="O468" t="s">
        <v>305</v>
      </c>
    </row>
    <row r="469" spans="1:15" x14ac:dyDescent="0.25">
      <c r="A469" t="s">
        <v>4267</v>
      </c>
      <c r="B469" t="s">
        <v>4268</v>
      </c>
      <c r="C469" t="s">
        <v>4269</v>
      </c>
      <c r="E469" s="13">
        <v>46058</v>
      </c>
      <c r="F469" t="s">
        <v>4282</v>
      </c>
      <c r="G469">
        <v>8</v>
      </c>
      <c r="H469" t="s">
        <v>15</v>
      </c>
      <c r="I469" t="s">
        <v>3864</v>
      </c>
      <c r="J469" t="s">
        <v>30</v>
      </c>
      <c r="L469">
        <v>4239</v>
      </c>
      <c r="M469" t="s">
        <v>3855</v>
      </c>
      <c r="N469" t="s">
        <v>4337</v>
      </c>
      <c r="O469" t="s">
        <v>305</v>
      </c>
    </row>
    <row r="470" spans="1:15" x14ac:dyDescent="0.25">
      <c r="A470" t="s">
        <v>4267</v>
      </c>
      <c r="B470" t="s">
        <v>4268</v>
      </c>
      <c r="C470" t="s">
        <v>4269</v>
      </c>
      <c r="E470" s="13">
        <v>46087</v>
      </c>
      <c r="F470" t="s">
        <v>4253</v>
      </c>
      <c r="G470">
        <v>67.05</v>
      </c>
      <c r="H470" t="s">
        <v>15</v>
      </c>
      <c r="I470" t="s">
        <v>21</v>
      </c>
      <c r="J470" t="s">
        <v>111</v>
      </c>
      <c r="L470">
        <v>4001</v>
      </c>
      <c r="M470" t="s">
        <v>3855</v>
      </c>
      <c r="N470" t="s">
        <v>4337</v>
      </c>
      <c r="O470" t="s">
        <v>305</v>
      </c>
    </row>
    <row r="471" spans="1:15" x14ac:dyDescent="0.25">
      <c r="A471" t="s">
        <v>4267</v>
      </c>
      <c r="B471" t="s">
        <v>4268</v>
      </c>
      <c r="C471" t="s">
        <v>4269</v>
      </c>
      <c r="E471" s="13">
        <v>46085</v>
      </c>
      <c r="F471" t="s">
        <v>4253</v>
      </c>
      <c r="G471">
        <v>37.979999999999997</v>
      </c>
      <c r="H471" t="s">
        <v>15</v>
      </c>
      <c r="I471" t="s">
        <v>21</v>
      </c>
      <c r="J471" t="s">
        <v>111</v>
      </c>
      <c r="L471">
        <v>4001</v>
      </c>
      <c r="M471" t="s">
        <v>3855</v>
      </c>
      <c r="N471" t="s">
        <v>4337</v>
      </c>
      <c r="O471" t="s">
        <v>305</v>
      </c>
    </row>
    <row r="472" spans="1:15" x14ac:dyDescent="0.25">
      <c r="A472" t="s">
        <v>4267</v>
      </c>
      <c r="B472" t="s">
        <v>4268</v>
      </c>
      <c r="C472" t="s">
        <v>4269</v>
      </c>
      <c r="E472" s="13">
        <v>46061</v>
      </c>
      <c r="F472" t="s">
        <v>4283</v>
      </c>
      <c r="G472">
        <v>1578.86</v>
      </c>
      <c r="H472" t="s">
        <v>15</v>
      </c>
      <c r="I472" t="s">
        <v>3864</v>
      </c>
      <c r="J472" t="s">
        <v>4284</v>
      </c>
      <c r="L472">
        <v>4239</v>
      </c>
      <c r="M472" t="s">
        <v>3855</v>
      </c>
      <c r="N472" t="s">
        <v>4337</v>
      </c>
      <c r="O472" t="s">
        <v>305</v>
      </c>
    </row>
    <row r="473" spans="1:15" x14ac:dyDescent="0.25">
      <c r="A473" t="s">
        <v>4267</v>
      </c>
      <c r="B473" t="s">
        <v>4268</v>
      </c>
      <c r="C473" t="s">
        <v>4269</v>
      </c>
      <c r="E473" s="13">
        <v>46063</v>
      </c>
      <c r="F473" t="s">
        <v>4285</v>
      </c>
      <c r="G473">
        <v>87.25</v>
      </c>
      <c r="H473" t="s">
        <v>15</v>
      </c>
      <c r="I473" t="s">
        <v>16</v>
      </c>
      <c r="J473" t="s">
        <v>4284</v>
      </c>
      <c r="L473">
        <v>4239</v>
      </c>
      <c r="M473" t="s">
        <v>3855</v>
      </c>
      <c r="N473" t="s">
        <v>4337</v>
      </c>
      <c r="O473" t="s">
        <v>305</v>
      </c>
    </row>
    <row r="474" spans="1:15" x14ac:dyDescent="0.25">
      <c r="A474" t="s">
        <v>4286</v>
      </c>
      <c r="B474" t="s">
        <v>4287</v>
      </c>
      <c r="C474" t="s">
        <v>4288</v>
      </c>
      <c r="E474" s="13">
        <v>46066</v>
      </c>
      <c r="F474" t="s">
        <v>4253</v>
      </c>
      <c r="G474">
        <v>44.99</v>
      </c>
      <c r="H474" t="s">
        <v>15</v>
      </c>
      <c r="I474" t="s">
        <v>21</v>
      </c>
      <c r="J474" t="s">
        <v>111</v>
      </c>
      <c r="L474">
        <v>4001</v>
      </c>
      <c r="M474" t="s">
        <v>3855</v>
      </c>
      <c r="N474" t="s">
        <v>4337</v>
      </c>
      <c r="O474" t="s">
        <v>309</v>
      </c>
    </row>
    <row r="475" spans="1:15" x14ac:dyDescent="0.25">
      <c r="A475" t="s">
        <v>4286</v>
      </c>
      <c r="B475" t="s">
        <v>4287</v>
      </c>
      <c r="C475" t="s">
        <v>4288</v>
      </c>
      <c r="E475" s="13">
        <v>46066</v>
      </c>
      <c r="F475" t="s">
        <v>4289</v>
      </c>
      <c r="G475">
        <v>1.8</v>
      </c>
      <c r="H475" t="s">
        <v>15</v>
      </c>
      <c r="I475" t="s">
        <v>64</v>
      </c>
      <c r="J475" t="s">
        <v>1353</v>
      </c>
      <c r="L475">
        <v>1008</v>
      </c>
      <c r="M475" t="s">
        <v>3855</v>
      </c>
      <c r="N475" t="s">
        <v>4337</v>
      </c>
      <c r="O475" t="s">
        <v>309</v>
      </c>
    </row>
    <row r="476" spans="1:15" x14ac:dyDescent="0.25">
      <c r="A476" t="s">
        <v>4286</v>
      </c>
      <c r="B476" t="s">
        <v>4287</v>
      </c>
      <c r="C476" t="s">
        <v>4288</v>
      </c>
      <c r="E476" s="13">
        <v>46066</v>
      </c>
      <c r="F476" t="s">
        <v>4289</v>
      </c>
      <c r="G476">
        <v>7.8</v>
      </c>
      <c r="H476" t="s">
        <v>15</v>
      </c>
      <c r="I476" t="s">
        <v>64</v>
      </c>
      <c r="J476" t="s">
        <v>1353</v>
      </c>
      <c r="L476">
        <v>1008</v>
      </c>
      <c r="M476" t="s">
        <v>3855</v>
      </c>
      <c r="N476" t="s">
        <v>4337</v>
      </c>
      <c r="O476" t="s">
        <v>309</v>
      </c>
    </row>
    <row r="477" spans="1:15" x14ac:dyDescent="0.25">
      <c r="A477" t="s">
        <v>4286</v>
      </c>
      <c r="B477" t="s">
        <v>4287</v>
      </c>
      <c r="C477" t="s">
        <v>4288</v>
      </c>
      <c r="E477" s="13">
        <v>46064</v>
      </c>
      <c r="F477" t="s">
        <v>4290</v>
      </c>
      <c r="G477">
        <v>65.680000000000007</v>
      </c>
      <c r="H477" t="s">
        <v>15</v>
      </c>
      <c r="I477" t="s">
        <v>21</v>
      </c>
      <c r="J477" t="s">
        <v>111</v>
      </c>
      <c r="L477">
        <v>4001</v>
      </c>
      <c r="M477" t="s">
        <v>3855</v>
      </c>
      <c r="N477" t="s">
        <v>4337</v>
      </c>
      <c r="O477" t="s">
        <v>309</v>
      </c>
    </row>
    <row r="478" spans="1:15" x14ac:dyDescent="0.25">
      <c r="A478" t="s">
        <v>4286</v>
      </c>
      <c r="B478" t="s">
        <v>4287</v>
      </c>
      <c r="C478" t="s">
        <v>4288</v>
      </c>
      <c r="E478" s="13">
        <v>46063</v>
      </c>
      <c r="F478" t="s">
        <v>4291</v>
      </c>
      <c r="G478">
        <v>73.290000000000006</v>
      </c>
      <c r="H478" t="s">
        <v>15</v>
      </c>
      <c r="I478" t="s">
        <v>21</v>
      </c>
      <c r="J478" t="s">
        <v>111</v>
      </c>
      <c r="L478">
        <v>4001</v>
      </c>
      <c r="M478" t="s">
        <v>3855</v>
      </c>
      <c r="N478" t="s">
        <v>4337</v>
      </c>
      <c r="O478" t="s">
        <v>309</v>
      </c>
    </row>
    <row r="479" spans="1:15" x14ac:dyDescent="0.25">
      <c r="A479" t="s">
        <v>4286</v>
      </c>
      <c r="B479" t="s">
        <v>4287</v>
      </c>
      <c r="C479" t="s">
        <v>4288</v>
      </c>
      <c r="E479" s="13">
        <v>46063</v>
      </c>
      <c r="F479" t="s">
        <v>4253</v>
      </c>
      <c r="G479">
        <v>39.21</v>
      </c>
      <c r="H479" t="s">
        <v>15</v>
      </c>
      <c r="I479" t="s">
        <v>21</v>
      </c>
      <c r="J479" t="s">
        <v>111</v>
      </c>
      <c r="L479">
        <v>4001</v>
      </c>
      <c r="M479" t="s">
        <v>3855</v>
      </c>
      <c r="N479" t="s">
        <v>4337</v>
      </c>
      <c r="O479" t="s">
        <v>309</v>
      </c>
    </row>
    <row r="480" spans="1:15" x14ac:dyDescent="0.25">
      <c r="A480" t="s">
        <v>4286</v>
      </c>
      <c r="B480" t="s">
        <v>4287</v>
      </c>
      <c r="C480" t="s">
        <v>4288</v>
      </c>
      <c r="E480" s="13">
        <v>46059</v>
      </c>
      <c r="F480" t="s">
        <v>4253</v>
      </c>
      <c r="G480">
        <v>56.16</v>
      </c>
      <c r="H480" t="s">
        <v>15</v>
      </c>
      <c r="I480" t="s">
        <v>21</v>
      </c>
      <c r="J480" t="s">
        <v>111</v>
      </c>
      <c r="L480">
        <v>4001</v>
      </c>
      <c r="M480" t="s">
        <v>3855</v>
      </c>
      <c r="N480" t="s">
        <v>4337</v>
      </c>
      <c r="O480" t="s">
        <v>309</v>
      </c>
    </row>
    <row r="481" spans="1:15" x14ac:dyDescent="0.25">
      <c r="A481" t="s">
        <v>4286</v>
      </c>
      <c r="B481" t="s">
        <v>4287</v>
      </c>
      <c r="C481" t="s">
        <v>4288</v>
      </c>
      <c r="E481" s="13">
        <v>46085</v>
      </c>
      <c r="F481" t="s">
        <v>3840</v>
      </c>
      <c r="G481">
        <v>17.309999999999999</v>
      </c>
      <c r="H481" t="s">
        <v>15</v>
      </c>
      <c r="I481" t="s">
        <v>16</v>
      </c>
      <c r="J481" t="s">
        <v>4292</v>
      </c>
      <c r="L481">
        <v>4001</v>
      </c>
      <c r="M481" t="s">
        <v>3855</v>
      </c>
      <c r="N481" t="s">
        <v>4337</v>
      </c>
      <c r="O481" t="s">
        <v>309</v>
      </c>
    </row>
    <row r="482" spans="1:15" x14ac:dyDescent="0.25">
      <c r="A482" t="s">
        <v>4286</v>
      </c>
      <c r="B482" t="s">
        <v>4287</v>
      </c>
      <c r="C482" t="s">
        <v>4288</v>
      </c>
      <c r="E482" s="13">
        <v>46083</v>
      </c>
      <c r="F482" t="s">
        <v>4253</v>
      </c>
      <c r="G482">
        <v>35.99</v>
      </c>
      <c r="H482" t="s">
        <v>15</v>
      </c>
      <c r="I482" t="s">
        <v>21</v>
      </c>
      <c r="J482" t="s">
        <v>111</v>
      </c>
      <c r="L482">
        <v>4001</v>
      </c>
      <c r="M482" t="s">
        <v>3855</v>
      </c>
      <c r="N482" t="s">
        <v>4337</v>
      </c>
      <c r="O482" t="s">
        <v>309</v>
      </c>
    </row>
    <row r="483" spans="1:15" x14ac:dyDescent="0.25">
      <c r="A483" t="s">
        <v>4286</v>
      </c>
      <c r="B483" t="s">
        <v>4287</v>
      </c>
      <c r="C483" t="s">
        <v>4288</v>
      </c>
      <c r="E483" s="13">
        <v>46082</v>
      </c>
      <c r="F483" t="s">
        <v>4293</v>
      </c>
      <c r="G483">
        <v>66.44</v>
      </c>
      <c r="H483" t="s">
        <v>15</v>
      </c>
      <c r="I483" t="s">
        <v>21</v>
      </c>
      <c r="J483" t="s">
        <v>111</v>
      </c>
      <c r="L483">
        <v>1035</v>
      </c>
      <c r="M483" t="s">
        <v>3855</v>
      </c>
      <c r="N483" t="s">
        <v>4337</v>
      </c>
      <c r="O483" t="s">
        <v>309</v>
      </c>
    </row>
    <row r="484" spans="1:15" x14ac:dyDescent="0.25">
      <c r="A484" t="s">
        <v>4286</v>
      </c>
      <c r="B484" t="s">
        <v>4287</v>
      </c>
      <c r="C484" t="s">
        <v>4288</v>
      </c>
      <c r="E484" s="13">
        <v>46076</v>
      </c>
      <c r="F484" t="s">
        <v>4166</v>
      </c>
      <c r="G484">
        <v>35.950000000000003</v>
      </c>
      <c r="H484" t="s">
        <v>15</v>
      </c>
      <c r="I484" t="s">
        <v>16</v>
      </c>
      <c r="J484" t="s">
        <v>4132</v>
      </c>
      <c r="L484">
        <v>1035</v>
      </c>
      <c r="M484" t="s">
        <v>3855</v>
      </c>
      <c r="N484" t="s">
        <v>4337</v>
      </c>
      <c r="O484" t="s">
        <v>309</v>
      </c>
    </row>
    <row r="485" spans="1:15" x14ac:dyDescent="0.25">
      <c r="A485" t="s">
        <v>4286</v>
      </c>
      <c r="B485" t="s">
        <v>4287</v>
      </c>
      <c r="C485" t="s">
        <v>4288</v>
      </c>
      <c r="E485" s="13">
        <v>46076</v>
      </c>
      <c r="F485" t="s">
        <v>4166</v>
      </c>
      <c r="G485">
        <v>30.74</v>
      </c>
      <c r="H485" t="s">
        <v>15</v>
      </c>
      <c r="I485" t="s">
        <v>16</v>
      </c>
      <c r="J485" t="s">
        <v>4132</v>
      </c>
      <c r="L485">
        <v>1035</v>
      </c>
      <c r="M485" t="s">
        <v>3855</v>
      </c>
      <c r="N485" t="s">
        <v>4337</v>
      </c>
      <c r="O485" t="s">
        <v>309</v>
      </c>
    </row>
    <row r="486" spans="1:15" x14ac:dyDescent="0.25">
      <c r="A486" t="s">
        <v>4286</v>
      </c>
      <c r="B486" t="s">
        <v>4287</v>
      </c>
      <c r="C486" t="s">
        <v>4288</v>
      </c>
      <c r="E486" s="13">
        <v>46074</v>
      </c>
      <c r="F486" t="s">
        <v>4294</v>
      </c>
      <c r="G486">
        <v>23.28</v>
      </c>
      <c r="H486" t="s">
        <v>15</v>
      </c>
      <c r="I486" t="s">
        <v>21</v>
      </c>
      <c r="J486" t="s">
        <v>111</v>
      </c>
      <c r="L486">
        <v>1012</v>
      </c>
      <c r="M486" t="s">
        <v>3855</v>
      </c>
      <c r="N486" t="s">
        <v>4337</v>
      </c>
      <c r="O486" t="s">
        <v>309</v>
      </c>
    </row>
    <row r="487" spans="1:15" x14ac:dyDescent="0.25">
      <c r="A487" t="s">
        <v>4286</v>
      </c>
      <c r="B487" t="s">
        <v>4287</v>
      </c>
      <c r="C487" t="s">
        <v>4288</v>
      </c>
      <c r="E487" s="13">
        <v>46074</v>
      </c>
      <c r="F487" t="s">
        <v>4295</v>
      </c>
      <c r="G487">
        <v>21.96</v>
      </c>
      <c r="H487" t="s">
        <v>15</v>
      </c>
      <c r="I487" t="s">
        <v>21</v>
      </c>
      <c r="J487" t="s">
        <v>111</v>
      </c>
      <c r="L487">
        <v>1012</v>
      </c>
      <c r="M487" t="s">
        <v>3855</v>
      </c>
      <c r="N487" t="s">
        <v>4337</v>
      </c>
      <c r="O487" t="s">
        <v>309</v>
      </c>
    </row>
    <row r="488" spans="1:15" x14ac:dyDescent="0.25">
      <c r="A488" t="s">
        <v>4286</v>
      </c>
      <c r="B488" t="s">
        <v>4287</v>
      </c>
      <c r="C488" t="s">
        <v>4288</v>
      </c>
      <c r="E488" s="13">
        <v>46073</v>
      </c>
      <c r="F488" t="s">
        <v>4296</v>
      </c>
      <c r="G488">
        <v>108.74</v>
      </c>
      <c r="H488" t="s">
        <v>15</v>
      </c>
      <c r="I488" t="s">
        <v>21</v>
      </c>
      <c r="J488" t="s">
        <v>111</v>
      </c>
      <c r="L488">
        <v>1035</v>
      </c>
      <c r="M488" t="s">
        <v>3855</v>
      </c>
      <c r="N488" t="s">
        <v>4337</v>
      </c>
      <c r="O488" t="s">
        <v>309</v>
      </c>
    </row>
    <row r="489" spans="1:15" x14ac:dyDescent="0.25">
      <c r="A489" t="s">
        <v>4286</v>
      </c>
      <c r="B489" t="s">
        <v>4287</v>
      </c>
      <c r="C489" t="s">
        <v>4288</v>
      </c>
      <c r="E489" s="13">
        <v>46073</v>
      </c>
      <c r="F489" t="s">
        <v>4297</v>
      </c>
      <c r="G489">
        <v>145.58000000000001</v>
      </c>
      <c r="H489" t="s">
        <v>15</v>
      </c>
      <c r="I489" t="s">
        <v>64</v>
      </c>
      <c r="J489" t="s">
        <v>4298</v>
      </c>
      <c r="L489">
        <v>1012</v>
      </c>
      <c r="M489" t="s">
        <v>3855</v>
      </c>
      <c r="N489" t="s">
        <v>4337</v>
      </c>
      <c r="O489" t="s">
        <v>309</v>
      </c>
    </row>
    <row r="490" spans="1:15" x14ac:dyDescent="0.25">
      <c r="A490" t="s">
        <v>4286</v>
      </c>
      <c r="B490" t="s">
        <v>4287</v>
      </c>
      <c r="C490" t="s">
        <v>4288</v>
      </c>
      <c r="E490" s="13">
        <v>46073</v>
      </c>
      <c r="F490" t="s">
        <v>4297</v>
      </c>
      <c r="G490">
        <v>380.93</v>
      </c>
      <c r="H490" t="s">
        <v>15</v>
      </c>
      <c r="I490" t="s">
        <v>64</v>
      </c>
      <c r="J490" t="s">
        <v>4299</v>
      </c>
      <c r="L490">
        <v>1012</v>
      </c>
      <c r="M490" t="s">
        <v>3855</v>
      </c>
      <c r="N490" t="s">
        <v>4337</v>
      </c>
      <c r="O490" t="s">
        <v>309</v>
      </c>
    </row>
    <row r="491" spans="1:15" x14ac:dyDescent="0.25">
      <c r="A491" t="s">
        <v>4286</v>
      </c>
      <c r="B491" t="s">
        <v>4287</v>
      </c>
      <c r="C491" t="s">
        <v>4288</v>
      </c>
      <c r="E491" s="13">
        <v>46072</v>
      </c>
      <c r="F491" t="s">
        <v>4253</v>
      </c>
      <c r="G491">
        <v>35.01</v>
      </c>
      <c r="H491" t="s">
        <v>15</v>
      </c>
      <c r="I491" t="s">
        <v>21</v>
      </c>
      <c r="J491" t="s">
        <v>111</v>
      </c>
      <c r="L491">
        <v>4001</v>
      </c>
      <c r="M491" t="s">
        <v>3855</v>
      </c>
      <c r="N491" t="s">
        <v>4337</v>
      </c>
      <c r="O491" t="s">
        <v>309</v>
      </c>
    </row>
    <row r="492" spans="1:15" x14ac:dyDescent="0.25">
      <c r="A492" t="s">
        <v>4286</v>
      </c>
      <c r="B492" t="s">
        <v>4287</v>
      </c>
      <c r="C492" t="s">
        <v>4288</v>
      </c>
      <c r="E492" s="13">
        <v>46071</v>
      </c>
      <c r="F492" t="s">
        <v>4300</v>
      </c>
      <c r="G492">
        <v>814.92</v>
      </c>
      <c r="H492" t="s">
        <v>15</v>
      </c>
      <c r="I492" t="s">
        <v>16</v>
      </c>
      <c r="J492" t="s">
        <v>4301</v>
      </c>
      <c r="L492">
        <v>1012</v>
      </c>
      <c r="M492" t="s">
        <v>3855</v>
      </c>
      <c r="N492" t="s">
        <v>4337</v>
      </c>
      <c r="O492" t="s">
        <v>309</v>
      </c>
    </row>
    <row r="493" spans="1:15" x14ac:dyDescent="0.25">
      <c r="A493" t="s">
        <v>4286</v>
      </c>
      <c r="B493" t="s">
        <v>4287</v>
      </c>
      <c r="C493" t="s">
        <v>4288</v>
      </c>
      <c r="E493" s="13">
        <v>46086</v>
      </c>
      <c r="F493" t="s">
        <v>4302</v>
      </c>
      <c r="G493">
        <v>26.46</v>
      </c>
      <c r="H493" t="s">
        <v>15</v>
      </c>
      <c r="I493" t="s">
        <v>21</v>
      </c>
      <c r="J493" t="s">
        <v>111</v>
      </c>
      <c r="L493">
        <v>4253</v>
      </c>
      <c r="M493" t="s">
        <v>3855</v>
      </c>
      <c r="N493" t="s">
        <v>4337</v>
      </c>
      <c r="O493" t="s">
        <v>309</v>
      </c>
    </row>
    <row r="494" spans="1:15" x14ac:dyDescent="0.25">
      <c r="A494" t="s">
        <v>4286</v>
      </c>
      <c r="B494" t="s">
        <v>4287</v>
      </c>
      <c r="C494" t="s">
        <v>4288</v>
      </c>
      <c r="E494" s="13">
        <v>46087</v>
      </c>
      <c r="F494" t="s">
        <v>4253</v>
      </c>
      <c r="G494">
        <v>47.35</v>
      </c>
      <c r="H494" t="s">
        <v>15</v>
      </c>
      <c r="I494" t="s">
        <v>21</v>
      </c>
      <c r="J494" t="s">
        <v>111</v>
      </c>
      <c r="L494">
        <v>4001</v>
      </c>
      <c r="M494" t="s">
        <v>3855</v>
      </c>
      <c r="N494" t="s">
        <v>4337</v>
      </c>
      <c r="O494" t="s">
        <v>309</v>
      </c>
    </row>
    <row r="495" spans="1:15" x14ac:dyDescent="0.25">
      <c r="A495" t="s">
        <v>4303</v>
      </c>
      <c r="B495" t="s">
        <v>4304</v>
      </c>
      <c r="C495" t="s">
        <v>4305</v>
      </c>
      <c r="E495" s="13">
        <v>46073</v>
      </c>
      <c r="F495" t="s">
        <v>4113</v>
      </c>
      <c r="G495">
        <v>11.47</v>
      </c>
      <c r="H495" t="s">
        <v>15</v>
      </c>
      <c r="I495" t="s">
        <v>16</v>
      </c>
      <c r="J495" t="s">
        <v>4306</v>
      </c>
      <c r="L495">
        <v>1035</v>
      </c>
      <c r="M495" t="s">
        <v>3855</v>
      </c>
      <c r="N495" t="s">
        <v>4337</v>
      </c>
      <c r="O495" t="s">
        <v>311</v>
      </c>
    </row>
    <row r="496" spans="1:15" x14ac:dyDescent="0.25">
      <c r="A496" t="s">
        <v>4303</v>
      </c>
      <c r="B496" t="s">
        <v>4304</v>
      </c>
      <c r="C496" t="s">
        <v>4305</v>
      </c>
      <c r="E496" s="13">
        <v>46079</v>
      </c>
      <c r="F496" t="s">
        <v>4113</v>
      </c>
      <c r="G496">
        <v>24.5</v>
      </c>
      <c r="H496" t="s">
        <v>15</v>
      </c>
      <c r="I496" t="s">
        <v>16</v>
      </c>
      <c r="J496" t="s">
        <v>4255</v>
      </c>
      <c r="L496">
        <v>1035</v>
      </c>
      <c r="M496" t="s">
        <v>3855</v>
      </c>
      <c r="N496" t="s">
        <v>4337</v>
      </c>
      <c r="O496" t="s">
        <v>311</v>
      </c>
    </row>
    <row r="497" spans="1:15" x14ac:dyDescent="0.25">
      <c r="A497" t="s">
        <v>4303</v>
      </c>
      <c r="B497" t="s">
        <v>4304</v>
      </c>
      <c r="C497" t="s">
        <v>4305</v>
      </c>
      <c r="E497" s="13">
        <v>46076</v>
      </c>
      <c r="F497" t="s">
        <v>4113</v>
      </c>
      <c r="G497">
        <v>5.15</v>
      </c>
      <c r="H497" t="s">
        <v>15</v>
      </c>
      <c r="I497" t="s">
        <v>16</v>
      </c>
      <c r="J497" t="s">
        <v>4132</v>
      </c>
      <c r="L497">
        <v>1035</v>
      </c>
      <c r="M497" t="s">
        <v>3855</v>
      </c>
      <c r="N497" t="s">
        <v>4337</v>
      </c>
      <c r="O497" t="s">
        <v>311</v>
      </c>
    </row>
    <row r="498" spans="1:15" x14ac:dyDescent="0.25">
      <c r="A498" t="s">
        <v>4303</v>
      </c>
      <c r="B498" t="s">
        <v>4304</v>
      </c>
      <c r="C498" t="s">
        <v>4305</v>
      </c>
      <c r="E498" s="13">
        <v>46063</v>
      </c>
      <c r="F498" t="s">
        <v>4307</v>
      </c>
      <c r="G498">
        <v>-2015.09</v>
      </c>
      <c r="H498" t="s">
        <v>15</v>
      </c>
      <c r="I498" t="s">
        <v>3594</v>
      </c>
      <c r="J498" t="s">
        <v>47</v>
      </c>
      <c r="L498">
        <v>1035</v>
      </c>
      <c r="M498" t="s">
        <v>3855</v>
      </c>
      <c r="N498" t="s">
        <v>4337</v>
      </c>
      <c r="O498" t="s">
        <v>311</v>
      </c>
    </row>
    <row r="499" spans="1:15" x14ac:dyDescent="0.25">
      <c r="A499" t="s">
        <v>4303</v>
      </c>
      <c r="B499" t="s">
        <v>4304</v>
      </c>
      <c r="C499" t="s">
        <v>4305</v>
      </c>
      <c r="E499" s="13">
        <v>46072</v>
      </c>
      <c r="F499" t="s">
        <v>4308</v>
      </c>
      <c r="G499">
        <v>6.4</v>
      </c>
      <c r="H499" t="s">
        <v>15</v>
      </c>
      <c r="I499" t="s">
        <v>16</v>
      </c>
      <c r="J499" t="s">
        <v>4309</v>
      </c>
      <c r="L499">
        <v>4001</v>
      </c>
      <c r="M499" t="s">
        <v>3855</v>
      </c>
      <c r="N499" t="s">
        <v>4337</v>
      </c>
      <c r="O499" t="s">
        <v>311</v>
      </c>
    </row>
    <row r="500" spans="1:15" x14ac:dyDescent="0.25">
      <c r="A500" t="s">
        <v>4303</v>
      </c>
      <c r="B500" t="s">
        <v>4304</v>
      </c>
      <c r="C500" t="s">
        <v>4305</v>
      </c>
      <c r="E500" s="13">
        <v>46079</v>
      </c>
      <c r="F500" t="s">
        <v>4310</v>
      </c>
      <c r="G500">
        <v>45</v>
      </c>
      <c r="H500" t="s">
        <v>15</v>
      </c>
      <c r="I500" t="s">
        <v>3594</v>
      </c>
      <c r="J500" t="s">
        <v>852</v>
      </c>
      <c r="L500">
        <v>1035</v>
      </c>
      <c r="M500" t="s">
        <v>3855</v>
      </c>
      <c r="N500" t="s">
        <v>4337</v>
      </c>
      <c r="O500" t="s">
        <v>311</v>
      </c>
    </row>
    <row r="501" spans="1:15" x14ac:dyDescent="0.25">
      <c r="A501" t="s">
        <v>4303</v>
      </c>
      <c r="B501" t="s">
        <v>4304</v>
      </c>
      <c r="C501" t="s">
        <v>4305</v>
      </c>
      <c r="E501" s="13">
        <v>46064</v>
      </c>
      <c r="F501" t="s">
        <v>4311</v>
      </c>
      <c r="G501">
        <v>74</v>
      </c>
      <c r="H501" t="s">
        <v>15</v>
      </c>
      <c r="I501" t="s">
        <v>3594</v>
      </c>
      <c r="J501" t="s">
        <v>117</v>
      </c>
      <c r="L501">
        <v>1035</v>
      </c>
      <c r="M501" t="s">
        <v>3855</v>
      </c>
      <c r="N501" t="s">
        <v>4337</v>
      </c>
      <c r="O501" t="s">
        <v>311</v>
      </c>
    </row>
    <row r="502" spans="1:15" x14ac:dyDescent="0.25">
      <c r="A502" t="s">
        <v>4303</v>
      </c>
      <c r="B502" t="s">
        <v>4304</v>
      </c>
      <c r="C502" t="s">
        <v>4305</v>
      </c>
      <c r="E502" s="13">
        <v>46063</v>
      </c>
      <c r="F502" t="s">
        <v>4261</v>
      </c>
      <c r="G502">
        <v>30</v>
      </c>
      <c r="H502" t="s">
        <v>15</v>
      </c>
      <c r="I502" t="s">
        <v>3594</v>
      </c>
      <c r="J502" t="s">
        <v>30</v>
      </c>
      <c r="L502">
        <v>1035</v>
      </c>
      <c r="M502" t="s">
        <v>3855</v>
      </c>
      <c r="N502" t="s">
        <v>4337</v>
      </c>
      <c r="O502" t="s">
        <v>311</v>
      </c>
    </row>
    <row r="503" spans="1:15" x14ac:dyDescent="0.25">
      <c r="A503" t="s">
        <v>4303</v>
      </c>
      <c r="B503" t="s">
        <v>4304</v>
      </c>
      <c r="C503" t="s">
        <v>4305</v>
      </c>
      <c r="E503" s="13">
        <v>46063</v>
      </c>
      <c r="F503" t="s">
        <v>4261</v>
      </c>
      <c r="G503">
        <v>30</v>
      </c>
      <c r="H503" t="s">
        <v>15</v>
      </c>
      <c r="I503" t="s">
        <v>3594</v>
      </c>
      <c r="J503" t="s">
        <v>30</v>
      </c>
      <c r="L503">
        <v>1035</v>
      </c>
      <c r="M503" t="s">
        <v>3855</v>
      </c>
      <c r="N503" t="s">
        <v>4337</v>
      </c>
      <c r="O503" t="s">
        <v>311</v>
      </c>
    </row>
    <row r="504" spans="1:15" x14ac:dyDescent="0.25">
      <c r="A504" t="s">
        <v>4303</v>
      </c>
      <c r="B504" t="s">
        <v>4304</v>
      </c>
      <c r="C504" t="s">
        <v>4305</v>
      </c>
      <c r="E504" s="13">
        <v>46085</v>
      </c>
      <c r="F504" t="s">
        <v>4253</v>
      </c>
      <c r="G504">
        <v>42.7</v>
      </c>
      <c r="H504" t="s">
        <v>15</v>
      </c>
      <c r="I504" t="s">
        <v>21</v>
      </c>
      <c r="J504" t="s">
        <v>111</v>
      </c>
      <c r="L504">
        <v>4001</v>
      </c>
      <c r="M504" t="s">
        <v>3855</v>
      </c>
      <c r="N504" t="s">
        <v>4337</v>
      </c>
      <c r="O504" t="s">
        <v>311</v>
      </c>
    </row>
    <row r="505" spans="1:15" x14ac:dyDescent="0.25">
      <c r="A505" t="s">
        <v>4303</v>
      </c>
      <c r="B505" t="s">
        <v>4304</v>
      </c>
      <c r="C505" t="s">
        <v>4305</v>
      </c>
      <c r="E505" s="13">
        <v>46084</v>
      </c>
      <c r="F505" t="s">
        <v>4253</v>
      </c>
      <c r="G505">
        <v>25.99</v>
      </c>
      <c r="H505" t="s">
        <v>15</v>
      </c>
      <c r="I505" t="s">
        <v>21</v>
      </c>
      <c r="J505" t="s">
        <v>111</v>
      </c>
      <c r="L505">
        <v>4001</v>
      </c>
      <c r="M505" t="s">
        <v>3855</v>
      </c>
      <c r="N505" t="s">
        <v>4337</v>
      </c>
      <c r="O505" t="s">
        <v>311</v>
      </c>
    </row>
    <row r="506" spans="1:15" x14ac:dyDescent="0.25">
      <c r="A506" t="s">
        <v>4303</v>
      </c>
      <c r="B506" t="s">
        <v>4304</v>
      </c>
      <c r="C506" t="s">
        <v>4305</v>
      </c>
      <c r="E506" s="13">
        <v>46080</v>
      </c>
      <c r="F506" t="s">
        <v>4312</v>
      </c>
      <c r="G506">
        <v>94.48</v>
      </c>
      <c r="H506" t="s">
        <v>15</v>
      </c>
      <c r="I506" t="s">
        <v>21</v>
      </c>
      <c r="J506" t="s">
        <v>111</v>
      </c>
      <c r="L506">
        <v>1035</v>
      </c>
      <c r="M506" t="s">
        <v>3855</v>
      </c>
      <c r="N506" t="s">
        <v>4337</v>
      </c>
      <c r="O506" t="s">
        <v>311</v>
      </c>
    </row>
    <row r="507" spans="1:15" x14ac:dyDescent="0.25">
      <c r="A507" t="s">
        <v>4303</v>
      </c>
      <c r="B507" t="s">
        <v>4304</v>
      </c>
      <c r="C507" t="s">
        <v>4305</v>
      </c>
      <c r="E507" s="13">
        <v>46073</v>
      </c>
      <c r="F507" t="s">
        <v>4313</v>
      </c>
      <c r="G507">
        <v>25.95</v>
      </c>
      <c r="H507" t="s">
        <v>15</v>
      </c>
      <c r="I507" t="s">
        <v>21</v>
      </c>
      <c r="J507" t="s">
        <v>111</v>
      </c>
      <c r="L507">
        <v>1035</v>
      </c>
      <c r="M507" t="s">
        <v>3855</v>
      </c>
      <c r="N507" t="s">
        <v>4337</v>
      </c>
      <c r="O507" t="s">
        <v>311</v>
      </c>
    </row>
    <row r="508" spans="1:15" x14ac:dyDescent="0.25">
      <c r="A508" t="s">
        <v>4303</v>
      </c>
      <c r="B508" t="s">
        <v>4304</v>
      </c>
      <c r="C508" t="s">
        <v>4305</v>
      </c>
      <c r="E508" s="13">
        <v>46073</v>
      </c>
      <c r="F508" t="s">
        <v>4314</v>
      </c>
      <c r="G508">
        <v>106.93</v>
      </c>
      <c r="H508" t="s">
        <v>15</v>
      </c>
      <c r="I508" t="s">
        <v>21</v>
      </c>
      <c r="J508" t="s">
        <v>111</v>
      </c>
      <c r="L508">
        <v>1035</v>
      </c>
      <c r="M508" t="s">
        <v>3855</v>
      </c>
      <c r="N508" t="s">
        <v>4337</v>
      </c>
      <c r="O508" t="s">
        <v>311</v>
      </c>
    </row>
    <row r="509" spans="1:15" x14ac:dyDescent="0.25">
      <c r="A509" t="s">
        <v>4303</v>
      </c>
      <c r="B509" t="s">
        <v>4304</v>
      </c>
      <c r="C509" t="s">
        <v>4305</v>
      </c>
      <c r="E509" s="13">
        <v>46073</v>
      </c>
      <c r="F509" t="s">
        <v>4253</v>
      </c>
      <c r="G509">
        <v>45.56</v>
      </c>
      <c r="H509" t="s">
        <v>15</v>
      </c>
      <c r="I509" t="s">
        <v>21</v>
      </c>
      <c r="J509" t="s">
        <v>111</v>
      </c>
      <c r="L509">
        <v>4001</v>
      </c>
      <c r="M509" t="s">
        <v>3855</v>
      </c>
      <c r="N509" t="s">
        <v>4337</v>
      </c>
      <c r="O509" t="s">
        <v>311</v>
      </c>
    </row>
    <row r="510" spans="1:15" x14ac:dyDescent="0.25">
      <c r="A510" t="s">
        <v>4303</v>
      </c>
      <c r="B510" t="s">
        <v>4304</v>
      </c>
      <c r="C510" t="s">
        <v>4305</v>
      </c>
      <c r="E510" s="13">
        <v>46072</v>
      </c>
      <c r="F510" t="s">
        <v>4253</v>
      </c>
      <c r="G510">
        <v>98.98</v>
      </c>
      <c r="H510" t="s">
        <v>15</v>
      </c>
      <c r="I510" t="s">
        <v>21</v>
      </c>
      <c r="J510" t="s">
        <v>111</v>
      </c>
      <c r="L510">
        <v>4001</v>
      </c>
      <c r="M510" t="s">
        <v>3855</v>
      </c>
      <c r="N510" t="s">
        <v>4337</v>
      </c>
      <c r="O510" t="s">
        <v>311</v>
      </c>
    </row>
    <row r="511" spans="1:15" x14ac:dyDescent="0.25">
      <c r="A511" t="s">
        <v>4303</v>
      </c>
      <c r="B511" t="s">
        <v>4304</v>
      </c>
      <c r="C511" t="s">
        <v>4305</v>
      </c>
      <c r="E511" s="13">
        <v>46071</v>
      </c>
      <c r="F511" t="s">
        <v>4253</v>
      </c>
      <c r="G511">
        <v>38.31</v>
      </c>
      <c r="H511" t="s">
        <v>15</v>
      </c>
      <c r="I511" t="s">
        <v>21</v>
      </c>
      <c r="J511" t="s">
        <v>111</v>
      </c>
      <c r="L511">
        <v>4001</v>
      </c>
      <c r="M511" t="s">
        <v>3855</v>
      </c>
      <c r="N511" t="s">
        <v>4337</v>
      </c>
      <c r="O511" t="s">
        <v>311</v>
      </c>
    </row>
    <row r="512" spans="1:15" x14ac:dyDescent="0.25">
      <c r="A512" t="s">
        <v>4303</v>
      </c>
      <c r="B512" t="s">
        <v>4304</v>
      </c>
      <c r="C512" t="s">
        <v>4305</v>
      </c>
      <c r="E512" s="13">
        <v>46066</v>
      </c>
      <c r="F512" t="s">
        <v>4253</v>
      </c>
      <c r="G512">
        <v>58.98</v>
      </c>
      <c r="H512" t="s">
        <v>15</v>
      </c>
      <c r="I512" t="s">
        <v>21</v>
      </c>
      <c r="J512" t="s">
        <v>111</v>
      </c>
      <c r="L512">
        <v>4001</v>
      </c>
      <c r="M512" t="s">
        <v>3855</v>
      </c>
      <c r="N512" t="s">
        <v>4337</v>
      </c>
      <c r="O512" t="s">
        <v>311</v>
      </c>
    </row>
    <row r="513" spans="1:15" x14ac:dyDescent="0.25">
      <c r="A513" t="s">
        <v>4303</v>
      </c>
      <c r="B513" t="s">
        <v>4304</v>
      </c>
      <c r="C513" t="s">
        <v>4305</v>
      </c>
      <c r="E513" s="13">
        <v>46065</v>
      </c>
      <c r="F513" t="s">
        <v>4253</v>
      </c>
      <c r="G513">
        <v>39.43</v>
      </c>
      <c r="H513" t="s">
        <v>15</v>
      </c>
      <c r="I513" t="s">
        <v>21</v>
      </c>
      <c r="J513" t="s">
        <v>111</v>
      </c>
      <c r="L513">
        <v>4001</v>
      </c>
      <c r="M513" t="s">
        <v>3855</v>
      </c>
      <c r="N513" t="s">
        <v>4337</v>
      </c>
      <c r="O513" t="s">
        <v>311</v>
      </c>
    </row>
    <row r="514" spans="1:15" x14ac:dyDescent="0.25">
      <c r="A514" t="s">
        <v>4303</v>
      </c>
      <c r="B514" t="s">
        <v>4304</v>
      </c>
      <c r="C514" t="s">
        <v>4305</v>
      </c>
      <c r="E514" s="13">
        <v>46064</v>
      </c>
      <c r="F514" t="s">
        <v>4253</v>
      </c>
      <c r="G514">
        <v>39.909999999999997</v>
      </c>
      <c r="H514" t="s">
        <v>15</v>
      </c>
      <c r="I514" t="s">
        <v>21</v>
      </c>
      <c r="J514" t="s">
        <v>111</v>
      </c>
      <c r="L514">
        <v>4001</v>
      </c>
      <c r="M514" t="s">
        <v>3855</v>
      </c>
      <c r="N514" t="s">
        <v>4337</v>
      </c>
      <c r="O514" t="s">
        <v>311</v>
      </c>
    </row>
    <row r="515" spans="1:15" x14ac:dyDescent="0.25">
      <c r="A515" t="s">
        <v>4303</v>
      </c>
      <c r="B515" t="s">
        <v>4304</v>
      </c>
      <c r="C515" t="s">
        <v>4305</v>
      </c>
      <c r="E515" s="13">
        <v>46063</v>
      </c>
      <c r="F515" t="s">
        <v>4253</v>
      </c>
      <c r="G515">
        <v>40.08</v>
      </c>
      <c r="H515" t="s">
        <v>15</v>
      </c>
      <c r="I515" t="s">
        <v>21</v>
      </c>
      <c r="J515" t="s">
        <v>111</v>
      </c>
      <c r="L515">
        <v>4001</v>
      </c>
      <c r="M515" t="s">
        <v>3855</v>
      </c>
      <c r="N515" t="s">
        <v>4337</v>
      </c>
      <c r="O515" t="s">
        <v>311</v>
      </c>
    </row>
    <row r="516" spans="1:15" x14ac:dyDescent="0.25">
      <c r="A516" t="s">
        <v>4303</v>
      </c>
      <c r="B516" t="s">
        <v>4304</v>
      </c>
      <c r="C516" t="s">
        <v>4305</v>
      </c>
      <c r="E516" s="13">
        <v>46062</v>
      </c>
      <c r="F516" t="s">
        <v>4315</v>
      </c>
      <c r="G516">
        <v>65.489999999999995</v>
      </c>
      <c r="H516" t="s">
        <v>15</v>
      </c>
      <c r="I516" t="s">
        <v>21</v>
      </c>
      <c r="J516" t="s">
        <v>111</v>
      </c>
      <c r="L516">
        <v>4001</v>
      </c>
      <c r="M516" t="s">
        <v>3855</v>
      </c>
      <c r="N516" t="s">
        <v>4337</v>
      </c>
      <c r="O516" t="s">
        <v>311</v>
      </c>
    </row>
    <row r="517" spans="1:15" x14ac:dyDescent="0.25">
      <c r="A517" t="s">
        <v>4303</v>
      </c>
      <c r="B517" t="s">
        <v>4304</v>
      </c>
      <c r="C517" t="s">
        <v>4305</v>
      </c>
      <c r="E517" s="13">
        <v>46058</v>
      </c>
      <c r="F517" t="s">
        <v>4253</v>
      </c>
      <c r="G517">
        <v>39.729999999999997</v>
      </c>
      <c r="H517" t="s">
        <v>15</v>
      </c>
      <c r="I517" t="s">
        <v>21</v>
      </c>
      <c r="J517" t="s">
        <v>111</v>
      </c>
      <c r="L517">
        <v>4001</v>
      </c>
      <c r="M517" t="s">
        <v>3855</v>
      </c>
      <c r="N517" t="s">
        <v>4337</v>
      </c>
      <c r="O517" t="s">
        <v>311</v>
      </c>
    </row>
    <row r="518" spans="1:15" x14ac:dyDescent="0.25">
      <c r="A518" t="s">
        <v>4303</v>
      </c>
      <c r="B518" t="s">
        <v>4304</v>
      </c>
      <c r="C518" t="s">
        <v>4305</v>
      </c>
      <c r="E518" s="13">
        <v>46086</v>
      </c>
      <c r="F518" t="s">
        <v>4253</v>
      </c>
      <c r="G518">
        <v>44.83</v>
      </c>
      <c r="H518" t="s">
        <v>15</v>
      </c>
      <c r="I518" t="s">
        <v>21</v>
      </c>
      <c r="J518" t="s">
        <v>111</v>
      </c>
      <c r="L518">
        <v>4001</v>
      </c>
      <c r="M518" t="s">
        <v>3855</v>
      </c>
      <c r="N518" t="s">
        <v>4337</v>
      </c>
      <c r="O518" t="s">
        <v>311</v>
      </c>
    </row>
    <row r="519" spans="1:15" x14ac:dyDescent="0.25">
      <c r="A519" t="s">
        <v>4316</v>
      </c>
      <c r="B519" t="s">
        <v>4317</v>
      </c>
      <c r="C519" t="s">
        <v>4318</v>
      </c>
      <c r="E519" s="13">
        <v>46066</v>
      </c>
      <c r="F519" t="s">
        <v>4253</v>
      </c>
      <c r="G519">
        <v>43.98</v>
      </c>
      <c r="H519" t="s">
        <v>15</v>
      </c>
      <c r="I519" t="s">
        <v>21</v>
      </c>
      <c r="J519" t="s">
        <v>111</v>
      </c>
      <c r="L519">
        <v>4001</v>
      </c>
      <c r="M519" t="s">
        <v>3855</v>
      </c>
      <c r="N519" t="s">
        <v>4337</v>
      </c>
      <c r="O519" t="s">
        <v>1272</v>
      </c>
    </row>
    <row r="520" spans="1:15" x14ac:dyDescent="0.25">
      <c r="A520" t="s">
        <v>4316</v>
      </c>
      <c r="B520" t="s">
        <v>4317</v>
      </c>
      <c r="C520" t="s">
        <v>4318</v>
      </c>
      <c r="E520" s="13">
        <v>46065</v>
      </c>
      <c r="F520" t="s">
        <v>4253</v>
      </c>
      <c r="G520">
        <v>80.989999999999995</v>
      </c>
      <c r="H520" t="s">
        <v>15</v>
      </c>
      <c r="I520" t="s">
        <v>21</v>
      </c>
      <c r="J520" t="s">
        <v>111</v>
      </c>
      <c r="L520">
        <v>4001</v>
      </c>
      <c r="M520" t="s">
        <v>3855</v>
      </c>
      <c r="N520" t="s">
        <v>4337</v>
      </c>
      <c r="O520" t="s">
        <v>1272</v>
      </c>
    </row>
    <row r="521" spans="1:15" x14ac:dyDescent="0.25">
      <c r="A521" t="s">
        <v>4316</v>
      </c>
      <c r="B521" t="s">
        <v>4317</v>
      </c>
      <c r="C521" t="s">
        <v>4318</v>
      </c>
      <c r="E521" s="13">
        <v>46064</v>
      </c>
      <c r="F521" t="s">
        <v>4253</v>
      </c>
      <c r="G521">
        <v>44.97</v>
      </c>
      <c r="H521" t="s">
        <v>15</v>
      </c>
      <c r="I521" t="s">
        <v>21</v>
      </c>
      <c r="J521" t="s">
        <v>111</v>
      </c>
      <c r="L521">
        <v>4001</v>
      </c>
      <c r="M521" t="s">
        <v>3855</v>
      </c>
      <c r="N521" t="s">
        <v>4337</v>
      </c>
      <c r="O521" t="s">
        <v>1272</v>
      </c>
    </row>
    <row r="522" spans="1:15" x14ac:dyDescent="0.25">
      <c r="A522" t="s">
        <v>4316</v>
      </c>
      <c r="B522" t="s">
        <v>4317</v>
      </c>
      <c r="C522" t="s">
        <v>4318</v>
      </c>
      <c r="E522" s="13">
        <v>46063</v>
      </c>
      <c r="F522" t="s">
        <v>4253</v>
      </c>
      <c r="G522">
        <v>40.98</v>
      </c>
      <c r="H522" t="s">
        <v>15</v>
      </c>
      <c r="I522" t="s">
        <v>21</v>
      </c>
      <c r="J522" t="s">
        <v>111</v>
      </c>
      <c r="L522">
        <v>4001</v>
      </c>
      <c r="M522" t="s">
        <v>3855</v>
      </c>
      <c r="N522" t="s">
        <v>4337</v>
      </c>
      <c r="O522" t="s">
        <v>1272</v>
      </c>
    </row>
    <row r="523" spans="1:15" x14ac:dyDescent="0.25">
      <c r="A523" t="s">
        <v>4316</v>
      </c>
      <c r="B523" t="s">
        <v>4317</v>
      </c>
      <c r="C523" t="s">
        <v>4318</v>
      </c>
      <c r="E523" s="13">
        <v>46063</v>
      </c>
      <c r="F523" t="s">
        <v>4319</v>
      </c>
      <c r="G523">
        <v>-519.16999999999996</v>
      </c>
      <c r="H523" t="s">
        <v>15</v>
      </c>
      <c r="I523" t="s">
        <v>3594</v>
      </c>
      <c r="J523" t="s">
        <v>47</v>
      </c>
      <c r="L523">
        <v>1035</v>
      </c>
      <c r="M523" t="s">
        <v>3855</v>
      </c>
      <c r="N523" t="s">
        <v>4337</v>
      </c>
      <c r="O523" t="s">
        <v>1272</v>
      </c>
    </row>
    <row r="524" spans="1:15" x14ac:dyDescent="0.25">
      <c r="A524" t="s">
        <v>4316</v>
      </c>
      <c r="B524" t="s">
        <v>4317</v>
      </c>
      <c r="C524" t="s">
        <v>4318</v>
      </c>
      <c r="E524" s="13">
        <v>46063</v>
      </c>
      <c r="F524" t="s">
        <v>4320</v>
      </c>
      <c r="G524">
        <v>30</v>
      </c>
      <c r="H524" t="s">
        <v>15</v>
      </c>
      <c r="I524" t="s">
        <v>3594</v>
      </c>
      <c r="J524" t="s">
        <v>30</v>
      </c>
      <c r="L524">
        <v>1035</v>
      </c>
      <c r="M524" t="s">
        <v>3855</v>
      </c>
      <c r="N524" t="s">
        <v>4337</v>
      </c>
      <c r="O524" t="s">
        <v>1272</v>
      </c>
    </row>
    <row r="525" spans="1:15" x14ac:dyDescent="0.25">
      <c r="A525" t="s">
        <v>4316</v>
      </c>
      <c r="B525" t="s">
        <v>4317</v>
      </c>
      <c r="C525" t="s">
        <v>4318</v>
      </c>
      <c r="E525" s="13">
        <v>46059</v>
      </c>
      <c r="F525" t="s">
        <v>4253</v>
      </c>
      <c r="G525">
        <v>65.98</v>
      </c>
      <c r="H525" t="s">
        <v>15</v>
      </c>
      <c r="I525" t="s">
        <v>21</v>
      </c>
      <c r="J525" t="s">
        <v>111</v>
      </c>
      <c r="L525">
        <v>4001</v>
      </c>
      <c r="M525" t="s">
        <v>3855</v>
      </c>
      <c r="N525" t="s">
        <v>4337</v>
      </c>
      <c r="O525" t="s">
        <v>1272</v>
      </c>
    </row>
    <row r="526" spans="1:15" x14ac:dyDescent="0.25">
      <c r="A526" t="s">
        <v>4316</v>
      </c>
      <c r="B526" t="s">
        <v>4317</v>
      </c>
      <c r="C526" t="s">
        <v>4318</v>
      </c>
      <c r="E526" s="13">
        <v>46058</v>
      </c>
      <c r="F526" t="s">
        <v>4253</v>
      </c>
      <c r="G526">
        <v>22.12</v>
      </c>
      <c r="H526" t="s">
        <v>15</v>
      </c>
      <c r="I526" t="s">
        <v>21</v>
      </c>
      <c r="J526" t="s">
        <v>111</v>
      </c>
      <c r="L526">
        <v>4001</v>
      </c>
      <c r="M526" t="s">
        <v>3855</v>
      </c>
      <c r="N526" t="s">
        <v>4337</v>
      </c>
      <c r="O526" t="s">
        <v>1272</v>
      </c>
    </row>
    <row r="527" spans="1:15" x14ac:dyDescent="0.25">
      <c r="A527" t="s">
        <v>4316</v>
      </c>
      <c r="B527" t="s">
        <v>4317</v>
      </c>
      <c r="C527" t="s">
        <v>4318</v>
      </c>
      <c r="E527" s="13">
        <v>46087</v>
      </c>
      <c r="F527" t="s">
        <v>4253</v>
      </c>
      <c r="G527">
        <v>47.28</v>
      </c>
      <c r="H527" t="s">
        <v>15</v>
      </c>
      <c r="I527" t="s">
        <v>21</v>
      </c>
      <c r="J527" t="s">
        <v>111</v>
      </c>
      <c r="L527">
        <v>4001</v>
      </c>
      <c r="M527" t="s">
        <v>3855</v>
      </c>
      <c r="N527" t="s">
        <v>4337</v>
      </c>
      <c r="O527" t="s">
        <v>1272</v>
      </c>
    </row>
    <row r="528" spans="1:15" x14ac:dyDescent="0.25">
      <c r="A528" t="s">
        <v>4316</v>
      </c>
      <c r="B528" t="s">
        <v>4317</v>
      </c>
      <c r="C528" t="s">
        <v>4318</v>
      </c>
      <c r="E528" s="13">
        <v>46086</v>
      </c>
      <c r="F528" t="s">
        <v>4253</v>
      </c>
      <c r="G528">
        <v>42.78</v>
      </c>
      <c r="H528" t="s">
        <v>15</v>
      </c>
      <c r="I528" t="s">
        <v>21</v>
      </c>
      <c r="J528" t="s">
        <v>111</v>
      </c>
      <c r="L528">
        <v>4001</v>
      </c>
      <c r="M528" t="s">
        <v>3855</v>
      </c>
      <c r="N528" t="s">
        <v>4337</v>
      </c>
      <c r="O528" t="s">
        <v>1272</v>
      </c>
    </row>
    <row r="529" spans="1:15" x14ac:dyDescent="0.25">
      <c r="A529" t="s">
        <v>4316</v>
      </c>
      <c r="B529" t="s">
        <v>4317</v>
      </c>
      <c r="C529" t="s">
        <v>4318</v>
      </c>
      <c r="E529" s="13">
        <v>46085</v>
      </c>
      <c r="F529" t="s">
        <v>4321</v>
      </c>
      <c r="G529">
        <v>62.97</v>
      </c>
      <c r="H529" t="s">
        <v>15</v>
      </c>
      <c r="I529" t="s">
        <v>21</v>
      </c>
      <c r="J529" t="s">
        <v>111</v>
      </c>
      <c r="L529">
        <v>4246</v>
      </c>
      <c r="M529" t="s">
        <v>3855</v>
      </c>
      <c r="N529" t="s">
        <v>4337</v>
      </c>
      <c r="O529" t="s">
        <v>1272</v>
      </c>
    </row>
    <row r="530" spans="1:15" x14ac:dyDescent="0.25">
      <c r="A530" t="s">
        <v>4316</v>
      </c>
      <c r="B530" t="s">
        <v>4317</v>
      </c>
      <c r="C530" t="s">
        <v>4318</v>
      </c>
      <c r="E530" s="13">
        <v>46085</v>
      </c>
      <c r="F530" t="s">
        <v>4322</v>
      </c>
      <c r="G530">
        <v>14.24</v>
      </c>
      <c r="H530" t="s">
        <v>15</v>
      </c>
      <c r="I530" t="s">
        <v>16</v>
      </c>
      <c r="J530" t="s">
        <v>218</v>
      </c>
      <c r="L530">
        <v>4001</v>
      </c>
      <c r="M530" t="s">
        <v>3855</v>
      </c>
      <c r="N530" t="s">
        <v>4337</v>
      </c>
      <c r="O530" t="s">
        <v>1272</v>
      </c>
    </row>
    <row r="531" spans="1:15" x14ac:dyDescent="0.25">
      <c r="A531" t="s">
        <v>4316</v>
      </c>
      <c r="B531" t="s">
        <v>4317</v>
      </c>
      <c r="C531" t="s">
        <v>4318</v>
      </c>
      <c r="E531" s="13">
        <v>46084</v>
      </c>
      <c r="F531" t="s">
        <v>4253</v>
      </c>
      <c r="G531">
        <v>61.98</v>
      </c>
      <c r="H531" t="s">
        <v>15</v>
      </c>
      <c r="I531" t="s">
        <v>21</v>
      </c>
      <c r="J531" t="s">
        <v>111</v>
      </c>
      <c r="L531">
        <v>4001</v>
      </c>
      <c r="M531" t="s">
        <v>3855</v>
      </c>
      <c r="N531" t="s">
        <v>4337</v>
      </c>
      <c r="O531" t="s">
        <v>1272</v>
      </c>
    </row>
    <row r="532" spans="1:15" x14ac:dyDescent="0.25">
      <c r="A532" t="s">
        <v>4316</v>
      </c>
      <c r="B532" t="s">
        <v>4317</v>
      </c>
      <c r="C532" t="s">
        <v>4318</v>
      </c>
      <c r="E532" s="13">
        <v>46076</v>
      </c>
      <c r="F532" t="s">
        <v>4166</v>
      </c>
      <c r="G532">
        <v>13.82</v>
      </c>
      <c r="H532" t="s">
        <v>15</v>
      </c>
      <c r="I532" t="s">
        <v>16</v>
      </c>
      <c r="J532" t="s">
        <v>4132</v>
      </c>
      <c r="L532">
        <v>1035</v>
      </c>
      <c r="M532" t="s">
        <v>3855</v>
      </c>
      <c r="N532" t="s">
        <v>4337</v>
      </c>
      <c r="O532" t="s">
        <v>1272</v>
      </c>
    </row>
    <row r="533" spans="1:15" x14ac:dyDescent="0.25">
      <c r="A533" t="s">
        <v>4316</v>
      </c>
      <c r="B533" t="s">
        <v>4317</v>
      </c>
      <c r="C533" t="s">
        <v>4318</v>
      </c>
      <c r="E533" s="13">
        <v>46076</v>
      </c>
      <c r="F533" t="s">
        <v>4166</v>
      </c>
      <c r="G533">
        <v>136.97</v>
      </c>
      <c r="H533" t="s">
        <v>15</v>
      </c>
      <c r="I533" t="s">
        <v>16</v>
      </c>
      <c r="J533" t="s">
        <v>4132</v>
      </c>
      <c r="L533">
        <v>1035</v>
      </c>
      <c r="M533" t="s">
        <v>3855</v>
      </c>
      <c r="N533" t="s">
        <v>4337</v>
      </c>
      <c r="O533" t="s">
        <v>1272</v>
      </c>
    </row>
    <row r="534" spans="1:15" x14ac:dyDescent="0.25">
      <c r="A534" t="s">
        <v>4316</v>
      </c>
      <c r="B534" t="s">
        <v>4317</v>
      </c>
      <c r="C534" t="s">
        <v>4318</v>
      </c>
      <c r="E534" s="13">
        <v>46073</v>
      </c>
      <c r="F534" t="s">
        <v>4296</v>
      </c>
      <c r="G534">
        <v>158.38</v>
      </c>
      <c r="H534" t="s">
        <v>15</v>
      </c>
      <c r="I534" t="s">
        <v>21</v>
      </c>
      <c r="J534" t="s">
        <v>111</v>
      </c>
      <c r="L534">
        <v>1035</v>
      </c>
      <c r="M534" t="s">
        <v>3855</v>
      </c>
      <c r="N534" t="s">
        <v>4337</v>
      </c>
      <c r="O534" t="s">
        <v>1272</v>
      </c>
    </row>
    <row r="535" spans="1:15" x14ac:dyDescent="0.25">
      <c r="A535" t="s">
        <v>4316</v>
      </c>
      <c r="B535" t="s">
        <v>4317</v>
      </c>
      <c r="C535" t="s">
        <v>4318</v>
      </c>
      <c r="E535" s="13">
        <v>46073</v>
      </c>
      <c r="F535" t="s">
        <v>4253</v>
      </c>
      <c r="G535">
        <v>40.97</v>
      </c>
      <c r="H535" t="s">
        <v>15</v>
      </c>
      <c r="I535" t="s">
        <v>21</v>
      </c>
      <c r="J535" t="s">
        <v>111</v>
      </c>
      <c r="L535">
        <v>4001</v>
      </c>
      <c r="M535" t="s">
        <v>3855</v>
      </c>
      <c r="N535" t="s">
        <v>4337</v>
      </c>
      <c r="O535" t="s">
        <v>1272</v>
      </c>
    </row>
    <row r="536" spans="1:15" x14ac:dyDescent="0.25">
      <c r="A536" t="s">
        <v>4316</v>
      </c>
      <c r="B536" t="s">
        <v>4317</v>
      </c>
      <c r="C536" t="s">
        <v>4318</v>
      </c>
      <c r="E536" s="13">
        <v>46072</v>
      </c>
      <c r="F536" t="s">
        <v>4253</v>
      </c>
      <c r="G536">
        <v>41.97</v>
      </c>
      <c r="H536" t="s">
        <v>15</v>
      </c>
      <c r="I536" t="s">
        <v>21</v>
      </c>
      <c r="J536" t="s">
        <v>111</v>
      </c>
      <c r="L536">
        <v>4001</v>
      </c>
      <c r="M536" t="s">
        <v>3855</v>
      </c>
      <c r="N536" t="s">
        <v>4337</v>
      </c>
      <c r="O536" t="s">
        <v>1272</v>
      </c>
    </row>
    <row r="537" spans="1:15" x14ac:dyDescent="0.25">
      <c r="A537" t="s">
        <v>4316</v>
      </c>
      <c r="B537" t="s">
        <v>4317</v>
      </c>
      <c r="C537" t="s">
        <v>4318</v>
      </c>
      <c r="E537" s="13">
        <v>46072</v>
      </c>
      <c r="F537" t="s">
        <v>4323</v>
      </c>
      <c r="G537">
        <v>17.97</v>
      </c>
      <c r="H537" t="s">
        <v>15</v>
      </c>
      <c r="I537" t="s">
        <v>16</v>
      </c>
      <c r="J537" t="s">
        <v>4309</v>
      </c>
      <c r="L537">
        <v>4001</v>
      </c>
      <c r="M537" t="s">
        <v>3855</v>
      </c>
      <c r="N537" t="s">
        <v>4337</v>
      </c>
      <c r="O537" t="s">
        <v>1272</v>
      </c>
    </row>
    <row r="538" spans="1:15" x14ac:dyDescent="0.25">
      <c r="A538" t="s">
        <v>4316</v>
      </c>
      <c r="B538" t="s">
        <v>4317</v>
      </c>
      <c r="C538" t="s">
        <v>4318</v>
      </c>
      <c r="E538" s="13">
        <v>46071</v>
      </c>
      <c r="F538" t="s">
        <v>4253</v>
      </c>
      <c r="G538">
        <v>39.54</v>
      </c>
      <c r="H538" t="s">
        <v>15</v>
      </c>
      <c r="I538" t="s">
        <v>21</v>
      </c>
      <c r="J538" t="s">
        <v>111</v>
      </c>
      <c r="L538">
        <v>4001</v>
      </c>
      <c r="M538" t="s">
        <v>3855</v>
      </c>
      <c r="N538" t="s">
        <v>4337</v>
      </c>
      <c r="O538" t="s">
        <v>1272</v>
      </c>
    </row>
    <row r="539" spans="1:15" x14ac:dyDescent="0.25">
      <c r="A539" t="s">
        <v>4324</v>
      </c>
      <c r="B539" t="s">
        <v>3851</v>
      </c>
      <c r="C539" t="s">
        <v>4325</v>
      </c>
      <c r="E539" s="13">
        <v>46066</v>
      </c>
      <c r="F539" t="s">
        <v>4253</v>
      </c>
      <c r="G539">
        <v>35.1</v>
      </c>
      <c r="H539" t="s">
        <v>15</v>
      </c>
      <c r="I539" t="s">
        <v>21</v>
      </c>
      <c r="J539" t="s">
        <v>111</v>
      </c>
      <c r="L539">
        <v>4001</v>
      </c>
      <c r="M539" t="s">
        <v>3855</v>
      </c>
      <c r="N539" t="s">
        <v>4337</v>
      </c>
      <c r="O539" t="s">
        <v>1278</v>
      </c>
    </row>
    <row r="540" spans="1:15" x14ac:dyDescent="0.25">
      <c r="A540" t="s">
        <v>4324</v>
      </c>
      <c r="B540" t="s">
        <v>3851</v>
      </c>
      <c r="C540" t="s">
        <v>4325</v>
      </c>
      <c r="E540" s="13">
        <v>46065</v>
      </c>
      <c r="F540" t="s">
        <v>4253</v>
      </c>
      <c r="G540">
        <v>55.98</v>
      </c>
      <c r="H540" t="s">
        <v>15</v>
      </c>
      <c r="I540" t="s">
        <v>21</v>
      </c>
      <c r="J540" t="s">
        <v>111</v>
      </c>
      <c r="L540">
        <v>4001</v>
      </c>
      <c r="M540" t="s">
        <v>3855</v>
      </c>
      <c r="N540" t="s">
        <v>4337</v>
      </c>
      <c r="O540" t="s">
        <v>1278</v>
      </c>
    </row>
    <row r="541" spans="1:15" x14ac:dyDescent="0.25">
      <c r="A541" t="s">
        <v>4324</v>
      </c>
      <c r="B541" t="s">
        <v>3851</v>
      </c>
      <c r="C541" t="s">
        <v>4325</v>
      </c>
      <c r="E541" s="13">
        <v>46064</v>
      </c>
      <c r="F541" t="s">
        <v>4326</v>
      </c>
      <c r="G541">
        <v>130.88</v>
      </c>
      <c r="H541" t="s">
        <v>15</v>
      </c>
      <c r="I541" t="s">
        <v>21</v>
      </c>
      <c r="J541" t="s">
        <v>111</v>
      </c>
      <c r="L541">
        <v>4239</v>
      </c>
      <c r="M541" t="s">
        <v>3855</v>
      </c>
      <c r="N541" t="s">
        <v>4337</v>
      </c>
      <c r="O541" t="s">
        <v>1278</v>
      </c>
    </row>
    <row r="542" spans="1:15" x14ac:dyDescent="0.25">
      <c r="A542" t="s">
        <v>4324</v>
      </c>
      <c r="B542" t="s">
        <v>3851</v>
      </c>
      <c r="C542" t="s">
        <v>4325</v>
      </c>
      <c r="E542" s="13">
        <v>46063</v>
      </c>
      <c r="F542" t="s">
        <v>4327</v>
      </c>
      <c r="G542">
        <v>41.38</v>
      </c>
      <c r="H542" t="s">
        <v>15</v>
      </c>
      <c r="I542" t="s">
        <v>16</v>
      </c>
      <c r="J542" t="s">
        <v>55</v>
      </c>
      <c r="L542">
        <v>4239</v>
      </c>
      <c r="M542" t="s">
        <v>3855</v>
      </c>
      <c r="N542" t="s">
        <v>4337</v>
      </c>
      <c r="O542" t="s">
        <v>1278</v>
      </c>
    </row>
    <row r="543" spans="1:15" x14ac:dyDescent="0.25">
      <c r="A543" t="s">
        <v>4324</v>
      </c>
      <c r="B543" t="s">
        <v>3851</v>
      </c>
      <c r="C543" t="s">
        <v>4325</v>
      </c>
      <c r="E543" s="13">
        <v>46063</v>
      </c>
      <c r="F543" t="s">
        <v>4327</v>
      </c>
      <c r="G543">
        <v>46.78</v>
      </c>
      <c r="H543" t="s">
        <v>15</v>
      </c>
      <c r="I543" t="s">
        <v>16</v>
      </c>
      <c r="J543" t="s">
        <v>4284</v>
      </c>
      <c r="L543">
        <v>4239</v>
      </c>
      <c r="M543" t="s">
        <v>3855</v>
      </c>
      <c r="N543" t="s">
        <v>4337</v>
      </c>
      <c r="O543" t="s">
        <v>1278</v>
      </c>
    </row>
    <row r="544" spans="1:15" x14ac:dyDescent="0.25">
      <c r="A544" t="s">
        <v>4324</v>
      </c>
      <c r="B544" t="s">
        <v>3851</v>
      </c>
      <c r="C544" t="s">
        <v>4325</v>
      </c>
      <c r="E544" s="13">
        <v>46063</v>
      </c>
      <c r="F544" t="s">
        <v>4328</v>
      </c>
      <c r="G544">
        <v>32.9</v>
      </c>
      <c r="H544" t="s">
        <v>15</v>
      </c>
      <c r="I544" t="s">
        <v>16</v>
      </c>
      <c r="J544" t="s">
        <v>4329</v>
      </c>
      <c r="L544">
        <v>4239</v>
      </c>
      <c r="M544" t="s">
        <v>3855</v>
      </c>
      <c r="N544" t="s">
        <v>4337</v>
      </c>
      <c r="O544" t="s">
        <v>1278</v>
      </c>
    </row>
    <row r="545" spans="1:15" x14ac:dyDescent="0.25">
      <c r="A545" t="s">
        <v>4324</v>
      </c>
      <c r="B545" t="s">
        <v>3851</v>
      </c>
      <c r="C545" t="s">
        <v>4325</v>
      </c>
      <c r="E545" s="13">
        <v>46062</v>
      </c>
      <c r="F545" t="s">
        <v>4330</v>
      </c>
      <c r="G545">
        <v>91.98</v>
      </c>
      <c r="H545" t="s">
        <v>15</v>
      </c>
      <c r="I545" t="s">
        <v>21</v>
      </c>
      <c r="J545" t="s">
        <v>111</v>
      </c>
      <c r="L545">
        <v>4239</v>
      </c>
      <c r="M545" t="s">
        <v>3855</v>
      </c>
      <c r="N545" t="s">
        <v>4337</v>
      </c>
      <c r="O545" t="s">
        <v>1278</v>
      </c>
    </row>
    <row r="546" spans="1:15" x14ac:dyDescent="0.25">
      <c r="A546" t="s">
        <v>4324</v>
      </c>
      <c r="B546" t="s">
        <v>3851</v>
      </c>
      <c r="C546" t="s">
        <v>4325</v>
      </c>
      <c r="E546" s="13">
        <v>46061</v>
      </c>
      <c r="F546" t="s">
        <v>4327</v>
      </c>
      <c r="G546">
        <v>39.299999999999997</v>
      </c>
      <c r="H546" t="s">
        <v>15</v>
      </c>
      <c r="I546" t="s">
        <v>16</v>
      </c>
      <c r="J546" t="s">
        <v>4331</v>
      </c>
      <c r="L546">
        <v>4239</v>
      </c>
      <c r="M546" t="s">
        <v>3855</v>
      </c>
      <c r="N546" t="s">
        <v>4337</v>
      </c>
      <c r="O546" t="s">
        <v>1278</v>
      </c>
    </row>
    <row r="547" spans="1:15" x14ac:dyDescent="0.25">
      <c r="A547" t="s">
        <v>4324</v>
      </c>
      <c r="B547" t="s">
        <v>3851</v>
      </c>
      <c r="C547" t="s">
        <v>4325</v>
      </c>
      <c r="E547" s="13">
        <v>46061</v>
      </c>
      <c r="F547" t="s">
        <v>4332</v>
      </c>
      <c r="G547">
        <v>4.95</v>
      </c>
      <c r="H547" t="s">
        <v>15</v>
      </c>
      <c r="I547" t="s">
        <v>3922</v>
      </c>
      <c r="J547" t="s">
        <v>4333</v>
      </c>
      <c r="L547">
        <v>4239</v>
      </c>
      <c r="M547" t="s">
        <v>3855</v>
      </c>
      <c r="N547" t="s">
        <v>4337</v>
      </c>
      <c r="O547" t="s">
        <v>1278</v>
      </c>
    </row>
    <row r="548" spans="1:15" x14ac:dyDescent="0.25">
      <c r="A548" t="s">
        <v>4324</v>
      </c>
      <c r="B548" t="s">
        <v>3851</v>
      </c>
      <c r="C548" t="s">
        <v>4325</v>
      </c>
      <c r="E548" s="13">
        <v>46058</v>
      </c>
      <c r="F548" t="s">
        <v>4253</v>
      </c>
      <c r="G548">
        <v>51.11</v>
      </c>
      <c r="H548" t="s">
        <v>15</v>
      </c>
      <c r="I548" t="s">
        <v>21</v>
      </c>
      <c r="J548" t="s">
        <v>111</v>
      </c>
      <c r="L548">
        <v>4001</v>
      </c>
      <c r="M548" t="s">
        <v>3855</v>
      </c>
      <c r="N548" t="s">
        <v>4337</v>
      </c>
      <c r="O548" t="s">
        <v>1278</v>
      </c>
    </row>
    <row r="549" spans="1:15" x14ac:dyDescent="0.25">
      <c r="A549" t="s">
        <v>4324</v>
      </c>
      <c r="B549" t="s">
        <v>3851</v>
      </c>
      <c r="C549" t="s">
        <v>4325</v>
      </c>
      <c r="E549" s="13">
        <v>46063</v>
      </c>
      <c r="F549" t="s">
        <v>4334</v>
      </c>
      <c r="G549">
        <v>1757.41</v>
      </c>
      <c r="H549" t="s">
        <v>15</v>
      </c>
      <c r="I549" t="s">
        <v>3864</v>
      </c>
      <c r="J549" t="s">
        <v>4284</v>
      </c>
      <c r="L549">
        <v>4239</v>
      </c>
      <c r="M549" t="s">
        <v>3855</v>
      </c>
      <c r="N549" t="s">
        <v>4337</v>
      </c>
      <c r="O549" t="s">
        <v>1278</v>
      </c>
    </row>
    <row r="550" spans="1:15" x14ac:dyDescent="0.25">
      <c r="A550" t="s">
        <v>4324</v>
      </c>
      <c r="B550" t="s">
        <v>3851</v>
      </c>
      <c r="C550" t="s">
        <v>4325</v>
      </c>
      <c r="E550" s="13">
        <v>46087</v>
      </c>
      <c r="F550" t="s">
        <v>4253</v>
      </c>
      <c r="G550">
        <v>59.85</v>
      </c>
      <c r="H550" t="s">
        <v>15</v>
      </c>
      <c r="I550" t="s">
        <v>21</v>
      </c>
      <c r="J550" t="s">
        <v>111</v>
      </c>
      <c r="L550">
        <v>4001</v>
      </c>
      <c r="M550" t="s">
        <v>3855</v>
      </c>
      <c r="N550" t="s">
        <v>4337</v>
      </c>
      <c r="O550" t="s">
        <v>1278</v>
      </c>
    </row>
    <row r="551" spans="1:15" x14ac:dyDescent="0.25">
      <c r="A551" t="s">
        <v>4324</v>
      </c>
      <c r="B551" t="s">
        <v>3851</v>
      </c>
      <c r="C551" t="s">
        <v>4325</v>
      </c>
      <c r="E551" s="13">
        <v>46086</v>
      </c>
      <c r="F551" t="s">
        <v>4253</v>
      </c>
      <c r="G551">
        <v>69.98</v>
      </c>
      <c r="H551" t="s">
        <v>15</v>
      </c>
      <c r="I551" t="s">
        <v>21</v>
      </c>
      <c r="J551" t="s">
        <v>111</v>
      </c>
      <c r="L551">
        <v>4001</v>
      </c>
      <c r="M551" t="s">
        <v>3855</v>
      </c>
      <c r="N551" t="s">
        <v>4337</v>
      </c>
      <c r="O551" t="s">
        <v>1278</v>
      </c>
    </row>
    <row r="552" spans="1:15" x14ac:dyDescent="0.25">
      <c r="A552" t="s">
        <v>4324</v>
      </c>
      <c r="B552" t="s">
        <v>3851</v>
      </c>
      <c r="C552" t="s">
        <v>4325</v>
      </c>
      <c r="E552" s="13">
        <v>46085</v>
      </c>
      <c r="F552" t="s">
        <v>4253</v>
      </c>
      <c r="G552">
        <v>83.83</v>
      </c>
      <c r="H552" t="s">
        <v>15</v>
      </c>
      <c r="I552" t="s">
        <v>21</v>
      </c>
      <c r="J552" t="s">
        <v>111</v>
      </c>
      <c r="L552">
        <v>4001</v>
      </c>
      <c r="M552" t="s">
        <v>3855</v>
      </c>
      <c r="N552" t="s">
        <v>4337</v>
      </c>
      <c r="O552" t="s">
        <v>1278</v>
      </c>
    </row>
    <row r="553" spans="1:15" x14ac:dyDescent="0.25">
      <c r="A553" t="s">
        <v>4324</v>
      </c>
      <c r="B553" t="s">
        <v>3851</v>
      </c>
      <c r="C553" t="s">
        <v>4325</v>
      </c>
      <c r="E553" s="13">
        <v>46084</v>
      </c>
      <c r="F553" t="s">
        <v>4253</v>
      </c>
      <c r="G553">
        <v>60.98</v>
      </c>
      <c r="H553" t="s">
        <v>15</v>
      </c>
      <c r="I553" t="s">
        <v>21</v>
      </c>
      <c r="J553" t="s">
        <v>111</v>
      </c>
      <c r="L553">
        <v>4001</v>
      </c>
      <c r="M553" t="s">
        <v>3855</v>
      </c>
      <c r="N553" t="s">
        <v>4337</v>
      </c>
      <c r="O553" t="s">
        <v>1278</v>
      </c>
    </row>
    <row r="554" spans="1:15" x14ac:dyDescent="0.25">
      <c r="A554" t="s">
        <v>4324</v>
      </c>
      <c r="B554" t="s">
        <v>3851</v>
      </c>
      <c r="C554" t="s">
        <v>4325</v>
      </c>
      <c r="E554" s="13">
        <v>46083</v>
      </c>
      <c r="F554" t="s">
        <v>4335</v>
      </c>
      <c r="G554">
        <v>159.61000000000001</v>
      </c>
      <c r="H554" t="s">
        <v>15</v>
      </c>
      <c r="I554" t="s">
        <v>21</v>
      </c>
      <c r="J554" t="s">
        <v>111</v>
      </c>
      <c r="L554">
        <v>1035</v>
      </c>
      <c r="M554" t="s">
        <v>3855</v>
      </c>
      <c r="N554" t="s">
        <v>4337</v>
      </c>
      <c r="O554" t="s">
        <v>1278</v>
      </c>
    </row>
    <row r="555" spans="1:15" x14ac:dyDescent="0.25">
      <c r="A555" t="s">
        <v>4324</v>
      </c>
      <c r="B555" t="s">
        <v>3851</v>
      </c>
      <c r="C555" t="s">
        <v>4325</v>
      </c>
      <c r="E555" s="13">
        <v>46079</v>
      </c>
      <c r="F555" t="s">
        <v>4336</v>
      </c>
      <c r="G555">
        <v>26.99</v>
      </c>
      <c r="H555" t="s">
        <v>15</v>
      </c>
      <c r="I555" t="s">
        <v>21</v>
      </c>
      <c r="J555" t="s">
        <v>111</v>
      </c>
      <c r="L555">
        <v>1035</v>
      </c>
      <c r="M555" t="s">
        <v>3855</v>
      </c>
      <c r="N555" t="s">
        <v>4337</v>
      </c>
      <c r="O555" t="s">
        <v>1278</v>
      </c>
    </row>
    <row r="556" spans="1:15" x14ac:dyDescent="0.25">
      <c r="A556" t="s">
        <v>4324</v>
      </c>
      <c r="B556" t="s">
        <v>3851</v>
      </c>
      <c r="C556" t="s">
        <v>4325</v>
      </c>
      <c r="E556" s="13">
        <v>46073</v>
      </c>
      <c r="F556" t="s">
        <v>4296</v>
      </c>
      <c r="G556">
        <v>215.83</v>
      </c>
      <c r="H556" t="s">
        <v>15</v>
      </c>
      <c r="I556" t="s">
        <v>21</v>
      </c>
      <c r="J556" t="s">
        <v>111</v>
      </c>
      <c r="L556">
        <v>1035</v>
      </c>
      <c r="M556" t="s">
        <v>3855</v>
      </c>
      <c r="N556" t="s">
        <v>4337</v>
      </c>
      <c r="O556" t="s">
        <v>1278</v>
      </c>
    </row>
    <row r="557" spans="1:15" x14ac:dyDescent="0.25">
      <c r="A557" t="s">
        <v>4324</v>
      </c>
      <c r="B557" t="s">
        <v>3851</v>
      </c>
      <c r="C557" t="s">
        <v>4325</v>
      </c>
      <c r="E557" s="13">
        <v>46073</v>
      </c>
      <c r="F557" t="s">
        <v>4327</v>
      </c>
      <c r="G557">
        <v>30.82</v>
      </c>
      <c r="H557" t="s">
        <v>15</v>
      </c>
      <c r="I557" t="s">
        <v>16</v>
      </c>
      <c r="J557" t="s">
        <v>4219</v>
      </c>
      <c r="L557">
        <v>4239</v>
      </c>
      <c r="M557" t="s">
        <v>3855</v>
      </c>
      <c r="N557" t="s">
        <v>4337</v>
      </c>
      <c r="O557" t="s">
        <v>1278</v>
      </c>
    </row>
    <row r="558" spans="1:15" x14ac:dyDescent="0.25">
      <c r="A558" t="s">
        <v>4324</v>
      </c>
      <c r="B558" t="s">
        <v>3851</v>
      </c>
      <c r="C558" t="s">
        <v>4325</v>
      </c>
      <c r="E558" s="13">
        <v>46071</v>
      </c>
      <c r="F558" t="s">
        <v>4253</v>
      </c>
      <c r="G558">
        <v>36.97</v>
      </c>
      <c r="H558" t="s">
        <v>15</v>
      </c>
      <c r="I558" t="s">
        <v>21</v>
      </c>
      <c r="J558" t="s">
        <v>111</v>
      </c>
      <c r="L558">
        <v>4001</v>
      </c>
      <c r="M558" t="s">
        <v>3855</v>
      </c>
      <c r="N558" t="s">
        <v>4337</v>
      </c>
      <c r="O558" t="s">
        <v>1278</v>
      </c>
    </row>
    <row r="559" spans="1:15" x14ac:dyDescent="0.25">
      <c r="A559" t="s">
        <v>4324</v>
      </c>
      <c r="B559" t="s">
        <v>3851</v>
      </c>
      <c r="C559" t="s">
        <v>4325</v>
      </c>
      <c r="E559" s="13">
        <v>46071</v>
      </c>
      <c r="F559" t="s">
        <v>4253</v>
      </c>
      <c r="G559">
        <v>33.979999999999997</v>
      </c>
      <c r="H559" t="s">
        <v>15</v>
      </c>
      <c r="I559" t="s">
        <v>21</v>
      </c>
      <c r="J559" t="s">
        <v>111</v>
      </c>
      <c r="L559">
        <v>4001</v>
      </c>
      <c r="M559" t="s">
        <v>3855</v>
      </c>
      <c r="N559" t="s">
        <v>4337</v>
      </c>
      <c r="O559" t="s">
        <v>1278</v>
      </c>
    </row>
    <row r="560" spans="1:15" x14ac:dyDescent="0.25">
      <c r="E560" s="13"/>
    </row>
    <row r="561" spans="5:7" x14ac:dyDescent="0.25">
      <c r="E561" s="13"/>
      <c r="F561" s="39" t="s">
        <v>4508</v>
      </c>
      <c r="G561" s="39">
        <f>SUM(G2:G559)</f>
        <v>119802.45999999996</v>
      </c>
    </row>
    <row r="562" spans="5:7" x14ac:dyDescent="0.25">
      <c r="E562" s="13"/>
      <c r="F562" s="39" t="s">
        <v>4504</v>
      </c>
      <c r="G562" s="39">
        <f>'[1]AmEx All'!G560</f>
        <v>119802.45999999996</v>
      </c>
    </row>
    <row r="563" spans="5:7" ht="15.75" thickBot="1" x14ac:dyDescent="0.3">
      <c r="E563" s="13"/>
      <c r="F563" s="40" t="s">
        <v>4509</v>
      </c>
      <c r="G563" s="40">
        <v>119802.45999999996</v>
      </c>
    </row>
    <row r="564" spans="5:7" ht="15.75" thickTop="1" x14ac:dyDescent="0.25">
      <c r="E564" s="13"/>
      <c r="F564" t="s">
        <v>4510</v>
      </c>
      <c r="G564">
        <f>G561-G562</f>
        <v>0</v>
      </c>
    </row>
    <row r="565" spans="5:7" x14ac:dyDescent="0.25">
      <c r="E565" s="13"/>
      <c r="F565" t="s">
        <v>4511</v>
      </c>
      <c r="G565">
        <f>G563-G562</f>
        <v>0</v>
      </c>
    </row>
    <row r="566" spans="5:7" x14ac:dyDescent="0.25">
      <c r="E566" s="13"/>
    </row>
    <row r="567" spans="5:7" x14ac:dyDescent="0.25">
      <c r="E567" s="13"/>
    </row>
    <row r="568" spans="5:7" x14ac:dyDescent="0.25">
      <c r="E568" s="13"/>
    </row>
    <row r="569" spans="5:7" x14ac:dyDescent="0.25">
      <c r="E569" s="13"/>
    </row>
    <row r="570" spans="5:7" x14ac:dyDescent="0.25">
      <c r="E570" s="13"/>
    </row>
    <row r="571" spans="5:7" x14ac:dyDescent="0.25">
      <c r="E571" s="13"/>
    </row>
    <row r="572" spans="5:7" x14ac:dyDescent="0.25">
      <c r="E572" s="13"/>
    </row>
    <row r="573" spans="5:7" x14ac:dyDescent="0.25">
      <c r="E573" s="13"/>
    </row>
    <row r="574" spans="5:7" x14ac:dyDescent="0.25">
      <c r="E574" s="13"/>
    </row>
    <row r="575" spans="5:7" x14ac:dyDescent="0.25">
      <c r="E575" s="13"/>
    </row>
    <row r="576" spans="5:7" x14ac:dyDescent="0.25">
      <c r="E576" s="13"/>
    </row>
    <row r="577" spans="5:5" x14ac:dyDescent="0.25">
      <c r="E577" s="13"/>
    </row>
    <row r="578" spans="5:5" x14ac:dyDescent="0.25">
      <c r="E578" s="13"/>
    </row>
    <row r="579" spans="5:5" x14ac:dyDescent="0.25">
      <c r="E579" s="13"/>
    </row>
    <row r="580" spans="5:5" x14ac:dyDescent="0.25">
      <c r="E580" s="13"/>
    </row>
    <row r="581" spans="5:5" x14ac:dyDescent="0.25">
      <c r="E581" s="13"/>
    </row>
    <row r="582" spans="5:5" x14ac:dyDescent="0.25">
      <c r="E582" s="13"/>
    </row>
    <row r="583" spans="5:5" x14ac:dyDescent="0.25">
      <c r="E583" s="13"/>
    </row>
    <row r="584" spans="5:5" x14ac:dyDescent="0.25">
      <c r="E584" s="13"/>
    </row>
    <row r="585" spans="5:5" x14ac:dyDescent="0.25">
      <c r="E585" s="13"/>
    </row>
    <row r="586" spans="5:5" x14ac:dyDescent="0.25">
      <c r="E586" s="13"/>
    </row>
    <row r="587" spans="5:5" x14ac:dyDescent="0.25">
      <c r="E587" s="13"/>
    </row>
    <row r="588" spans="5:5" x14ac:dyDescent="0.25">
      <c r="E588" s="13"/>
    </row>
    <row r="589" spans="5:5" x14ac:dyDescent="0.25">
      <c r="E589" s="13"/>
    </row>
    <row r="590" spans="5:5" x14ac:dyDescent="0.25">
      <c r="E590" s="13"/>
    </row>
    <row r="591" spans="5:5" x14ac:dyDescent="0.25">
      <c r="E591" s="13"/>
    </row>
    <row r="592" spans="5:5" x14ac:dyDescent="0.25">
      <c r="E592" s="13"/>
    </row>
    <row r="593" spans="5:5" x14ac:dyDescent="0.25">
      <c r="E593" s="13"/>
    </row>
    <row r="594" spans="5:5" x14ac:dyDescent="0.25">
      <c r="E594" s="13"/>
    </row>
    <row r="595" spans="5:5" x14ac:dyDescent="0.25">
      <c r="E595" s="13"/>
    </row>
    <row r="596" spans="5:5" x14ac:dyDescent="0.25">
      <c r="E596" s="13"/>
    </row>
    <row r="597" spans="5:5" x14ac:dyDescent="0.25">
      <c r="E597" s="13"/>
    </row>
    <row r="598" spans="5:5" x14ac:dyDescent="0.25">
      <c r="E598" s="13"/>
    </row>
    <row r="599" spans="5:5" x14ac:dyDescent="0.25">
      <c r="E599" s="13"/>
    </row>
    <row r="600" spans="5:5" x14ac:dyDescent="0.25">
      <c r="E600" s="13"/>
    </row>
    <row r="601" spans="5:5" x14ac:dyDescent="0.25">
      <c r="E601" s="13"/>
    </row>
    <row r="602" spans="5:5" x14ac:dyDescent="0.25">
      <c r="E602" s="13"/>
    </row>
    <row r="603" spans="5:5" x14ac:dyDescent="0.25">
      <c r="E603" s="13"/>
    </row>
    <row r="604" spans="5:5" x14ac:dyDescent="0.25">
      <c r="E604" s="13"/>
    </row>
    <row r="605" spans="5:5" x14ac:dyDescent="0.25">
      <c r="E605" s="13"/>
    </row>
    <row r="606" spans="5:5" x14ac:dyDescent="0.25">
      <c r="E606" s="13"/>
    </row>
    <row r="607" spans="5:5" x14ac:dyDescent="0.25">
      <c r="E607" s="13"/>
    </row>
    <row r="608" spans="5:5" x14ac:dyDescent="0.25">
      <c r="E608" s="13"/>
    </row>
    <row r="609" spans="5:5" x14ac:dyDescent="0.25">
      <c r="E609" s="13"/>
    </row>
    <row r="610" spans="5:5" x14ac:dyDescent="0.25">
      <c r="E610" s="13"/>
    </row>
    <row r="611" spans="5:5" x14ac:dyDescent="0.25">
      <c r="E611" s="13"/>
    </row>
    <row r="612" spans="5:5" x14ac:dyDescent="0.25">
      <c r="E612" s="13"/>
    </row>
    <row r="613" spans="5:5" x14ac:dyDescent="0.25">
      <c r="E613" s="13"/>
    </row>
    <row r="614" spans="5:5" x14ac:dyDescent="0.25">
      <c r="E614" s="13"/>
    </row>
    <row r="615" spans="5:5" x14ac:dyDescent="0.25">
      <c r="E615" s="13"/>
    </row>
    <row r="616" spans="5:5" x14ac:dyDescent="0.25">
      <c r="E616" s="13"/>
    </row>
    <row r="617" spans="5:5" x14ac:dyDescent="0.25">
      <c r="E617" s="13"/>
    </row>
    <row r="618" spans="5:5" x14ac:dyDescent="0.25">
      <c r="E618" s="13"/>
    </row>
    <row r="619" spans="5:5" x14ac:dyDescent="0.25">
      <c r="E619" s="13"/>
    </row>
    <row r="620" spans="5:5" x14ac:dyDescent="0.25">
      <c r="E620" s="13"/>
    </row>
    <row r="621" spans="5:5" x14ac:dyDescent="0.25">
      <c r="E621" s="13"/>
    </row>
    <row r="622" spans="5:5" x14ac:dyDescent="0.25">
      <c r="E622" s="13"/>
    </row>
    <row r="623" spans="5:5" x14ac:dyDescent="0.25">
      <c r="E623" s="13"/>
    </row>
    <row r="624" spans="5:5" x14ac:dyDescent="0.25">
      <c r="E624" s="13"/>
    </row>
    <row r="625" spans="5:5" x14ac:dyDescent="0.25">
      <c r="E625" s="13"/>
    </row>
    <row r="626" spans="5:5" x14ac:dyDescent="0.25">
      <c r="E626" s="13"/>
    </row>
    <row r="627" spans="5:5" x14ac:dyDescent="0.25">
      <c r="E627" s="13"/>
    </row>
    <row r="628" spans="5:5" x14ac:dyDescent="0.25">
      <c r="E628" s="13"/>
    </row>
    <row r="629" spans="5:5" x14ac:dyDescent="0.25">
      <c r="E629" s="13"/>
    </row>
    <row r="630" spans="5:5" x14ac:dyDescent="0.25">
      <c r="E630" s="13"/>
    </row>
    <row r="631" spans="5:5" x14ac:dyDescent="0.25">
      <c r="E631" s="13"/>
    </row>
    <row r="632" spans="5:5" x14ac:dyDescent="0.25">
      <c r="E632" s="13"/>
    </row>
    <row r="633" spans="5:5" x14ac:dyDescent="0.25">
      <c r="E633" s="13"/>
    </row>
    <row r="634" spans="5:5" x14ac:dyDescent="0.25">
      <c r="E634" s="13"/>
    </row>
    <row r="635" spans="5:5" x14ac:dyDescent="0.25">
      <c r="E635" s="13"/>
    </row>
    <row r="636" spans="5:5" x14ac:dyDescent="0.25">
      <c r="E636" s="13"/>
    </row>
    <row r="637" spans="5:5" x14ac:dyDescent="0.25">
      <c r="E637" s="13"/>
    </row>
    <row r="638" spans="5:5" x14ac:dyDescent="0.25">
      <c r="E638" s="13"/>
    </row>
    <row r="639" spans="5:5" x14ac:dyDescent="0.25">
      <c r="E639" s="13"/>
    </row>
    <row r="640" spans="5:5" x14ac:dyDescent="0.25">
      <c r="E640" s="13"/>
    </row>
    <row r="641" spans="5:5" x14ac:dyDescent="0.25">
      <c r="E641" s="13"/>
    </row>
    <row r="642" spans="5:5" x14ac:dyDescent="0.25">
      <c r="E642" s="13"/>
    </row>
    <row r="643" spans="5:5" x14ac:dyDescent="0.25">
      <c r="E643" s="13"/>
    </row>
    <row r="644" spans="5:5" x14ac:dyDescent="0.25">
      <c r="E644" s="13"/>
    </row>
    <row r="645" spans="5:5" x14ac:dyDescent="0.25">
      <c r="E645" s="13"/>
    </row>
    <row r="646" spans="5:5" x14ac:dyDescent="0.25">
      <c r="E646" s="13"/>
    </row>
    <row r="647" spans="5:5" x14ac:dyDescent="0.25">
      <c r="E647" s="13"/>
    </row>
    <row r="648" spans="5:5" x14ac:dyDescent="0.25">
      <c r="E648" s="13"/>
    </row>
    <row r="649" spans="5:5" x14ac:dyDescent="0.25">
      <c r="E649" s="13"/>
    </row>
    <row r="650" spans="5:5" x14ac:dyDescent="0.25">
      <c r="E650" s="13"/>
    </row>
    <row r="651" spans="5:5" x14ac:dyDescent="0.25">
      <c r="E651" s="13"/>
    </row>
    <row r="652" spans="5:5" x14ac:dyDescent="0.25">
      <c r="E652" s="13"/>
    </row>
    <row r="653" spans="5:5" x14ac:dyDescent="0.25">
      <c r="E653" s="13"/>
    </row>
    <row r="654" spans="5:5" x14ac:dyDescent="0.25">
      <c r="E654" s="13"/>
    </row>
    <row r="655" spans="5:5" x14ac:dyDescent="0.25">
      <c r="E655" s="13"/>
    </row>
    <row r="656" spans="5:5" x14ac:dyDescent="0.25">
      <c r="E656" s="13"/>
    </row>
    <row r="657" spans="5:5" x14ac:dyDescent="0.25">
      <c r="E657" s="13"/>
    </row>
    <row r="658" spans="5:5" x14ac:dyDescent="0.25">
      <c r="E658" s="13"/>
    </row>
    <row r="659" spans="5:5" x14ac:dyDescent="0.25">
      <c r="E659" s="13"/>
    </row>
    <row r="660" spans="5:5" x14ac:dyDescent="0.25">
      <c r="E660" s="13"/>
    </row>
    <row r="661" spans="5:5" x14ac:dyDescent="0.25">
      <c r="E661" s="13"/>
    </row>
    <row r="662" spans="5:5" x14ac:dyDescent="0.25">
      <c r="E662" s="13"/>
    </row>
    <row r="663" spans="5:5" x14ac:dyDescent="0.25">
      <c r="E663" s="13"/>
    </row>
    <row r="664" spans="5:5" x14ac:dyDescent="0.25">
      <c r="E664" s="13"/>
    </row>
    <row r="665" spans="5:5" x14ac:dyDescent="0.25">
      <c r="E665" s="13"/>
    </row>
    <row r="666" spans="5:5" x14ac:dyDescent="0.25">
      <c r="E666" s="13"/>
    </row>
    <row r="667" spans="5:5" x14ac:dyDescent="0.25">
      <c r="E667" s="13"/>
    </row>
    <row r="668" spans="5:5" x14ac:dyDescent="0.25">
      <c r="E668" s="13"/>
    </row>
    <row r="669" spans="5:5" x14ac:dyDescent="0.25">
      <c r="E669" s="13"/>
    </row>
    <row r="670" spans="5:5" x14ac:dyDescent="0.25">
      <c r="E670" s="13"/>
    </row>
    <row r="671" spans="5:5" x14ac:dyDescent="0.25">
      <c r="E671" s="13"/>
    </row>
    <row r="672" spans="5:5" x14ac:dyDescent="0.25">
      <c r="E672" s="13"/>
    </row>
    <row r="673" spans="5:5" x14ac:dyDescent="0.25">
      <c r="E673" s="13"/>
    </row>
    <row r="674" spans="5:5" x14ac:dyDescent="0.25">
      <c r="E674" s="13"/>
    </row>
    <row r="675" spans="5:5" x14ac:dyDescent="0.25">
      <c r="E675" s="13"/>
    </row>
    <row r="676" spans="5:5" x14ac:dyDescent="0.25">
      <c r="E676" s="13"/>
    </row>
    <row r="677" spans="5:5" x14ac:dyDescent="0.25">
      <c r="E677" s="13"/>
    </row>
    <row r="678" spans="5:5" x14ac:dyDescent="0.25">
      <c r="E678" s="13"/>
    </row>
    <row r="679" spans="5:5" x14ac:dyDescent="0.25">
      <c r="E679" s="13"/>
    </row>
    <row r="680" spans="5:5" x14ac:dyDescent="0.25">
      <c r="E680" s="13"/>
    </row>
    <row r="681" spans="5:5" x14ac:dyDescent="0.25">
      <c r="E681" s="13"/>
    </row>
    <row r="682" spans="5:5" x14ac:dyDescent="0.25">
      <c r="E682" s="13"/>
    </row>
    <row r="683" spans="5:5" x14ac:dyDescent="0.25">
      <c r="E683" s="13"/>
    </row>
    <row r="684" spans="5:5" x14ac:dyDescent="0.25">
      <c r="E684" s="13"/>
    </row>
    <row r="685" spans="5:5" x14ac:dyDescent="0.25">
      <c r="E685" s="13"/>
    </row>
    <row r="686" spans="5:5" x14ac:dyDescent="0.25">
      <c r="E686" s="13"/>
    </row>
    <row r="687" spans="5:5" x14ac:dyDescent="0.25">
      <c r="E687" s="13"/>
    </row>
    <row r="688" spans="5:5" x14ac:dyDescent="0.25">
      <c r="E688" s="13"/>
    </row>
    <row r="689" spans="5:5" x14ac:dyDescent="0.25">
      <c r="E689" s="13"/>
    </row>
    <row r="690" spans="5:5" x14ac:dyDescent="0.25">
      <c r="E690" s="13"/>
    </row>
    <row r="691" spans="5:5" x14ac:dyDescent="0.25">
      <c r="E691" s="13"/>
    </row>
    <row r="692" spans="5:5" x14ac:dyDescent="0.25">
      <c r="E692" s="13"/>
    </row>
    <row r="693" spans="5:5" x14ac:dyDescent="0.25">
      <c r="E693" s="13"/>
    </row>
    <row r="694" spans="5:5" x14ac:dyDescent="0.25">
      <c r="E694" s="13"/>
    </row>
    <row r="695" spans="5:5" x14ac:dyDescent="0.25">
      <c r="E695" s="13"/>
    </row>
    <row r="696" spans="5:5" x14ac:dyDescent="0.25">
      <c r="E696" s="13"/>
    </row>
    <row r="697" spans="5:5" x14ac:dyDescent="0.25">
      <c r="E697" s="13"/>
    </row>
    <row r="698" spans="5:5" x14ac:dyDescent="0.25">
      <c r="E698" s="13"/>
    </row>
    <row r="699" spans="5:5" x14ac:dyDescent="0.25">
      <c r="E699" s="13"/>
    </row>
    <row r="700" spans="5:5" x14ac:dyDescent="0.25">
      <c r="E700" s="13"/>
    </row>
    <row r="701" spans="5:5" x14ac:dyDescent="0.25">
      <c r="E701" s="13"/>
    </row>
    <row r="702" spans="5:5" x14ac:dyDescent="0.25">
      <c r="E702" s="13"/>
    </row>
    <row r="703" spans="5:5" x14ac:dyDescent="0.25">
      <c r="E703" s="13"/>
    </row>
    <row r="704" spans="5:5" x14ac:dyDescent="0.25">
      <c r="E704" s="13"/>
    </row>
    <row r="705" spans="5:5" x14ac:dyDescent="0.25">
      <c r="E705" s="13"/>
    </row>
    <row r="706" spans="5:5" x14ac:dyDescent="0.25">
      <c r="E706" s="13"/>
    </row>
    <row r="707" spans="5:5" x14ac:dyDescent="0.25">
      <c r="E707" s="13"/>
    </row>
    <row r="708" spans="5:5" x14ac:dyDescent="0.25">
      <c r="E708" s="13"/>
    </row>
    <row r="709" spans="5:5" x14ac:dyDescent="0.25">
      <c r="E709" s="13"/>
    </row>
    <row r="710" spans="5:5" x14ac:dyDescent="0.25">
      <c r="E710" s="13"/>
    </row>
    <row r="711" spans="5:5" x14ac:dyDescent="0.25">
      <c r="E711" s="13"/>
    </row>
    <row r="712" spans="5:5" x14ac:dyDescent="0.25">
      <c r="E712" s="13"/>
    </row>
    <row r="713" spans="5:5" x14ac:dyDescent="0.25">
      <c r="E713" s="13"/>
    </row>
    <row r="714" spans="5:5" x14ac:dyDescent="0.25">
      <c r="E714" s="13"/>
    </row>
    <row r="715" spans="5:5" x14ac:dyDescent="0.25">
      <c r="E715" s="13"/>
    </row>
    <row r="716" spans="5:5" x14ac:dyDescent="0.25">
      <c r="E716" s="13"/>
    </row>
    <row r="717" spans="5:5" x14ac:dyDescent="0.25">
      <c r="E717" s="13"/>
    </row>
    <row r="718" spans="5:5" x14ac:dyDescent="0.25">
      <c r="E718" s="13"/>
    </row>
    <row r="719" spans="5:5" x14ac:dyDescent="0.25">
      <c r="E719" s="13"/>
    </row>
    <row r="720" spans="5:5" x14ac:dyDescent="0.25">
      <c r="E720" s="13"/>
    </row>
    <row r="721" spans="5:5" x14ac:dyDescent="0.25">
      <c r="E721" s="13"/>
    </row>
    <row r="722" spans="5:5" x14ac:dyDescent="0.25">
      <c r="E722" s="13"/>
    </row>
    <row r="723" spans="5:5" x14ac:dyDescent="0.25">
      <c r="E723" s="13"/>
    </row>
    <row r="724" spans="5:5" x14ac:dyDescent="0.25">
      <c r="E724" s="13"/>
    </row>
    <row r="725" spans="5:5" x14ac:dyDescent="0.25">
      <c r="E725" s="13"/>
    </row>
    <row r="726" spans="5:5" x14ac:dyDescent="0.25">
      <c r="E726" s="13"/>
    </row>
    <row r="727" spans="5:5" x14ac:dyDescent="0.25">
      <c r="E727" s="13"/>
    </row>
    <row r="728" spans="5:5" x14ac:dyDescent="0.25">
      <c r="E728" s="13"/>
    </row>
    <row r="729" spans="5:5" x14ac:dyDescent="0.25">
      <c r="E729" s="13"/>
    </row>
    <row r="730" spans="5:5" x14ac:dyDescent="0.25">
      <c r="E730" s="13"/>
    </row>
    <row r="731" spans="5:5" x14ac:dyDescent="0.25">
      <c r="E731" s="13"/>
    </row>
    <row r="732" spans="5:5" x14ac:dyDescent="0.25">
      <c r="E732" s="13"/>
    </row>
    <row r="733" spans="5:5" x14ac:dyDescent="0.25">
      <c r="E733" s="13"/>
    </row>
    <row r="734" spans="5:5" x14ac:dyDescent="0.25">
      <c r="E734" s="13"/>
    </row>
    <row r="735" spans="5:5" x14ac:dyDescent="0.25">
      <c r="E735" s="13"/>
    </row>
    <row r="736" spans="5:5" x14ac:dyDescent="0.25">
      <c r="E736" s="13"/>
    </row>
    <row r="737" spans="5:5" x14ac:dyDescent="0.25">
      <c r="E737" s="13"/>
    </row>
    <row r="738" spans="5:5" x14ac:dyDescent="0.25">
      <c r="E738" s="13"/>
    </row>
    <row r="739" spans="5:5" x14ac:dyDescent="0.25">
      <c r="E739" s="13"/>
    </row>
    <row r="740" spans="5:5" x14ac:dyDescent="0.25">
      <c r="E740" s="13"/>
    </row>
    <row r="741" spans="5:5" x14ac:dyDescent="0.25">
      <c r="E741" s="13"/>
    </row>
    <row r="742" spans="5:5" x14ac:dyDescent="0.25">
      <c r="E742" s="13"/>
    </row>
    <row r="743" spans="5:5" x14ac:dyDescent="0.25">
      <c r="E743" s="13"/>
    </row>
    <row r="744" spans="5:5" x14ac:dyDescent="0.25">
      <c r="E744" s="13"/>
    </row>
    <row r="745" spans="5:5" x14ac:dyDescent="0.25">
      <c r="E745" s="13"/>
    </row>
    <row r="746" spans="5:5" x14ac:dyDescent="0.25">
      <c r="E746" s="13"/>
    </row>
    <row r="747" spans="5:5" x14ac:dyDescent="0.25">
      <c r="E747" s="13"/>
    </row>
    <row r="748" spans="5:5" x14ac:dyDescent="0.25">
      <c r="E748" s="13"/>
    </row>
    <row r="749" spans="5:5" x14ac:dyDescent="0.25">
      <c r="E749" s="13"/>
    </row>
    <row r="750" spans="5:5" x14ac:dyDescent="0.25">
      <c r="E750" s="13"/>
    </row>
    <row r="751" spans="5:5" x14ac:dyDescent="0.25">
      <c r="E751" s="13"/>
    </row>
    <row r="752" spans="5:5" x14ac:dyDescent="0.25">
      <c r="E752" s="13"/>
    </row>
    <row r="753" spans="5:5" x14ac:dyDescent="0.25">
      <c r="E753" s="13"/>
    </row>
    <row r="754" spans="5:5" x14ac:dyDescent="0.25">
      <c r="E754" s="13"/>
    </row>
    <row r="755" spans="5:5" x14ac:dyDescent="0.25">
      <c r="E755" s="13"/>
    </row>
    <row r="756" spans="5:5" x14ac:dyDescent="0.25">
      <c r="E756" s="13"/>
    </row>
    <row r="757" spans="5:5" x14ac:dyDescent="0.25">
      <c r="E757" s="13"/>
    </row>
    <row r="758" spans="5:5" x14ac:dyDescent="0.25">
      <c r="E758" s="13"/>
    </row>
    <row r="759" spans="5:5" x14ac:dyDescent="0.25">
      <c r="E759" s="13"/>
    </row>
    <row r="760" spans="5:5" x14ac:dyDescent="0.25">
      <c r="E760" s="13"/>
    </row>
    <row r="761" spans="5:5" x14ac:dyDescent="0.25">
      <c r="E761" s="13"/>
    </row>
    <row r="762" spans="5:5" x14ac:dyDescent="0.25">
      <c r="E762" s="13"/>
    </row>
    <row r="763" spans="5:5" x14ac:dyDescent="0.25">
      <c r="E763" s="13"/>
    </row>
    <row r="764" spans="5:5" x14ac:dyDescent="0.25">
      <c r="E764" s="13"/>
    </row>
    <row r="765" spans="5:5" x14ac:dyDescent="0.25">
      <c r="E765" s="13"/>
    </row>
    <row r="766" spans="5:5" x14ac:dyDescent="0.25">
      <c r="E766" s="13"/>
    </row>
    <row r="767" spans="5:5" x14ac:dyDescent="0.25">
      <c r="E767" s="13"/>
    </row>
    <row r="768" spans="5:5" x14ac:dyDescent="0.25">
      <c r="E768" s="13"/>
    </row>
    <row r="769" spans="5:5" x14ac:dyDescent="0.25">
      <c r="E769" s="13"/>
    </row>
    <row r="770" spans="5:5" x14ac:dyDescent="0.25">
      <c r="E770" s="13"/>
    </row>
    <row r="771" spans="5:5" x14ac:dyDescent="0.25">
      <c r="E771" s="13"/>
    </row>
    <row r="772" spans="5:5" x14ac:dyDescent="0.25">
      <c r="E772" s="13"/>
    </row>
    <row r="773" spans="5:5" x14ac:dyDescent="0.25">
      <c r="E773" s="13"/>
    </row>
    <row r="774" spans="5:5" x14ac:dyDescent="0.25">
      <c r="E774" s="13"/>
    </row>
    <row r="775" spans="5:5" x14ac:dyDescent="0.25">
      <c r="E775" s="13"/>
    </row>
    <row r="776" spans="5:5" x14ac:dyDescent="0.25">
      <c r="E776" s="13"/>
    </row>
    <row r="777" spans="5:5" x14ac:dyDescent="0.25">
      <c r="E777" s="13"/>
    </row>
    <row r="778" spans="5:5" x14ac:dyDescent="0.25">
      <c r="E778" s="13"/>
    </row>
    <row r="779" spans="5:5" x14ac:dyDescent="0.25">
      <c r="E779" s="13"/>
    </row>
    <row r="780" spans="5:5" x14ac:dyDescent="0.25">
      <c r="E780" s="13"/>
    </row>
    <row r="781" spans="5:5" x14ac:dyDescent="0.25">
      <c r="E781" s="13"/>
    </row>
    <row r="782" spans="5:5" x14ac:dyDescent="0.25">
      <c r="E782" s="13"/>
    </row>
    <row r="783" spans="5:5" x14ac:dyDescent="0.25">
      <c r="E783" s="13"/>
    </row>
    <row r="784" spans="5:5" x14ac:dyDescent="0.25">
      <c r="E784" s="13"/>
    </row>
    <row r="785" spans="5:5" x14ac:dyDescent="0.25">
      <c r="E785" s="13"/>
    </row>
    <row r="786" spans="5:5" x14ac:dyDescent="0.25">
      <c r="E786" s="13"/>
    </row>
    <row r="787" spans="5:5" x14ac:dyDescent="0.25">
      <c r="E787" s="13"/>
    </row>
    <row r="788" spans="5:5" x14ac:dyDescent="0.25">
      <c r="E788" s="13"/>
    </row>
    <row r="789" spans="5:5" x14ac:dyDescent="0.25">
      <c r="E789" s="13"/>
    </row>
    <row r="790" spans="5:5" x14ac:dyDescent="0.25">
      <c r="E790" s="13"/>
    </row>
    <row r="791" spans="5:5" x14ac:dyDescent="0.25">
      <c r="E791" s="13"/>
    </row>
    <row r="792" spans="5:5" x14ac:dyDescent="0.25">
      <c r="E792" s="13"/>
    </row>
    <row r="793" spans="5:5" x14ac:dyDescent="0.25">
      <c r="E793" s="13"/>
    </row>
    <row r="794" spans="5:5" x14ac:dyDescent="0.25">
      <c r="E794" s="13"/>
    </row>
    <row r="795" spans="5:5" x14ac:dyDescent="0.25">
      <c r="E795" s="13"/>
    </row>
    <row r="796" spans="5:5" x14ac:dyDescent="0.25">
      <c r="E796" s="13"/>
    </row>
    <row r="797" spans="5:5" x14ac:dyDescent="0.25">
      <c r="E797" s="13"/>
    </row>
    <row r="798" spans="5:5" x14ac:dyDescent="0.25">
      <c r="E798" s="13"/>
    </row>
    <row r="799" spans="5:5" x14ac:dyDescent="0.25">
      <c r="E799" s="13"/>
    </row>
    <row r="800" spans="5:5" x14ac:dyDescent="0.25">
      <c r="E800" s="13"/>
    </row>
    <row r="801" spans="5:5" x14ac:dyDescent="0.25">
      <c r="E801" s="13"/>
    </row>
    <row r="802" spans="5:5" x14ac:dyDescent="0.25">
      <c r="E802" s="13"/>
    </row>
    <row r="803" spans="5:5" x14ac:dyDescent="0.25">
      <c r="E803" s="13"/>
    </row>
    <row r="804" spans="5:5" x14ac:dyDescent="0.25">
      <c r="E804" s="13"/>
    </row>
    <row r="805" spans="5:5" x14ac:dyDescent="0.25">
      <c r="E805" s="13"/>
    </row>
    <row r="806" spans="5:5" x14ac:dyDescent="0.25">
      <c r="E806" s="13"/>
    </row>
    <row r="807" spans="5:5" x14ac:dyDescent="0.25">
      <c r="E807" s="13"/>
    </row>
    <row r="808" spans="5:5" x14ac:dyDescent="0.25">
      <c r="E808" s="13"/>
    </row>
    <row r="809" spans="5:5" x14ac:dyDescent="0.25">
      <c r="E809" s="13"/>
    </row>
    <row r="810" spans="5:5" x14ac:dyDescent="0.25">
      <c r="E810" s="13"/>
    </row>
    <row r="811" spans="5:5" x14ac:dyDescent="0.25">
      <c r="E811" s="13"/>
    </row>
    <row r="812" spans="5:5" x14ac:dyDescent="0.25">
      <c r="E812" s="13"/>
    </row>
    <row r="813" spans="5:5" x14ac:dyDescent="0.25">
      <c r="E813" s="13"/>
    </row>
    <row r="814" spans="5:5" x14ac:dyDescent="0.25">
      <c r="E814" s="13"/>
    </row>
    <row r="815" spans="5:5" x14ac:dyDescent="0.25">
      <c r="E815" s="13"/>
    </row>
    <row r="816" spans="5:5" x14ac:dyDescent="0.25">
      <c r="E816" s="13"/>
    </row>
    <row r="817" spans="5:5" x14ac:dyDescent="0.25">
      <c r="E817" s="13"/>
    </row>
    <row r="818" spans="5:5" x14ac:dyDescent="0.25">
      <c r="E818" s="13"/>
    </row>
    <row r="819" spans="5:5" x14ac:dyDescent="0.25">
      <c r="E819" s="13"/>
    </row>
    <row r="820" spans="5:5" x14ac:dyDescent="0.25">
      <c r="E820" s="13"/>
    </row>
    <row r="821" spans="5:5" x14ac:dyDescent="0.25">
      <c r="E821" s="13"/>
    </row>
    <row r="822" spans="5:5" x14ac:dyDescent="0.25">
      <c r="E822" s="13"/>
    </row>
    <row r="823" spans="5:5" x14ac:dyDescent="0.25">
      <c r="E823" s="13"/>
    </row>
    <row r="824" spans="5:5" x14ac:dyDescent="0.25">
      <c r="E824" s="13"/>
    </row>
    <row r="825" spans="5:5" x14ac:dyDescent="0.25">
      <c r="E825" s="13"/>
    </row>
    <row r="826" spans="5:5" x14ac:dyDescent="0.25">
      <c r="E826" s="13"/>
    </row>
    <row r="827" spans="5:5" x14ac:dyDescent="0.25">
      <c r="E827" s="13"/>
    </row>
    <row r="828" spans="5:5" x14ac:dyDescent="0.25">
      <c r="E828" s="13"/>
    </row>
    <row r="829" spans="5:5" x14ac:dyDescent="0.25">
      <c r="E829" s="13"/>
    </row>
    <row r="830" spans="5:5" x14ac:dyDescent="0.25">
      <c r="E830" s="13"/>
    </row>
    <row r="831" spans="5:5" x14ac:dyDescent="0.25">
      <c r="E831" s="13"/>
    </row>
    <row r="832" spans="5:5" x14ac:dyDescent="0.25">
      <c r="E832" s="13"/>
    </row>
    <row r="833" spans="5:5" x14ac:dyDescent="0.25">
      <c r="E833" s="13"/>
    </row>
    <row r="834" spans="5:5" x14ac:dyDescent="0.25">
      <c r="E834" s="13"/>
    </row>
    <row r="835" spans="5:5" x14ac:dyDescent="0.25">
      <c r="E835" s="13"/>
    </row>
    <row r="836" spans="5:5" x14ac:dyDescent="0.25">
      <c r="E836" s="13"/>
    </row>
    <row r="837" spans="5:5" x14ac:dyDescent="0.25">
      <c r="E837" s="13"/>
    </row>
    <row r="838" spans="5:5" x14ac:dyDescent="0.25">
      <c r="E838" s="13"/>
    </row>
    <row r="839" spans="5:5" x14ac:dyDescent="0.25">
      <c r="E839" s="13"/>
    </row>
    <row r="840" spans="5:5" x14ac:dyDescent="0.25">
      <c r="E840" s="13"/>
    </row>
    <row r="841" spans="5:5" x14ac:dyDescent="0.25">
      <c r="E841" s="13"/>
    </row>
    <row r="842" spans="5:5" x14ac:dyDescent="0.25">
      <c r="E842" s="13"/>
    </row>
    <row r="843" spans="5:5" x14ac:dyDescent="0.25">
      <c r="E843" s="13"/>
    </row>
    <row r="844" spans="5:5" x14ac:dyDescent="0.25">
      <c r="E844" s="13"/>
    </row>
    <row r="845" spans="5:5" x14ac:dyDescent="0.25">
      <c r="E845" s="13"/>
    </row>
    <row r="846" spans="5:5" x14ac:dyDescent="0.25">
      <c r="E846" s="13"/>
    </row>
    <row r="847" spans="5:5" x14ac:dyDescent="0.25">
      <c r="E847" s="13"/>
    </row>
    <row r="848" spans="5:5" x14ac:dyDescent="0.25">
      <c r="E848" s="13"/>
    </row>
    <row r="849" spans="5:5" x14ac:dyDescent="0.25">
      <c r="E849" s="13"/>
    </row>
    <row r="850" spans="5:5" x14ac:dyDescent="0.25">
      <c r="E850" s="13"/>
    </row>
    <row r="851" spans="5:5" x14ac:dyDescent="0.25">
      <c r="E851" s="13"/>
    </row>
    <row r="852" spans="5:5" x14ac:dyDescent="0.25">
      <c r="E852" s="13"/>
    </row>
    <row r="853" spans="5:5" x14ac:dyDescent="0.25">
      <c r="E853" s="13"/>
    </row>
    <row r="854" spans="5:5" x14ac:dyDescent="0.25">
      <c r="E854" s="13"/>
    </row>
    <row r="855" spans="5:5" x14ac:dyDescent="0.25">
      <c r="E855" s="13"/>
    </row>
    <row r="856" spans="5:5" x14ac:dyDescent="0.25">
      <c r="E856" s="13"/>
    </row>
    <row r="857" spans="5:5" x14ac:dyDescent="0.25">
      <c r="E857" s="13"/>
    </row>
    <row r="858" spans="5:5" x14ac:dyDescent="0.25">
      <c r="E858" s="13"/>
    </row>
    <row r="859" spans="5:5" x14ac:dyDescent="0.25">
      <c r="E859" s="13"/>
    </row>
    <row r="860" spans="5:5" x14ac:dyDescent="0.25">
      <c r="E860" s="13"/>
    </row>
    <row r="861" spans="5:5" x14ac:dyDescent="0.25">
      <c r="E861" s="13"/>
    </row>
    <row r="862" spans="5:5" x14ac:dyDescent="0.25">
      <c r="E862" s="13"/>
    </row>
    <row r="863" spans="5:5" x14ac:dyDescent="0.25">
      <c r="E863" s="13"/>
    </row>
    <row r="864" spans="5:5" x14ac:dyDescent="0.25">
      <c r="E864" s="13"/>
    </row>
    <row r="865" spans="5:5" x14ac:dyDescent="0.25">
      <c r="E865" s="13"/>
    </row>
    <row r="866" spans="5:5" x14ac:dyDescent="0.25">
      <c r="E866" s="13"/>
    </row>
    <row r="867" spans="5:5" x14ac:dyDescent="0.25">
      <c r="E867" s="13"/>
    </row>
    <row r="868" spans="5:5" x14ac:dyDescent="0.25">
      <c r="E868" s="13"/>
    </row>
    <row r="869" spans="5:5" x14ac:dyDescent="0.25">
      <c r="E869" s="13"/>
    </row>
    <row r="870" spans="5:5" x14ac:dyDescent="0.25">
      <c r="E870" s="13"/>
    </row>
    <row r="871" spans="5:5" x14ac:dyDescent="0.25">
      <c r="E871" s="13"/>
    </row>
    <row r="872" spans="5:5" x14ac:dyDescent="0.25">
      <c r="E872" s="13"/>
    </row>
    <row r="873" spans="5:5" x14ac:dyDescent="0.25">
      <c r="E873" s="13"/>
    </row>
    <row r="874" spans="5:5" x14ac:dyDescent="0.25">
      <c r="E874" s="13"/>
    </row>
    <row r="875" spans="5:5" x14ac:dyDescent="0.25">
      <c r="E875" s="13"/>
    </row>
    <row r="876" spans="5:5" x14ac:dyDescent="0.25">
      <c r="E876" s="13"/>
    </row>
    <row r="877" spans="5:5" x14ac:dyDescent="0.25">
      <c r="E877" s="13"/>
    </row>
    <row r="878" spans="5:5" x14ac:dyDescent="0.25">
      <c r="E878" s="13"/>
    </row>
    <row r="879" spans="5:5" x14ac:dyDescent="0.25">
      <c r="E879" s="13"/>
    </row>
    <row r="880" spans="5:5" x14ac:dyDescent="0.25">
      <c r="E880" s="13"/>
    </row>
    <row r="881" spans="5:5" x14ac:dyDescent="0.25">
      <c r="E881" s="13"/>
    </row>
    <row r="882" spans="5:5" x14ac:dyDescent="0.25">
      <c r="E882" s="13"/>
    </row>
    <row r="883" spans="5:5" x14ac:dyDescent="0.25">
      <c r="E883" s="13"/>
    </row>
    <row r="884" spans="5:5" x14ac:dyDescent="0.25">
      <c r="E884" s="13"/>
    </row>
    <row r="885" spans="5:5" x14ac:dyDescent="0.25">
      <c r="E885" s="13"/>
    </row>
    <row r="886" spans="5:5" x14ac:dyDescent="0.25">
      <c r="E886" s="13"/>
    </row>
    <row r="887" spans="5:5" x14ac:dyDescent="0.25">
      <c r="E887" s="13"/>
    </row>
    <row r="888" spans="5:5" x14ac:dyDescent="0.25">
      <c r="E888" s="13"/>
    </row>
    <row r="889" spans="5:5" x14ac:dyDescent="0.25">
      <c r="E889" s="13"/>
    </row>
    <row r="890" spans="5:5" x14ac:dyDescent="0.25">
      <c r="E890" s="13"/>
    </row>
    <row r="891" spans="5:5" x14ac:dyDescent="0.25">
      <c r="E891" s="13"/>
    </row>
    <row r="892" spans="5:5" x14ac:dyDescent="0.25">
      <c r="E892" s="13"/>
    </row>
    <row r="893" spans="5:5" x14ac:dyDescent="0.25">
      <c r="E893" s="13"/>
    </row>
    <row r="894" spans="5:5" x14ac:dyDescent="0.25">
      <c r="E894" s="13"/>
    </row>
    <row r="895" spans="5:5" x14ac:dyDescent="0.25">
      <c r="E895" s="13"/>
    </row>
    <row r="896" spans="5:5" x14ac:dyDescent="0.25">
      <c r="E896" s="13"/>
    </row>
    <row r="897" spans="5:5" x14ac:dyDescent="0.25">
      <c r="E897" s="13"/>
    </row>
    <row r="898" spans="5:5" x14ac:dyDescent="0.25">
      <c r="E898" s="13"/>
    </row>
    <row r="899" spans="5:5" x14ac:dyDescent="0.25">
      <c r="E899" s="13"/>
    </row>
    <row r="900" spans="5:5" x14ac:dyDescent="0.25">
      <c r="E900" s="13"/>
    </row>
    <row r="901" spans="5:5" x14ac:dyDescent="0.25">
      <c r="E901" s="13"/>
    </row>
    <row r="902" spans="5:5" x14ac:dyDescent="0.25">
      <c r="E902" s="13"/>
    </row>
    <row r="903" spans="5:5" x14ac:dyDescent="0.25">
      <c r="E903" s="13"/>
    </row>
    <row r="904" spans="5:5" x14ac:dyDescent="0.25">
      <c r="E904" s="13"/>
    </row>
    <row r="905" spans="5:5" x14ac:dyDescent="0.25">
      <c r="E905" s="13"/>
    </row>
    <row r="906" spans="5:5" x14ac:dyDescent="0.25">
      <c r="E906" s="13"/>
    </row>
    <row r="907" spans="5:5" x14ac:dyDescent="0.25">
      <c r="E907" s="13"/>
    </row>
    <row r="908" spans="5:5" x14ac:dyDescent="0.25">
      <c r="E908" s="13"/>
    </row>
    <row r="909" spans="5:5" x14ac:dyDescent="0.25">
      <c r="E909" s="13"/>
    </row>
    <row r="910" spans="5:5" x14ac:dyDescent="0.25">
      <c r="E910" s="13"/>
    </row>
    <row r="911" spans="5:5" x14ac:dyDescent="0.25">
      <c r="E911" s="13"/>
    </row>
    <row r="912" spans="5:5" x14ac:dyDescent="0.25">
      <c r="E912" s="13"/>
    </row>
    <row r="913" spans="5:5" x14ac:dyDescent="0.25">
      <c r="E913" s="13"/>
    </row>
    <row r="914" spans="5:5" x14ac:dyDescent="0.25">
      <c r="E914" s="13"/>
    </row>
    <row r="915" spans="5:5" x14ac:dyDescent="0.25">
      <c r="E915" s="13"/>
    </row>
    <row r="916" spans="5:5" x14ac:dyDescent="0.25">
      <c r="E916" s="13"/>
    </row>
    <row r="917" spans="5:5" x14ac:dyDescent="0.25">
      <c r="E917" s="13"/>
    </row>
    <row r="918" spans="5:5" x14ac:dyDescent="0.25">
      <c r="E918" s="13"/>
    </row>
    <row r="919" spans="5:5" x14ac:dyDescent="0.25">
      <c r="E919" s="13"/>
    </row>
    <row r="920" spans="5:5" x14ac:dyDescent="0.25">
      <c r="E920" s="13"/>
    </row>
    <row r="921" spans="5:5" x14ac:dyDescent="0.25">
      <c r="E921" s="13"/>
    </row>
    <row r="922" spans="5:5" x14ac:dyDescent="0.25">
      <c r="E922" s="13"/>
    </row>
    <row r="923" spans="5:5" x14ac:dyDescent="0.25">
      <c r="E923" s="13"/>
    </row>
    <row r="924" spans="5:5" x14ac:dyDescent="0.25">
      <c r="E924" s="13"/>
    </row>
    <row r="925" spans="5:5" x14ac:dyDescent="0.25">
      <c r="E925" s="13"/>
    </row>
    <row r="926" spans="5:5" x14ac:dyDescent="0.25">
      <c r="E926" s="13"/>
    </row>
    <row r="927" spans="5:5" x14ac:dyDescent="0.25">
      <c r="E927" s="13"/>
    </row>
    <row r="928" spans="5:5" x14ac:dyDescent="0.25">
      <c r="E928" s="13"/>
    </row>
    <row r="929" spans="5:5" x14ac:dyDescent="0.25">
      <c r="E929" s="13"/>
    </row>
    <row r="930" spans="5:5" x14ac:dyDescent="0.25">
      <c r="E930" s="13"/>
    </row>
    <row r="931" spans="5:5" x14ac:dyDescent="0.25">
      <c r="E931" s="13"/>
    </row>
    <row r="932" spans="5:5" x14ac:dyDescent="0.25">
      <c r="E932" s="13"/>
    </row>
    <row r="933" spans="5:5" x14ac:dyDescent="0.25">
      <c r="E933" s="13"/>
    </row>
    <row r="934" spans="5:5" x14ac:dyDescent="0.25">
      <c r="E934" s="13"/>
    </row>
    <row r="935" spans="5:5" x14ac:dyDescent="0.25">
      <c r="E935" s="13"/>
    </row>
    <row r="936" spans="5:5" x14ac:dyDescent="0.25">
      <c r="E936" s="13"/>
    </row>
    <row r="937" spans="5:5" x14ac:dyDescent="0.25">
      <c r="E937" s="13"/>
    </row>
    <row r="938" spans="5:5" x14ac:dyDescent="0.25">
      <c r="E938" s="13"/>
    </row>
    <row r="939" spans="5:5" x14ac:dyDescent="0.25">
      <c r="E939" s="13"/>
    </row>
    <row r="940" spans="5:5" x14ac:dyDescent="0.25">
      <c r="E940" s="13"/>
    </row>
    <row r="941" spans="5:5" x14ac:dyDescent="0.25">
      <c r="E941" s="13"/>
    </row>
    <row r="942" spans="5:5" x14ac:dyDescent="0.25">
      <c r="E942" s="13"/>
    </row>
    <row r="943" spans="5:5" x14ac:dyDescent="0.25">
      <c r="E943" s="13"/>
    </row>
    <row r="944" spans="5:5" x14ac:dyDescent="0.25">
      <c r="E944" s="13"/>
    </row>
    <row r="945" spans="5:5" x14ac:dyDescent="0.25">
      <c r="E945" s="13"/>
    </row>
    <row r="946" spans="5:5" x14ac:dyDescent="0.25">
      <c r="E946" s="13"/>
    </row>
    <row r="947" spans="5:5" x14ac:dyDescent="0.25">
      <c r="E947" s="13"/>
    </row>
    <row r="948" spans="5:5" x14ac:dyDescent="0.25">
      <c r="E948" s="13"/>
    </row>
    <row r="949" spans="5:5" x14ac:dyDescent="0.25">
      <c r="E949" s="13"/>
    </row>
    <row r="950" spans="5:5" x14ac:dyDescent="0.25">
      <c r="E950" s="13"/>
    </row>
    <row r="951" spans="5:5" x14ac:dyDescent="0.25">
      <c r="E951" s="13"/>
    </row>
    <row r="952" spans="5:5" x14ac:dyDescent="0.25">
      <c r="E952" s="13"/>
    </row>
    <row r="953" spans="5:5" x14ac:dyDescent="0.25">
      <c r="E953" s="13"/>
    </row>
    <row r="954" spans="5:5" x14ac:dyDescent="0.25">
      <c r="E954" s="13"/>
    </row>
    <row r="955" spans="5:5" x14ac:dyDescent="0.25">
      <c r="E955" s="13"/>
    </row>
    <row r="956" spans="5:5" x14ac:dyDescent="0.25">
      <c r="E956" s="13"/>
    </row>
    <row r="957" spans="5:5" x14ac:dyDescent="0.25">
      <c r="E957" s="13"/>
    </row>
    <row r="958" spans="5:5" x14ac:dyDescent="0.25">
      <c r="E958" s="13"/>
    </row>
    <row r="959" spans="5:5" x14ac:dyDescent="0.25">
      <c r="E959" s="13"/>
    </row>
    <row r="960" spans="5:5" x14ac:dyDescent="0.25">
      <c r="E960" s="13"/>
    </row>
    <row r="961" spans="5:5" x14ac:dyDescent="0.25">
      <c r="E961" s="13"/>
    </row>
    <row r="962" spans="5:5" x14ac:dyDescent="0.25">
      <c r="E962" s="13"/>
    </row>
    <row r="963" spans="5:5" x14ac:dyDescent="0.25">
      <c r="E963" s="13"/>
    </row>
    <row r="964" spans="5:5" x14ac:dyDescent="0.25">
      <c r="E964" s="13"/>
    </row>
    <row r="965" spans="5:5" x14ac:dyDescent="0.25">
      <c r="E965" s="13"/>
    </row>
    <row r="966" spans="5:5" x14ac:dyDescent="0.25">
      <c r="E966" s="13"/>
    </row>
    <row r="967" spans="5:5" x14ac:dyDescent="0.25">
      <c r="E967" s="13"/>
    </row>
    <row r="968" spans="5:5" x14ac:dyDescent="0.25">
      <c r="E968" s="13"/>
    </row>
    <row r="969" spans="5:5" x14ac:dyDescent="0.25">
      <c r="E969" s="13"/>
    </row>
    <row r="970" spans="5:5" x14ac:dyDescent="0.25">
      <c r="E970" s="13"/>
    </row>
    <row r="971" spans="5:5" x14ac:dyDescent="0.25">
      <c r="E971" s="13"/>
    </row>
    <row r="972" spans="5:5" x14ac:dyDescent="0.25">
      <c r="E972" s="13"/>
    </row>
    <row r="973" spans="5:5" x14ac:dyDescent="0.25">
      <c r="E973" s="13"/>
    </row>
    <row r="974" spans="5:5" x14ac:dyDescent="0.25">
      <c r="E974" s="13"/>
    </row>
    <row r="975" spans="5:5" x14ac:dyDescent="0.25">
      <c r="E975" s="13"/>
    </row>
    <row r="976" spans="5:5" x14ac:dyDescent="0.25">
      <c r="E976" s="13"/>
    </row>
    <row r="977" spans="5:5" x14ac:dyDescent="0.25">
      <c r="E977" s="13"/>
    </row>
    <row r="978" spans="5:5" x14ac:dyDescent="0.25">
      <c r="E978" s="13"/>
    </row>
    <row r="979" spans="5:5" x14ac:dyDescent="0.25">
      <c r="E979" s="13"/>
    </row>
    <row r="980" spans="5:5" x14ac:dyDescent="0.25">
      <c r="E980" s="13"/>
    </row>
    <row r="981" spans="5:5" x14ac:dyDescent="0.25">
      <c r="E981" s="13"/>
    </row>
    <row r="982" spans="5:5" x14ac:dyDescent="0.25">
      <c r="E982" s="13"/>
    </row>
    <row r="983" spans="5:5" x14ac:dyDescent="0.25">
      <c r="E983" s="13"/>
    </row>
    <row r="984" spans="5:5" x14ac:dyDescent="0.25">
      <c r="E984" s="13"/>
    </row>
    <row r="985" spans="5:5" x14ac:dyDescent="0.25">
      <c r="E985" s="13"/>
    </row>
    <row r="986" spans="5:5" x14ac:dyDescent="0.25">
      <c r="E986" s="13"/>
    </row>
    <row r="987" spans="5:5" x14ac:dyDescent="0.25">
      <c r="E987" s="13"/>
    </row>
    <row r="988" spans="5:5" x14ac:dyDescent="0.25">
      <c r="E988" s="13"/>
    </row>
    <row r="989" spans="5:5" x14ac:dyDescent="0.25">
      <c r="E989" s="13"/>
    </row>
    <row r="990" spans="5:5" x14ac:dyDescent="0.25">
      <c r="E990" s="13"/>
    </row>
    <row r="991" spans="5:5" x14ac:dyDescent="0.25">
      <c r="E991" s="13"/>
    </row>
    <row r="992" spans="5:5" x14ac:dyDescent="0.25">
      <c r="E992" s="13"/>
    </row>
    <row r="993" spans="5:5" x14ac:dyDescent="0.25">
      <c r="E993" s="13"/>
    </row>
    <row r="994" spans="5:5" x14ac:dyDescent="0.25">
      <c r="E994" s="13"/>
    </row>
    <row r="995" spans="5:5" x14ac:dyDescent="0.25">
      <c r="E995" s="13"/>
    </row>
    <row r="996" spans="5:5" x14ac:dyDescent="0.25">
      <c r="E996" s="13"/>
    </row>
    <row r="997" spans="5:5" x14ac:dyDescent="0.25">
      <c r="E99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129CB-44BB-41F2-A4D7-B5D15D201399}">
  <sheetPr>
    <tabColor rgb="FF00B0F0"/>
  </sheetPr>
  <dimension ref="A1:Q997"/>
  <sheetViews>
    <sheetView zoomScale="80" zoomScaleNormal="80" workbookViewId="0">
      <pane ySplit="1" topLeftCell="A515" activePane="bottomLeft" state="frozen"/>
      <selection pane="bottomLeft" activeCell="E560" sqref="E560"/>
    </sheetView>
  </sheetViews>
  <sheetFormatPr defaultColWidth="9.140625" defaultRowHeight="15" x14ac:dyDescent="0.25"/>
  <cols>
    <col min="1" max="1" width="20.7109375" style="34" bestFit="1" customWidth="1"/>
    <col min="2" max="2" width="22.85546875" style="34" bestFit="1" customWidth="1"/>
    <col min="3" max="3" width="20.28515625" style="35" bestFit="1" customWidth="1"/>
    <col min="4" max="4" width="17.5703125" style="34" bestFit="1" customWidth="1"/>
    <col min="5" max="5" width="28.5703125" style="34" bestFit="1" customWidth="1"/>
    <col min="6" max="6" width="68.85546875" style="34" bestFit="1" customWidth="1"/>
    <col min="7" max="7" width="15.140625" style="34" bestFit="1" customWidth="1"/>
    <col min="8" max="8" width="32.28515625" style="34" bestFit="1" customWidth="1"/>
    <col min="9" max="9" width="31.5703125" style="34" bestFit="1" customWidth="1"/>
    <col min="10" max="10" width="45.7109375" style="34" bestFit="1" customWidth="1"/>
    <col min="11" max="11" width="25.85546875" style="35" bestFit="1" customWidth="1"/>
    <col min="12" max="12" width="9.5703125" style="34" bestFit="1" customWidth="1"/>
    <col min="13" max="13" width="11.28515625" style="34" bestFit="1" customWidth="1"/>
    <col min="14" max="14" width="22.7109375" style="34" bestFit="1" customWidth="1"/>
    <col min="15" max="15" width="12.42578125" style="34" bestFit="1" customWidth="1"/>
    <col min="16" max="16" width="9.140625" style="51"/>
    <col min="17" max="17" width="4.5703125" style="51" bestFit="1" customWidth="1"/>
    <col min="18" max="16384" width="9.140625" style="51"/>
  </cols>
  <sheetData>
    <row r="1" spans="1:17" s="37" customFormat="1" x14ac:dyDescent="0.25">
      <c r="A1" s="36" t="s">
        <v>0</v>
      </c>
      <c r="B1" s="36" t="s">
        <v>1</v>
      </c>
      <c r="C1" s="36" t="s">
        <v>2</v>
      </c>
      <c r="D1" s="36" t="s">
        <v>3</v>
      </c>
      <c r="E1" s="36" t="s">
        <v>4</v>
      </c>
      <c r="F1" s="36" t="s">
        <v>5</v>
      </c>
      <c r="G1" s="36" t="s">
        <v>6</v>
      </c>
      <c r="H1" s="36" t="s">
        <v>7</v>
      </c>
      <c r="I1" s="36" t="s">
        <v>8</v>
      </c>
      <c r="J1" s="36" t="s">
        <v>9</v>
      </c>
      <c r="K1" s="36" t="s">
        <v>10</v>
      </c>
      <c r="L1" s="36" t="s">
        <v>11</v>
      </c>
      <c r="M1" s="36" t="s">
        <v>12</v>
      </c>
      <c r="N1" s="36" t="s">
        <v>13</v>
      </c>
      <c r="O1" s="36" t="s">
        <v>14</v>
      </c>
      <c r="Q1" s="37" t="s">
        <v>4495</v>
      </c>
    </row>
    <row r="2" spans="1:17" x14ac:dyDescent="0.25">
      <c r="A2" s="34" t="s">
        <v>3814</v>
      </c>
      <c r="C2" s="35" t="s">
        <v>3815</v>
      </c>
      <c r="E2" s="50">
        <v>46064</v>
      </c>
      <c r="F2" s="34" t="s">
        <v>3816</v>
      </c>
      <c r="G2" s="34">
        <v>276.08999999999997</v>
      </c>
      <c r="H2" s="34" t="s">
        <v>227</v>
      </c>
      <c r="I2" s="34" t="s">
        <v>16</v>
      </c>
      <c r="J2" s="34" t="s">
        <v>3817</v>
      </c>
      <c r="K2" s="35" t="s">
        <v>250</v>
      </c>
      <c r="L2" s="34">
        <v>3336</v>
      </c>
      <c r="M2" s="34" t="s">
        <v>34</v>
      </c>
      <c r="N2" s="34" t="s">
        <v>4337</v>
      </c>
      <c r="O2" s="34" t="s">
        <v>505</v>
      </c>
      <c r="Q2" s="52">
        <f>LEN(F2&amp;K2)+12</f>
        <v>41</v>
      </c>
    </row>
    <row r="3" spans="1:17" x14ac:dyDescent="0.25">
      <c r="A3" s="34" t="s">
        <v>3814</v>
      </c>
      <c r="C3" s="35" t="s">
        <v>3815</v>
      </c>
      <c r="E3" s="50">
        <v>46064</v>
      </c>
      <c r="F3" s="34" t="s">
        <v>3816</v>
      </c>
      <c r="G3" s="34">
        <v>249.09</v>
      </c>
      <c r="H3" s="34" t="s">
        <v>227</v>
      </c>
      <c r="I3" s="34" t="s">
        <v>16</v>
      </c>
      <c r="J3" s="34" t="s">
        <v>3817</v>
      </c>
      <c r="K3" s="35" t="s">
        <v>250</v>
      </c>
      <c r="L3" s="34">
        <v>3336</v>
      </c>
      <c r="M3" s="34" t="s">
        <v>34</v>
      </c>
      <c r="N3" s="34" t="s">
        <v>4337</v>
      </c>
      <c r="O3" s="34" t="s">
        <v>505</v>
      </c>
      <c r="Q3" s="52">
        <f t="shared" ref="Q3:Q66" si="0">LEN(F3&amp;K3)+12</f>
        <v>41</v>
      </c>
    </row>
    <row r="4" spans="1:17" x14ac:dyDescent="0.25">
      <c r="A4" s="34" t="s">
        <v>3814</v>
      </c>
      <c r="C4" s="35" t="s">
        <v>3815</v>
      </c>
      <c r="E4" s="50">
        <v>46082</v>
      </c>
      <c r="F4" s="34" t="s">
        <v>3818</v>
      </c>
      <c r="G4" s="34">
        <v>130.63</v>
      </c>
      <c r="H4" s="34" t="s">
        <v>227</v>
      </c>
      <c r="I4" s="34" t="s">
        <v>3819</v>
      </c>
      <c r="J4" s="34" t="s">
        <v>3642</v>
      </c>
      <c r="K4" s="35" t="s">
        <v>1165</v>
      </c>
      <c r="L4" s="34">
        <v>3500</v>
      </c>
      <c r="M4" s="34" t="s">
        <v>3820</v>
      </c>
      <c r="N4" s="34" t="s">
        <v>4337</v>
      </c>
      <c r="O4" s="34" t="s">
        <v>505</v>
      </c>
      <c r="Q4" s="52">
        <f t="shared" si="0"/>
        <v>43</v>
      </c>
    </row>
    <row r="5" spans="1:17" x14ac:dyDescent="0.25">
      <c r="A5" s="34" t="s">
        <v>3814</v>
      </c>
      <c r="C5" s="35" t="s">
        <v>3815</v>
      </c>
      <c r="E5" s="50">
        <v>46078</v>
      </c>
      <c r="F5" s="34" t="s">
        <v>3821</v>
      </c>
      <c r="G5" s="34">
        <v>32.24</v>
      </c>
      <c r="H5" s="34" t="s">
        <v>227</v>
      </c>
      <c r="I5" s="34" t="s">
        <v>3822</v>
      </c>
      <c r="J5" s="34" t="s">
        <v>138</v>
      </c>
      <c r="K5" s="35" t="s">
        <v>598</v>
      </c>
      <c r="L5" s="34">
        <v>3500</v>
      </c>
      <c r="M5" s="34" t="s">
        <v>3820</v>
      </c>
      <c r="N5" s="34" t="s">
        <v>4337</v>
      </c>
      <c r="O5" s="34" t="s">
        <v>505</v>
      </c>
      <c r="Q5" s="52">
        <f t="shared" si="0"/>
        <v>47</v>
      </c>
    </row>
    <row r="6" spans="1:17" x14ac:dyDescent="0.25">
      <c r="A6" s="34" t="s">
        <v>3814</v>
      </c>
      <c r="C6" s="35" t="s">
        <v>3815</v>
      </c>
      <c r="E6" s="50">
        <v>46076</v>
      </c>
      <c r="F6" s="34" t="s">
        <v>3821</v>
      </c>
      <c r="G6" s="34">
        <v>15.78</v>
      </c>
      <c r="H6" s="34" t="s">
        <v>227</v>
      </c>
      <c r="I6" s="34" t="s">
        <v>3822</v>
      </c>
      <c r="J6" s="34" t="s">
        <v>138</v>
      </c>
      <c r="K6" s="35" t="s">
        <v>598</v>
      </c>
      <c r="L6" s="34">
        <v>3500</v>
      </c>
      <c r="M6" s="34" t="s">
        <v>3820</v>
      </c>
      <c r="N6" s="34" t="s">
        <v>4337</v>
      </c>
      <c r="O6" s="34" t="s">
        <v>505</v>
      </c>
      <c r="Q6" s="52">
        <f t="shared" si="0"/>
        <v>47</v>
      </c>
    </row>
    <row r="7" spans="1:17" x14ac:dyDescent="0.25">
      <c r="A7" s="34" t="s">
        <v>3814</v>
      </c>
      <c r="C7" s="35" t="s">
        <v>3815</v>
      </c>
      <c r="E7" s="50">
        <v>46076</v>
      </c>
      <c r="F7" s="34" t="s">
        <v>3821</v>
      </c>
      <c r="G7" s="34">
        <v>105.21</v>
      </c>
      <c r="H7" s="34" t="s">
        <v>227</v>
      </c>
      <c r="I7" s="34" t="s">
        <v>3822</v>
      </c>
      <c r="J7" s="34" t="s">
        <v>138</v>
      </c>
      <c r="K7" s="35" t="s">
        <v>598</v>
      </c>
      <c r="L7" s="34">
        <v>3500</v>
      </c>
      <c r="M7" s="34" t="s">
        <v>3820</v>
      </c>
      <c r="N7" s="34" t="s">
        <v>4337</v>
      </c>
      <c r="O7" s="34" t="s">
        <v>505</v>
      </c>
      <c r="Q7" s="52">
        <f t="shared" si="0"/>
        <v>47</v>
      </c>
    </row>
    <row r="8" spans="1:17" x14ac:dyDescent="0.25">
      <c r="A8" s="34" t="s">
        <v>3814</v>
      </c>
      <c r="C8" s="35" t="s">
        <v>3815</v>
      </c>
      <c r="E8" s="50">
        <v>46072</v>
      </c>
      <c r="F8" s="34" t="s">
        <v>3823</v>
      </c>
      <c r="G8" s="34">
        <v>45.09</v>
      </c>
      <c r="H8" s="34" t="s">
        <v>227</v>
      </c>
      <c r="I8" s="34" t="s">
        <v>3819</v>
      </c>
      <c r="J8" s="34" t="s">
        <v>3453</v>
      </c>
      <c r="K8" s="35" t="s">
        <v>3527</v>
      </c>
      <c r="L8" s="34">
        <v>3500</v>
      </c>
      <c r="M8" s="34" t="s">
        <v>3820</v>
      </c>
      <c r="N8" s="34" t="s">
        <v>4337</v>
      </c>
      <c r="O8" s="34" t="s">
        <v>505</v>
      </c>
      <c r="Q8" s="52">
        <f t="shared" si="0"/>
        <v>43</v>
      </c>
    </row>
    <row r="9" spans="1:17" x14ac:dyDescent="0.25">
      <c r="A9" s="34" t="s">
        <v>3814</v>
      </c>
      <c r="C9" s="35" t="s">
        <v>3815</v>
      </c>
      <c r="E9" s="50">
        <v>46084</v>
      </c>
      <c r="F9" s="34" t="s">
        <v>3818</v>
      </c>
      <c r="G9" s="34">
        <v>52.39</v>
      </c>
      <c r="H9" s="34" t="s">
        <v>227</v>
      </c>
      <c r="I9" s="34" t="s">
        <v>3819</v>
      </c>
      <c r="J9" s="34" t="s">
        <v>3641</v>
      </c>
      <c r="K9" s="35" t="s">
        <v>3752</v>
      </c>
      <c r="L9" s="34">
        <v>3500</v>
      </c>
      <c r="M9" s="34" t="s">
        <v>3820</v>
      </c>
      <c r="N9" s="34" t="s">
        <v>4337</v>
      </c>
      <c r="O9" s="34" t="s">
        <v>505</v>
      </c>
      <c r="Q9" s="52">
        <f t="shared" si="0"/>
        <v>45</v>
      </c>
    </row>
    <row r="10" spans="1:17" x14ac:dyDescent="0.25">
      <c r="A10" s="34" t="s">
        <v>3814</v>
      </c>
      <c r="C10" s="35" t="s">
        <v>3815</v>
      </c>
      <c r="E10" s="50">
        <v>46084</v>
      </c>
      <c r="F10" s="34" t="s">
        <v>3824</v>
      </c>
      <c r="G10" s="34">
        <v>242.6</v>
      </c>
      <c r="H10" s="34" t="s">
        <v>227</v>
      </c>
      <c r="I10" s="34" t="s">
        <v>16</v>
      </c>
      <c r="J10" s="34" t="s">
        <v>3817</v>
      </c>
      <c r="K10" s="35" t="s">
        <v>250</v>
      </c>
      <c r="L10" s="34">
        <v>3369</v>
      </c>
      <c r="M10" s="34" t="s">
        <v>34</v>
      </c>
      <c r="N10" s="34" t="s">
        <v>4337</v>
      </c>
      <c r="O10" s="34" t="s">
        <v>505</v>
      </c>
      <c r="Q10" s="52">
        <f t="shared" si="0"/>
        <v>42</v>
      </c>
    </row>
    <row r="11" spans="1:17" x14ac:dyDescent="0.25">
      <c r="A11" s="34" t="s">
        <v>3814</v>
      </c>
      <c r="C11" s="35" t="s">
        <v>3815</v>
      </c>
      <c r="E11" s="50">
        <v>46084</v>
      </c>
      <c r="F11" s="34" t="s">
        <v>3824</v>
      </c>
      <c r="G11" s="34">
        <v>528</v>
      </c>
      <c r="H11" s="34" t="s">
        <v>227</v>
      </c>
      <c r="I11" s="34" t="s">
        <v>16</v>
      </c>
      <c r="J11" s="34" t="s">
        <v>3817</v>
      </c>
      <c r="K11" s="35" t="s">
        <v>250</v>
      </c>
      <c r="L11" s="34">
        <v>3369</v>
      </c>
      <c r="M11" s="34" t="s">
        <v>34</v>
      </c>
      <c r="N11" s="34" t="s">
        <v>4337</v>
      </c>
      <c r="O11" s="34" t="s">
        <v>505</v>
      </c>
      <c r="Q11" s="52">
        <f t="shared" si="0"/>
        <v>42</v>
      </c>
    </row>
    <row r="12" spans="1:17" x14ac:dyDescent="0.25">
      <c r="A12" s="34" t="s">
        <v>3814</v>
      </c>
      <c r="C12" s="35" t="s">
        <v>3815</v>
      </c>
      <c r="E12" s="50">
        <v>46057</v>
      </c>
      <c r="F12" s="34" t="s">
        <v>3825</v>
      </c>
      <c r="G12" s="34">
        <v>25</v>
      </c>
      <c r="H12" s="34" t="s">
        <v>227</v>
      </c>
      <c r="I12" s="34" t="s">
        <v>16</v>
      </c>
      <c r="J12" s="34" t="s">
        <v>936</v>
      </c>
      <c r="K12" s="35" t="s">
        <v>937</v>
      </c>
      <c r="L12" s="34">
        <v>3500</v>
      </c>
      <c r="M12" s="34" t="s">
        <v>34</v>
      </c>
      <c r="N12" s="34" t="s">
        <v>4337</v>
      </c>
      <c r="O12" s="34" t="s">
        <v>505</v>
      </c>
      <c r="Q12" s="52">
        <f t="shared" si="0"/>
        <v>58</v>
      </c>
    </row>
    <row r="13" spans="1:17" x14ac:dyDescent="0.25">
      <c r="A13" s="34" t="s">
        <v>3814</v>
      </c>
      <c r="C13" s="35" t="s">
        <v>3815</v>
      </c>
      <c r="E13" s="50">
        <v>46057</v>
      </c>
      <c r="F13" s="34" t="s">
        <v>3826</v>
      </c>
      <c r="G13" s="34">
        <v>25</v>
      </c>
      <c r="H13" s="34" t="s">
        <v>227</v>
      </c>
      <c r="I13" s="34" t="s">
        <v>16</v>
      </c>
      <c r="J13" s="34" t="s">
        <v>936</v>
      </c>
      <c r="K13" s="35" t="s">
        <v>937</v>
      </c>
      <c r="L13" s="34">
        <v>3500</v>
      </c>
      <c r="M13" s="34" t="s">
        <v>34</v>
      </c>
      <c r="N13" s="34" t="s">
        <v>4337</v>
      </c>
      <c r="O13" s="34" t="s">
        <v>505</v>
      </c>
      <c r="Q13" s="52">
        <f t="shared" si="0"/>
        <v>57</v>
      </c>
    </row>
    <row r="14" spans="1:17" x14ac:dyDescent="0.25">
      <c r="A14" s="34" t="s">
        <v>3814</v>
      </c>
      <c r="C14" s="35" t="s">
        <v>3815</v>
      </c>
      <c r="E14" s="50">
        <v>46057</v>
      </c>
      <c r="F14" s="34" t="s">
        <v>3827</v>
      </c>
      <c r="G14" s="34">
        <v>25</v>
      </c>
      <c r="H14" s="34" t="s">
        <v>227</v>
      </c>
      <c r="I14" s="34" t="s">
        <v>16</v>
      </c>
      <c r="J14" s="34" t="s">
        <v>936</v>
      </c>
      <c r="K14" s="35" t="s">
        <v>937</v>
      </c>
      <c r="L14" s="34">
        <v>3500</v>
      </c>
      <c r="M14" s="34" t="s">
        <v>34</v>
      </c>
      <c r="N14" s="34" t="s">
        <v>4337</v>
      </c>
      <c r="O14" s="34" t="s">
        <v>505</v>
      </c>
      <c r="Q14" s="52">
        <f t="shared" si="0"/>
        <v>59</v>
      </c>
    </row>
    <row r="15" spans="1:17" x14ac:dyDescent="0.25">
      <c r="A15" s="34" t="s">
        <v>3814</v>
      </c>
      <c r="C15" s="35" t="s">
        <v>3815</v>
      </c>
      <c r="E15" s="50">
        <v>46057</v>
      </c>
      <c r="F15" s="34" t="s">
        <v>3828</v>
      </c>
      <c r="G15" s="34">
        <v>25</v>
      </c>
      <c r="H15" s="34" t="s">
        <v>227</v>
      </c>
      <c r="I15" s="34" t="s">
        <v>16</v>
      </c>
      <c r="J15" s="34" t="s">
        <v>936</v>
      </c>
      <c r="K15" s="35" t="s">
        <v>937</v>
      </c>
      <c r="L15" s="34">
        <v>3500</v>
      </c>
      <c r="M15" s="34" t="s">
        <v>34</v>
      </c>
      <c r="N15" s="34" t="s">
        <v>4337</v>
      </c>
      <c r="O15" s="34" t="s">
        <v>505</v>
      </c>
      <c r="Q15" s="52">
        <f t="shared" si="0"/>
        <v>55</v>
      </c>
    </row>
    <row r="16" spans="1:17" x14ac:dyDescent="0.25">
      <c r="A16" s="34" t="s">
        <v>3814</v>
      </c>
      <c r="C16" s="35" t="s">
        <v>3815</v>
      </c>
      <c r="E16" s="50">
        <v>46057</v>
      </c>
      <c r="F16" s="34" t="s">
        <v>3829</v>
      </c>
      <c r="G16" s="34">
        <v>17.170000000000002</v>
      </c>
      <c r="H16" s="34" t="s">
        <v>227</v>
      </c>
      <c r="I16" s="34" t="s">
        <v>16</v>
      </c>
      <c r="J16" s="34" t="s">
        <v>936</v>
      </c>
      <c r="K16" s="35" t="s">
        <v>937</v>
      </c>
      <c r="L16" s="34">
        <v>3500</v>
      </c>
      <c r="M16" s="34" t="s">
        <v>34</v>
      </c>
      <c r="N16" s="34" t="s">
        <v>4337</v>
      </c>
      <c r="O16" s="34" t="s">
        <v>505</v>
      </c>
      <c r="Q16" s="52">
        <f t="shared" si="0"/>
        <v>58</v>
      </c>
    </row>
    <row r="17" spans="1:17" x14ac:dyDescent="0.25">
      <c r="A17" s="34" t="s">
        <v>3814</v>
      </c>
      <c r="C17" s="35" t="s">
        <v>3815</v>
      </c>
      <c r="E17" s="50">
        <v>46084</v>
      </c>
      <c r="F17" s="34" t="s">
        <v>3830</v>
      </c>
      <c r="G17" s="34">
        <v>25</v>
      </c>
      <c r="H17" s="34" t="s">
        <v>227</v>
      </c>
      <c r="I17" s="34" t="s">
        <v>16</v>
      </c>
      <c r="J17" s="34" t="s">
        <v>55</v>
      </c>
      <c r="K17" s="35" t="s">
        <v>232</v>
      </c>
      <c r="L17" s="34">
        <v>3500</v>
      </c>
      <c r="M17" s="34" t="s">
        <v>34</v>
      </c>
      <c r="N17" s="34" t="s">
        <v>4337</v>
      </c>
      <c r="O17" s="34" t="s">
        <v>505</v>
      </c>
      <c r="Q17" s="52">
        <f t="shared" si="0"/>
        <v>42</v>
      </c>
    </row>
    <row r="18" spans="1:17" x14ac:dyDescent="0.25">
      <c r="A18" s="34" t="s">
        <v>3814</v>
      </c>
      <c r="C18" s="35" t="s">
        <v>3815</v>
      </c>
      <c r="E18" s="50">
        <v>46084</v>
      </c>
      <c r="F18" s="34" t="s">
        <v>3831</v>
      </c>
      <c r="G18" s="34">
        <v>19.79</v>
      </c>
      <c r="H18" s="34" t="s">
        <v>227</v>
      </c>
      <c r="I18" s="34" t="s">
        <v>16</v>
      </c>
      <c r="J18" s="34" t="s">
        <v>55</v>
      </c>
      <c r="K18" s="35" t="s">
        <v>232</v>
      </c>
      <c r="L18" s="34">
        <v>3500</v>
      </c>
      <c r="M18" s="34" t="s">
        <v>34</v>
      </c>
      <c r="N18" s="34" t="s">
        <v>4337</v>
      </c>
      <c r="O18" s="34" t="s">
        <v>505</v>
      </c>
      <c r="Q18" s="52">
        <f t="shared" si="0"/>
        <v>46</v>
      </c>
    </row>
    <row r="19" spans="1:17" x14ac:dyDescent="0.25">
      <c r="A19" s="34" t="s">
        <v>3832</v>
      </c>
      <c r="B19" s="34" t="s">
        <v>3833</v>
      </c>
      <c r="C19" s="35" t="s">
        <v>3834</v>
      </c>
      <c r="E19" s="50">
        <v>46064</v>
      </c>
      <c r="F19" s="34" t="s">
        <v>3835</v>
      </c>
      <c r="G19" s="34">
        <v>-4027.97</v>
      </c>
      <c r="H19" s="34" t="s">
        <v>227</v>
      </c>
      <c r="I19" s="34" t="s">
        <v>3594</v>
      </c>
      <c r="J19" s="34" t="s">
        <v>47</v>
      </c>
      <c r="K19" s="35" t="s">
        <v>41</v>
      </c>
      <c r="L19" s="34">
        <v>1035</v>
      </c>
      <c r="M19" s="34" t="s">
        <v>3836</v>
      </c>
      <c r="N19" s="34" t="s">
        <v>4337</v>
      </c>
      <c r="O19" s="34" t="s">
        <v>520</v>
      </c>
      <c r="Q19" s="52">
        <f t="shared" si="0"/>
        <v>44</v>
      </c>
    </row>
    <row r="20" spans="1:17" x14ac:dyDescent="0.25">
      <c r="A20" s="34" t="s">
        <v>3837</v>
      </c>
      <c r="B20" s="34" t="s">
        <v>3838</v>
      </c>
      <c r="C20" s="35" t="s">
        <v>3839</v>
      </c>
      <c r="E20" s="50">
        <v>46086</v>
      </c>
      <c r="F20" s="34" t="s">
        <v>3840</v>
      </c>
      <c r="G20" s="34">
        <v>22.84</v>
      </c>
      <c r="H20" s="34" t="s">
        <v>227</v>
      </c>
      <c r="I20" s="34" t="s">
        <v>16</v>
      </c>
      <c r="J20" s="34" t="s">
        <v>3457</v>
      </c>
      <c r="K20" s="35" t="s">
        <v>3518</v>
      </c>
      <c r="L20" s="34">
        <v>7500</v>
      </c>
      <c r="M20" s="34" t="s">
        <v>171</v>
      </c>
      <c r="N20" s="34" t="s">
        <v>4337</v>
      </c>
      <c r="O20" s="34" t="s">
        <v>321</v>
      </c>
      <c r="Q20" s="52">
        <f t="shared" si="0"/>
        <v>33</v>
      </c>
    </row>
    <row r="21" spans="1:17" x14ac:dyDescent="0.25">
      <c r="A21" s="34" t="s">
        <v>3837</v>
      </c>
      <c r="B21" s="34" t="s">
        <v>3838</v>
      </c>
      <c r="C21" s="35" t="s">
        <v>3839</v>
      </c>
      <c r="E21" s="50">
        <v>46075</v>
      </c>
      <c r="F21" s="34" t="s">
        <v>4496</v>
      </c>
      <c r="G21" s="34">
        <v>2108.11</v>
      </c>
      <c r="H21" s="34" t="s">
        <v>227</v>
      </c>
      <c r="I21" s="34" t="s">
        <v>3594</v>
      </c>
      <c r="J21" s="34" t="s">
        <v>47</v>
      </c>
      <c r="K21" s="35" t="s">
        <v>41</v>
      </c>
      <c r="L21" s="34">
        <v>1035</v>
      </c>
      <c r="M21" s="34" t="s">
        <v>171</v>
      </c>
      <c r="N21" s="34" t="s">
        <v>4337</v>
      </c>
      <c r="O21" s="34" t="s">
        <v>321</v>
      </c>
      <c r="Q21" s="52">
        <f t="shared" si="0"/>
        <v>45</v>
      </c>
    </row>
    <row r="22" spans="1:17" x14ac:dyDescent="0.25">
      <c r="A22" s="34" t="s">
        <v>3837</v>
      </c>
      <c r="B22" s="34" t="s">
        <v>3838</v>
      </c>
      <c r="C22" s="35" t="s">
        <v>3839</v>
      </c>
      <c r="E22" s="50">
        <v>46075</v>
      </c>
      <c r="F22" s="34" t="s">
        <v>3842</v>
      </c>
      <c r="G22" s="34">
        <v>13.25</v>
      </c>
      <c r="H22" s="34" t="s">
        <v>227</v>
      </c>
      <c r="I22" s="34" t="s">
        <v>3843</v>
      </c>
      <c r="J22" s="34" t="s">
        <v>3844</v>
      </c>
      <c r="K22" s="35" t="s">
        <v>595</v>
      </c>
      <c r="L22" s="34">
        <v>1035</v>
      </c>
      <c r="M22" s="34" t="s">
        <v>171</v>
      </c>
      <c r="N22" s="34" t="s">
        <v>4337</v>
      </c>
      <c r="O22" s="34" t="s">
        <v>321</v>
      </c>
      <c r="Q22" s="53">
        <f t="shared" si="0"/>
        <v>73</v>
      </c>
    </row>
    <row r="23" spans="1:17" x14ac:dyDescent="0.25">
      <c r="A23" s="34" t="s">
        <v>3837</v>
      </c>
      <c r="B23" s="34" t="s">
        <v>3838</v>
      </c>
      <c r="C23" s="35" t="s">
        <v>3839</v>
      </c>
      <c r="E23" s="50">
        <v>46066</v>
      </c>
      <c r="F23" s="34" t="s">
        <v>3840</v>
      </c>
      <c r="G23" s="34">
        <v>22.67</v>
      </c>
      <c r="H23" s="34" t="s">
        <v>227</v>
      </c>
      <c r="I23" s="34" t="s">
        <v>16</v>
      </c>
      <c r="J23" s="34" t="s">
        <v>1034</v>
      </c>
      <c r="K23" s="35" t="s">
        <v>1035</v>
      </c>
      <c r="L23" s="34">
        <v>7500</v>
      </c>
      <c r="M23" s="34" t="s">
        <v>171</v>
      </c>
      <c r="N23" s="34" t="s">
        <v>4337</v>
      </c>
      <c r="O23" s="34" t="s">
        <v>321</v>
      </c>
      <c r="Q23" s="52">
        <f t="shared" si="0"/>
        <v>39</v>
      </c>
    </row>
    <row r="24" spans="1:17" x14ac:dyDescent="0.25">
      <c r="A24" s="34" t="s">
        <v>3837</v>
      </c>
      <c r="B24" s="34" t="s">
        <v>3838</v>
      </c>
      <c r="C24" s="35" t="s">
        <v>3839</v>
      </c>
      <c r="E24" s="50">
        <v>46064</v>
      </c>
      <c r="F24" s="34" t="s">
        <v>3845</v>
      </c>
      <c r="G24" s="34">
        <v>83.01</v>
      </c>
      <c r="H24" s="34" t="s">
        <v>227</v>
      </c>
      <c r="I24" s="34" t="s">
        <v>16</v>
      </c>
      <c r="J24" s="34" t="s">
        <v>2158</v>
      </c>
      <c r="K24" s="35" t="s">
        <v>2177</v>
      </c>
      <c r="L24" s="34">
        <v>7501</v>
      </c>
      <c r="M24" s="34" t="s">
        <v>171</v>
      </c>
      <c r="N24" s="34" t="s">
        <v>4337</v>
      </c>
      <c r="O24" s="34" t="s">
        <v>321</v>
      </c>
      <c r="Q24" s="53">
        <f t="shared" si="0"/>
        <v>85</v>
      </c>
    </row>
    <row r="25" spans="1:17" x14ac:dyDescent="0.25">
      <c r="A25" s="34" t="s">
        <v>3837</v>
      </c>
      <c r="B25" s="34" t="s">
        <v>3838</v>
      </c>
      <c r="C25" s="35" t="s">
        <v>3839</v>
      </c>
      <c r="E25" s="50">
        <v>46063</v>
      </c>
      <c r="F25" s="34" t="s">
        <v>3846</v>
      </c>
      <c r="G25" s="34">
        <v>44.55</v>
      </c>
      <c r="H25" s="34" t="s">
        <v>227</v>
      </c>
      <c r="I25" s="34" t="s">
        <v>16</v>
      </c>
      <c r="J25" s="34" t="s">
        <v>1421</v>
      </c>
      <c r="K25" s="35" t="s">
        <v>4501</v>
      </c>
      <c r="L25" s="34">
        <v>7500</v>
      </c>
      <c r="M25" s="34" t="s">
        <v>171</v>
      </c>
      <c r="N25" s="34" t="s">
        <v>4337</v>
      </c>
      <c r="O25" s="34" t="s">
        <v>321</v>
      </c>
      <c r="Q25" s="52">
        <f t="shared" si="0"/>
        <v>52</v>
      </c>
    </row>
    <row r="26" spans="1:17" x14ac:dyDescent="0.25">
      <c r="A26" s="34" t="s">
        <v>3837</v>
      </c>
      <c r="B26" s="34" t="s">
        <v>3838</v>
      </c>
      <c r="C26" s="35" t="s">
        <v>3839</v>
      </c>
      <c r="E26" s="50">
        <v>46062</v>
      </c>
      <c r="F26" s="34" t="s">
        <v>4497</v>
      </c>
      <c r="G26" s="34">
        <v>849.81</v>
      </c>
      <c r="H26" s="34" t="s">
        <v>227</v>
      </c>
      <c r="I26" s="34" t="s">
        <v>3594</v>
      </c>
      <c r="J26" s="34" t="s">
        <v>41</v>
      </c>
      <c r="K26" s="35" t="s">
        <v>41</v>
      </c>
      <c r="L26" s="34">
        <v>1035</v>
      </c>
      <c r="M26" s="34" t="s">
        <v>171</v>
      </c>
      <c r="N26" s="34" t="s">
        <v>4337</v>
      </c>
      <c r="O26" s="34" t="s">
        <v>321</v>
      </c>
      <c r="Q26" s="52">
        <f t="shared" si="0"/>
        <v>41</v>
      </c>
    </row>
    <row r="27" spans="1:17" x14ac:dyDescent="0.25">
      <c r="A27" s="34" t="s">
        <v>3837</v>
      </c>
      <c r="B27" s="34" t="s">
        <v>3838</v>
      </c>
      <c r="C27" s="35" t="s">
        <v>3839</v>
      </c>
      <c r="E27" s="50">
        <v>46060</v>
      </c>
      <c r="F27" s="34" t="s">
        <v>3840</v>
      </c>
      <c r="G27" s="34">
        <v>24.33</v>
      </c>
      <c r="H27" s="34" t="s">
        <v>227</v>
      </c>
      <c r="I27" s="34" t="s">
        <v>16</v>
      </c>
      <c r="J27" s="34" t="s">
        <v>1034</v>
      </c>
      <c r="K27" s="35" t="s">
        <v>1035</v>
      </c>
      <c r="L27" s="34">
        <v>7500</v>
      </c>
      <c r="M27" s="34" t="s">
        <v>171</v>
      </c>
      <c r="N27" s="34" t="s">
        <v>4337</v>
      </c>
      <c r="O27" s="34" t="s">
        <v>321</v>
      </c>
      <c r="Q27" s="52">
        <f t="shared" si="0"/>
        <v>39</v>
      </c>
    </row>
    <row r="28" spans="1:17" x14ac:dyDescent="0.25">
      <c r="A28" s="34" t="s">
        <v>3837</v>
      </c>
      <c r="B28" s="34" t="s">
        <v>3838</v>
      </c>
      <c r="C28" s="35" t="s">
        <v>3839</v>
      </c>
      <c r="E28" s="50">
        <v>46060</v>
      </c>
      <c r="F28" s="34" t="s">
        <v>3848</v>
      </c>
      <c r="G28" s="34">
        <v>59.52</v>
      </c>
      <c r="H28" s="34" t="s">
        <v>227</v>
      </c>
      <c r="I28" s="34" t="s">
        <v>3822</v>
      </c>
      <c r="J28" s="34" t="s">
        <v>3849</v>
      </c>
      <c r="K28" s="35" t="s">
        <v>1922</v>
      </c>
      <c r="L28" s="34">
        <v>7500</v>
      </c>
      <c r="M28" s="34" t="s">
        <v>171</v>
      </c>
      <c r="N28" s="34" t="s">
        <v>4337</v>
      </c>
      <c r="O28" s="34" t="s">
        <v>321</v>
      </c>
      <c r="Q28" s="52">
        <f t="shared" si="0"/>
        <v>44</v>
      </c>
    </row>
    <row r="29" spans="1:17" x14ac:dyDescent="0.25">
      <c r="A29" s="34" t="s">
        <v>3837</v>
      </c>
      <c r="B29" s="34" t="s">
        <v>3838</v>
      </c>
      <c r="C29" s="35" t="s">
        <v>3839</v>
      </c>
      <c r="E29" s="50">
        <v>46062</v>
      </c>
      <c r="F29" s="34" t="s">
        <v>4498</v>
      </c>
      <c r="G29" s="34">
        <v>30</v>
      </c>
      <c r="H29" s="34" t="s">
        <v>227</v>
      </c>
      <c r="I29" s="34" t="s">
        <v>3594</v>
      </c>
      <c r="J29" s="34" t="s">
        <v>30</v>
      </c>
      <c r="K29" s="35" t="s">
        <v>790</v>
      </c>
      <c r="L29" s="34">
        <v>1035</v>
      </c>
      <c r="M29" s="34" t="s">
        <v>171</v>
      </c>
      <c r="N29" s="34" t="s">
        <v>4337</v>
      </c>
      <c r="O29" s="34" t="s">
        <v>321</v>
      </c>
      <c r="Q29" s="52">
        <f t="shared" si="0"/>
        <v>50</v>
      </c>
    </row>
    <row r="30" spans="1:17" x14ac:dyDescent="0.25">
      <c r="A30" s="34" t="s">
        <v>3851</v>
      </c>
      <c r="B30" s="34" t="s">
        <v>3852</v>
      </c>
      <c r="C30" s="35" t="s">
        <v>3853</v>
      </c>
      <c r="E30" s="50">
        <v>46055</v>
      </c>
      <c r="F30" s="34" t="s">
        <v>3854</v>
      </c>
      <c r="G30" s="34">
        <v>-414.1</v>
      </c>
      <c r="H30" s="34" t="s">
        <v>227</v>
      </c>
      <c r="I30" s="34" t="s">
        <v>3594</v>
      </c>
      <c r="J30" s="34" t="s">
        <v>70</v>
      </c>
      <c r="K30" s="35" t="s">
        <v>601</v>
      </c>
      <c r="L30" s="34">
        <v>4263</v>
      </c>
      <c r="M30" s="34" t="s">
        <v>3855</v>
      </c>
      <c r="N30" s="34" t="s">
        <v>4337</v>
      </c>
      <c r="O30" s="34" t="s">
        <v>575</v>
      </c>
      <c r="Q30" s="52">
        <f t="shared" si="0"/>
        <v>55</v>
      </c>
    </row>
    <row r="31" spans="1:17" x14ac:dyDescent="0.25">
      <c r="A31" s="34" t="s">
        <v>3851</v>
      </c>
      <c r="B31" s="34" t="s">
        <v>3852</v>
      </c>
      <c r="C31" s="35" t="s">
        <v>3853</v>
      </c>
      <c r="E31" s="50">
        <v>46079</v>
      </c>
      <c r="F31" s="34" t="s">
        <v>3856</v>
      </c>
      <c r="G31" s="34">
        <v>1375</v>
      </c>
      <c r="H31" s="34" t="s">
        <v>227</v>
      </c>
      <c r="I31" s="34" t="s">
        <v>16</v>
      </c>
      <c r="J31" s="34" t="s">
        <v>938</v>
      </c>
      <c r="K31" s="35" t="s">
        <v>939</v>
      </c>
      <c r="L31" s="34">
        <v>6470</v>
      </c>
      <c r="M31" s="34" t="s">
        <v>3836</v>
      </c>
      <c r="N31" s="34" t="s">
        <v>4337</v>
      </c>
      <c r="O31" s="34" t="s">
        <v>575</v>
      </c>
      <c r="Q31" s="52">
        <f t="shared" si="0"/>
        <v>48</v>
      </c>
    </row>
    <row r="32" spans="1:17" x14ac:dyDescent="0.25">
      <c r="A32" s="34" t="s">
        <v>3851</v>
      </c>
      <c r="B32" s="34" t="s">
        <v>3852</v>
      </c>
      <c r="C32" s="35" t="s">
        <v>3853</v>
      </c>
      <c r="E32" s="50">
        <v>46085</v>
      </c>
      <c r="F32" s="34" t="s">
        <v>3857</v>
      </c>
      <c r="G32" s="34">
        <v>1056.52</v>
      </c>
      <c r="H32" s="34" t="s">
        <v>227</v>
      </c>
      <c r="I32" s="34" t="s">
        <v>3594</v>
      </c>
      <c r="J32" s="34" t="s">
        <v>29</v>
      </c>
      <c r="K32" s="35" t="s">
        <v>29</v>
      </c>
      <c r="L32" s="34">
        <v>6645</v>
      </c>
      <c r="M32" s="34" t="s">
        <v>3836</v>
      </c>
      <c r="N32" s="34" t="s">
        <v>4337</v>
      </c>
      <c r="O32" s="34" t="s">
        <v>575</v>
      </c>
      <c r="Q32" s="52">
        <f t="shared" si="0"/>
        <v>45</v>
      </c>
    </row>
    <row r="33" spans="1:17" x14ac:dyDescent="0.25">
      <c r="A33" s="34" t="s">
        <v>3851</v>
      </c>
      <c r="B33" s="34" t="s">
        <v>3852</v>
      </c>
      <c r="C33" s="35" t="s">
        <v>3853</v>
      </c>
      <c r="E33" s="50">
        <v>46063</v>
      </c>
      <c r="F33" s="34" t="s">
        <v>3858</v>
      </c>
      <c r="G33" s="34">
        <v>-1186.8399999999999</v>
      </c>
      <c r="H33" s="34" t="s">
        <v>227</v>
      </c>
      <c r="I33" s="34" t="s">
        <v>3594</v>
      </c>
      <c r="J33" s="34" t="s">
        <v>32</v>
      </c>
      <c r="K33" s="35" t="s">
        <v>29</v>
      </c>
      <c r="L33" s="34">
        <v>1035</v>
      </c>
      <c r="M33" s="34" t="s">
        <v>3836</v>
      </c>
      <c r="N33" s="34" t="s">
        <v>4337</v>
      </c>
      <c r="O33" s="34" t="s">
        <v>575</v>
      </c>
      <c r="Q33" s="52">
        <f t="shared" si="0"/>
        <v>50</v>
      </c>
    </row>
    <row r="34" spans="1:17" x14ac:dyDescent="0.25">
      <c r="A34" s="34" t="s">
        <v>3851</v>
      </c>
      <c r="B34" s="34" t="s">
        <v>3852</v>
      </c>
      <c r="C34" s="35" t="s">
        <v>3853</v>
      </c>
      <c r="E34" s="50">
        <v>46063</v>
      </c>
      <c r="F34" s="34" t="s">
        <v>3859</v>
      </c>
      <c r="G34" s="34">
        <v>-853.49</v>
      </c>
      <c r="H34" s="34" t="s">
        <v>227</v>
      </c>
      <c r="I34" s="34" t="s">
        <v>3594</v>
      </c>
      <c r="J34" s="34" t="s">
        <v>47</v>
      </c>
      <c r="K34" s="35" t="s">
        <v>41</v>
      </c>
      <c r="L34" s="34">
        <v>1035</v>
      </c>
      <c r="M34" s="34" t="s">
        <v>3836</v>
      </c>
      <c r="N34" s="34" t="s">
        <v>4337</v>
      </c>
      <c r="O34" s="34" t="s">
        <v>575</v>
      </c>
      <c r="Q34" s="52">
        <f t="shared" si="0"/>
        <v>36</v>
      </c>
    </row>
    <row r="35" spans="1:17" x14ac:dyDescent="0.25">
      <c r="A35" s="34" t="s">
        <v>3851</v>
      </c>
      <c r="B35" s="34" t="s">
        <v>3852</v>
      </c>
      <c r="C35" s="35" t="s">
        <v>3853</v>
      </c>
      <c r="E35" s="50">
        <v>46085</v>
      </c>
      <c r="F35" s="34" t="s">
        <v>3860</v>
      </c>
      <c r="G35" s="34">
        <v>30</v>
      </c>
      <c r="H35" s="34" t="s">
        <v>227</v>
      </c>
      <c r="I35" s="34" t="s">
        <v>3843</v>
      </c>
      <c r="J35" s="34" t="s">
        <v>30</v>
      </c>
      <c r="K35" s="35" t="s">
        <v>790</v>
      </c>
      <c r="L35" s="34">
        <v>6645</v>
      </c>
      <c r="M35" s="34" t="s">
        <v>3836</v>
      </c>
      <c r="N35" s="34" t="s">
        <v>4337</v>
      </c>
      <c r="O35" s="34" t="s">
        <v>575</v>
      </c>
      <c r="Q35" s="52">
        <f t="shared" si="0"/>
        <v>53</v>
      </c>
    </row>
    <row r="36" spans="1:17" x14ac:dyDescent="0.25">
      <c r="A36" s="34" t="s">
        <v>3851</v>
      </c>
      <c r="B36" s="34" t="s">
        <v>3852</v>
      </c>
      <c r="C36" s="35" t="s">
        <v>3853</v>
      </c>
      <c r="E36" s="50">
        <v>46057</v>
      </c>
      <c r="F36" s="34" t="s">
        <v>3861</v>
      </c>
      <c r="G36" s="34">
        <v>8.58</v>
      </c>
      <c r="H36" s="34" t="s">
        <v>227</v>
      </c>
      <c r="I36" s="34" t="s">
        <v>16</v>
      </c>
      <c r="J36" s="34" t="s">
        <v>2628</v>
      </c>
      <c r="K36" s="35" t="s">
        <v>2852</v>
      </c>
      <c r="L36" s="34">
        <v>4263</v>
      </c>
      <c r="M36" s="34" t="s">
        <v>3855</v>
      </c>
      <c r="N36" s="34" t="s">
        <v>4337</v>
      </c>
      <c r="O36" s="34" t="s">
        <v>575</v>
      </c>
      <c r="Q36" s="52">
        <f t="shared" si="0"/>
        <v>51</v>
      </c>
    </row>
    <row r="37" spans="1:17" x14ac:dyDescent="0.25">
      <c r="A37" s="34" t="s">
        <v>3851</v>
      </c>
      <c r="B37" s="34" t="s">
        <v>3852</v>
      </c>
      <c r="C37" s="35" t="s">
        <v>3853</v>
      </c>
      <c r="E37" s="50">
        <v>46057</v>
      </c>
      <c r="F37" s="34" t="s">
        <v>3862</v>
      </c>
      <c r="G37" s="34">
        <v>64.67</v>
      </c>
      <c r="H37" s="34" t="s">
        <v>227</v>
      </c>
      <c r="I37" s="34" t="s">
        <v>16</v>
      </c>
      <c r="J37" s="34" t="s">
        <v>2628</v>
      </c>
      <c r="K37" s="35" t="s">
        <v>2852</v>
      </c>
      <c r="L37" s="34">
        <v>6409</v>
      </c>
      <c r="M37" s="34" t="s">
        <v>3836</v>
      </c>
      <c r="N37" s="34" t="s">
        <v>4337</v>
      </c>
      <c r="O37" s="34" t="s">
        <v>575</v>
      </c>
      <c r="Q37" s="52">
        <f t="shared" si="0"/>
        <v>47</v>
      </c>
    </row>
    <row r="38" spans="1:17" x14ac:dyDescent="0.25">
      <c r="A38" s="34" t="s">
        <v>3851</v>
      </c>
      <c r="B38" s="34" t="s">
        <v>3852</v>
      </c>
      <c r="C38" s="35" t="s">
        <v>3853</v>
      </c>
      <c r="E38" s="50">
        <v>46057</v>
      </c>
      <c r="F38" s="34" t="s">
        <v>3862</v>
      </c>
      <c r="G38" s="34">
        <v>59.38</v>
      </c>
      <c r="H38" s="34" t="s">
        <v>227</v>
      </c>
      <c r="I38" s="34" t="s">
        <v>16</v>
      </c>
      <c r="J38" s="34" t="s">
        <v>2628</v>
      </c>
      <c r="K38" s="35" t="s">
        <v>2852</v>
      </c>
      <c r="L38" s="34">
        <v>6409</v>
      </c>
      <c r="M38" s="34" t="s">
        <v>3836</v>
      </c>
      <c r="N38" s="34" t="s">
        <v>4337</v>
      </c>
      <c r="O38" s="34" t="s">
        <v>575</v>
      </c>
      <c r="Q38" s="52">
        <f t="shared" si="0"/>
        <v>47</v>
      </c>
    </row>
    <row r="39" spans="1:17" x14ac:dyDescent="0.25">
      <c r="A39" s="34" t="s">
        <v>3851</v>
      </c>
      <c r="B39" s="34" t="s">
        <v>3852</v>
      </c>
      <c r="C39" s="35" t="s">
        <v>3853</v>
      </c>
      <c r="E39" s="50">
        <v>46057</v>
      </c>
      <c r="F39" s="34" t="s">
        <v>3863</v>
      </c>
      <c r="G39" s="34">
        <v>583.16</v>
      </c>
      <c r="H39" s="34" t="s">
        <v>227</v>
      </c>
      <c r="I39" s="34" t="s">
        <v>3864</v>
      </c>
      <c r="J39" s="34" t="s">
        <v>2628</v>
      </c>
      <c r="K39" s="35" t="s">
        <v>2852</v>
      </c>
      <c r="L39" s="34">
        <v>6409</v>
      </c>
      <c r="M39" s="34" t="s">
        <v>3836</v>
      </c>
      <c r="N39" s="34" t="s">
        <v>4337</v>
      </c>
      <c r="O39" s="34" t="s">
        <v>575</v>
      </c>
      <c r="Q39" s="52">
        <f t="shared" si="0"/>
        <v>51</v>
      </c>
    </row>
    <row r="40" spans="1:17" x14ac:dyDescent="0.25">
      <c r="A40" s="34" t="s">
        <v>3851</v>
      </c>
      <c r="B40" s="34" t="s">
        <v>3852</v>
      </c>
      <c r="C40" s="35" t="s">
        <v>3853</v>
      </c>
      <c r="E40" s="50">
        <v>46057</v>
      </c>
      <c r="F40" s="34" t="s">
        <v>3865</v>
      </c>
      <c r="G40" s="34">
        <v>1749.45</v>
      </c>
      <c r="H40" s="34" t="s">
        <v>227</v>
      </c>
      <c r="I40" s="34" t="s">
        <v>3864</v>
      </c>
      <c r="J40" s="34" t="s">
        <v>2628</v>
      </c>
      <c r="K40" s="35" t="s">
        <v>2852</v>
      </c>
      <c r="L40" s="34">
        <v>4263</v>
      </c>
      <c r="M40" s="34" t="s">
        <v>3855</v>
      </c>
      <c r="N40" s="34" t="s">
        <v>4337</v>
      </c>
      <c r="O40" s="34" t="s">
        <v>575</v>
      </c>
      <c r="Q40" s="52">
        <f t="shared" si="0"/>
        <v>47</v>
      </c>
    </row>
    <row r="41" spans="1:17" x14ac:dyDescent="0.25">
      <c r="A41" s="34" t="s">
        <v>3837</v>
      </c>
      <c r="B41" s="34" t="s">
        <v>3866</v>
      </c>
      <c r="C41" s="35" t="s">
        <v>3867</v>
      </c>
      <c r="E41" s="50">
        <v>46058</v>
      </c>
      <c r="F41" s="34" t="s">
        <v>3868</v>
      </c>
      <c r="G41" s="34">
        <v>214.12</v>
      </c>
      <c r="H41" s="34" t="s">
        <v>227</v>
      </c>
      <c r="I41" s="34" t="s">
        <v>21</v>
      </c>
      <c r="J41" s="34" t="s">
        <v>3025</v>
      </c>
      <c r="K41" s="35" t="s">
        <v>1098</v>
      </c>
      <c r="L41" s="34">
        <v>6454</v>
      </c>
      <c r="M41" s="34" t="s">
        <v>3836</v>
      </c>
      <c r="N41" s="34" t="s">
        <v>4337</v>
      </c>
      <c r="O41" s="34" t="s">
        <v>567</v>
      </c>
      <c r="Q41" s="52">
        <f t="shared" si="0"/>
        <v>50</v>
      </c>
    </row>
    <row r="42" spans="1:17" x14ac:dyDescent="0.25">
      <c r="A42" s="34" t="s">
        <v>3837</v>
      </c>
      <c r="B42" s="34" t="s">
        <v>3866</v>
      </c>
      <c r="C42" s="35" t="s">
        <v>3867</v>
      </c>
      <c r="E42" s="50">
        <v>46077</v>
      </c>
      <c r="F42" s="34" t="s">
        <v>3869</v>
      </c>
      <c r="G42" s="34">
        <v>41.97</v>
      </c>
      <c r="H42" s="34" t="s">
        <v>227</v>
      </c>
      <c r="I42" s="34" t="s">
        <v>21</v>
      </c>
      <c r="J42" s="34" t="s">
        <v>111</v>
      </c>
      <c r="K42" s="35" t="s">
        <v>239</v>
      </c>
      <c r="L42" s="34">
        <v>1035</v>
      </c>
      <c r="M42" s="34" t="s">
        <v>3836</v>
      </c>
      <c r="N42" s="34" t="s">
        <v>4337</v>
      </c>
      <c r="O42" s="34" t="s">
        <v>567</v>
      </c>
      <c r="Q42" s="52">
        <f t="shared" si="0"/>
        <v>36</v>
      </c>
    </row>
    <row r="43" spans="1:17" x14ac:dyDescent="0.25">
      <c r="A43" s="34" t="s">
        <v>3837</v>
      </c>
      <c r="B43" s="34" t="s">
        <v>3866</v>
      </c>
      <c r="C43" s="35" t="s">
        <v>3867</v>
      </c>
      <c r="E43" s="50">
        <v>46077</v>
      </c>
      <c r="F43" s="34" t="s">
        <v>3870</v>
      </c>
      <c r="G43" s="34">
        <v>828.28</v>
      </c>
      <c r="H43" s="34" t="s">
        <v>227</v>
      </c>
      <c r="I43" s="34" t="s">
        <v>16</v>
      </c>
      <c r="J43" s="34" t="s">
        <v>3871</v>
      </c>
      <c r="K43" s="35" t="s">
        <v>4342</v>
      </c>
      <c r="L43" s="34">
        <v>1035</v>
      </c>
      <c r="M43" s="34" t="s">
        <v>3836</v>
      </c>
      <c r="N43" s="34" t="s">
        <v>4337</v>
      </c>
      <c r="O43" s="34" t="s">
        <v>567</v>
      </c>
      <c r="Q43" s="52">
        <f t="shared" si="0"/>
        <v>37</v>
      </c>
    </row>
    <row r="44" spans="1:17" x14ac:dyDescent="0.25">
      <c r="A44" s="34" t="s">
        <v>3837</v>
      </c>
      <c r="B44" s="34" t="s">
        <v>3866</v>
      </c>
      <c r="C44" s="35" t="s">
        <v>3867</v>
      </c>
      <c r="E44" s="50">
        <v>46066</v>
      </c>
      <c r="F44" s="34" t="s">
        <v>3872</v>
      </c>
      <c r="G44" s="34">
        <v>214.12</v>
      </c>
      <c r="H44" s="34" t="s">
        <v>227</v>
      </c>
      <c r="I44" s="34" t="s">
        <v>21</v>
      </c>
      <c r="J44" s="34" t="s">
        <v>3025</v>
      </c>
      <c r="K44" s="35" t="s">
        <v>1098</v>
      </c>
      <c r="L44" s="34">
        <v>6961</v>
      </c>
      <c r="M44" s="34" t="s">
        <v>3836</v>
      </c>
      <c r="N44" s="34" t="s">
        <v>4337</v>
      </c>
      <c r="O44" s="34" t="s">
        <v>567</v>
      </c>
      <c r="Q44" s="52">
        <f t="shared" si="0"/>
        <v>56</v>
      </c>
    </row>
    <row r="45" spans="1:17" x14ac:dyDescent="0.25">
      <c r="A45" s="34" t="s">
        <v>3837</v>
      </c>
      <c r="B45" s="34" t="s">
        <v>3866</v>
      </c>
      <c r="C45" s="35" t="s">
        <v>3867</v>
      </c>
      <c r="E45" s="50">
        <v>46065</v>
      </c>
      <c r="F45" s="34" t="s">
        <v>3873</v>
      </c>
      <c r="G45" s="34">
        <v>214.12</v>
      </c>
      <c r="H45" s="34" t="s">
        <v>227</v>
      </c>
      <c r="I45" s="34" t="s">
        <v>21</v>
      </c>
      <c r="J45" s="34" t="s">
        <v>3025</v>
      </c>
      <c r="K45" s="35" t="s">
        <v>1098</v>
      </c>
      <c r="L45" s="34">
        <v>6456</v>
      </c>
      <c r="M45" s="34" t="s">
        <v>3836</v>
      </c>
      <c r="N45" s="34" t="s">
        <v>4337</v>
      </c>
      <c r="O45" s="34" t="s">
        <v>567</v>
      </c>
      <c r="Q45" s="52">
        <f t="shared" si="0"/>
        <v>53</v>
      </c>
    </row>
    <row r="46" spans="1:17" x14ac:dyDescent="0.25">
      <c r="A46" s="34" t="s">
        <v>3837</v>
      </c>
      <c r="B46" s="34" t="s">
        <v>3866</v>
      </c>
      <c r="C46" s="35" t="s">
        <v>3867</v>
      </c>
      <c r="E46" s="50">
        <v>46065</v>
      </c>
      <c r="F46" s="34" t="s">
        <v>3874</v>
      </c>
      <c r="G46" s="34">
        <v>640.41</v>
      </c>
      <c r="H46" s="34" t="s">
        <v>227</v>
      </c>
      <c r="I46" s="34" t="s">
        <v>16</v>
      </c>
      <c r="J46" s="34" t="s">
        <v>3026</v>
      </c>
      <c r="K46" s="35" t="s">
        <v>3057</v>
      </c>
      <c r="L46" s="34">
        <v>6961</v>
      </c>
      <c r="M46" s="34" t="s">
        <v>3836</v>
      </c>
      <c r="N46" s="34" t="s">
        <v>4337</v>
      </c>
      <c r="O46" s="34" t="s">
        <v>567</v>
      </c>
      <c r="Q46" s="52">
        <f t="shared" si="0"/>
        <v>55</v>
      </c>
    </row>
    <row r="47" spans="1:17" x14ac:dyDescent="0.25">
      <c r="A47" s="34" t="s">
        <v>3875</v>
      </c>
      <c r="B47" s="34" t="s">
        <v>3876</v>
      </c>
      <c r="C47" s="35" t="s">
        <v>3877</v>
      </c>
      <c r="E47" s="50">
        <v>46079</v>
      </c>
      <c r="F47" s="34" t="s">
        <v>3878</v>
      </c>
      <c r="G47" s="34">
        <v>0.02</v>
      </c>
      <c r="H47" s="34" t="s">
        <v>227</v>
      </c>
      <c r="I47" s="34" t="s">
        <v>3594</v>
      </c>
      <c r="J47" s="34" t="s">
        <v>3879</v>
      </c>
      <c r="K47" s="35" t="s">
        <v>601</v>
      </c>
      <c r="L47" s="34">
        <v>1035</v>
      </c>
      <c r="M47" s="34" t="s">
        <v>3836</v>
      </c>
      <c r="N47" s="34" t="s">
        <v>4337</v>
      </c>
      <c r="O47" s="34" t="s">
        <v>565</v>
      </c>
      <c r="Q47" s="52">
        <f t="shared" si="0"/>
        <v>40</v>
      </c>
    </row>
    <row r="48" spans="1:17" x14ac:dyDescent="0.25">
      <c r="A48" s="34" t="s">
        <v>3875</v>
      </c>
      <c r="B48" s="34" t="s">
        <v>3876</v>
      </c>
      <c r="C48" s="35" t="s">
        <v>3877</v>
      </c>
      <c r="E48" s="50">
        <v>46079</v>
      </c>
      <c r="F48" s="34" t="s">
        <v>3880</v>
      </c>
      <c r="G48" s="34">
        <v>30</v>
      </c>
      <c r="H48" s="34" t="s">
        <v>227</v>
      </c>
      <c r="I48" s="34" t="s">
        <v>3594</v>
      </c>
      <c r="J48" s="34" t="s">
        <v>30</v>
      </c>
      <c r="K48" s="35" t="s">
        <v>790</v>
      </c>
      <c r="L48" s="34">
        <v>1035</v>
      </c>
      <c r="M48" s="34" t="s">
        <v>3836</v>
      </c>
      <c r="N48" s="34" t="s">
        <v>4337</v>
      </c>
      <c r="O48" s="34" t="s">
        <v>565</v>
      </c>
      <c r="Q48" s="52">
        <f t="shared" si="0"/>
        <v>46</v>
      </c>
    </row>
    <row r="49" spans="1:17" x14ac:dyDescent="0.25">
      <c r="A49" s="34" t="s">
        <v>3875</v>
      </c>
      <c r="B49" s="34" t="s">
        <v>3876</v>
      </c>
      <c r="C49" s="35" t="s">
        <v>3877</v>
      </c>
      <c r="E49" s="50">
        <v>46079</v>
      </c>
      <c r="F49" s="34" t="s">
        <v>3881</v>
      </c>
      <c r="G49" s="34">
        <v>7.41</v>
      </c>
      <c r="H49" s="34" t="s">
        <v>227</v>
      </c>
      <c r="I49" s="34" t="s">
        <v>16</v>
      </c>
      <c r="J49" s="34" t="s">
        <v>3882</v>
      </c>
      <c r="K49" s="35" t="s">
        <v>4459</v>
      </c>
      <c r="L49" s="34">
        <v>6001</v>
      </c>
      <c r="M49" s="34" t="s">
        <v>3836</v>
      </c>
      <c r="N49" s="34" t="s">
        <v>4337</v>
      </c>
      <c r="O49" s="34" t="s">
        <v>565</v>
      </c>
      <c r="Q49" s="52">
        <f t="shared" si="0"/>
        <v>39</v>
      </c>
    </row>
    <row r="50" spans="1:17" x14ac:dyDescent="0.25">
      <c r="A50" s="34" t="s">
        <v>3875</v>
      </c>
      <c r="B50" s="34" t="s">
        <v>3876</v>
      </c>
      <c r="C50" s="35" t="s">
        <v>3877</v>
      </c>
      <c r="E50" s="50">
        <v>46076</v>
      </c>
      <c r="F50" s="34" t="s">
        <v>3883</v>
      </c>
      <c r="G50" s="34">
        <v>28.19</v>
      </c>
      <c r="H50" s="34" t="s">
        <v>227</v>
      </c>
      <c r="I50" s="34" t="s">
        <v>16</v>
      </c>
      <c r="J50" s="34" t="s">
        <v>3884</v>
      </c>
      <c r="K50" s="35" t="s">
        <v>4375</v>
      </c>
      <c r="L50" s="34">
        <v>1035</v>
      </c>
      <c r="M50" s="34" t="s">
        <v>3836</v>
      </c>
      <c r="N50" s="34" t="s">
        <v>4337</v>
      </c>
      <c r="O50" s="34" t="s">
        <v>565</v>
      </c>
      <c r="Q50" s="52">
        <f t="shared" si="0"/>
        <v>55</v>
      </c>
    </row>
    <row r="51" spans="1:17" x14ac:dyDescent="0.25">
      <c r="A51" s="34" t="s">
        <v>3875</v>
      </c>
      <c r="B51" s="34" t="s">
        <v>3876</v>
      </c>
      <c r="C51" s="35" t="s">
        <v>3877</v>
      </c>
      <c r="E51" s="50">
        <v>46075</v>
      </c>
      <c r="F51" s="34" t="s">
        <v>3881</v>
      </c>
      <c r="G51" s="34">
        <v>11.82</v>
      </c>
      <c r="H51" s="34" t="s">
        <v>227</v>
      </c>
      <c r="I51" s="34" t="s">
        <v>16</v>
      </c>
      <c r="J51" s="34" t="s">
        <v>220</v>
      </c>
      <c r="K51" s="35" t="s">
        <v>1015</v>
      </c>
      <c r="L51" s="34">
        <v>1035</v>
      </c>
      <c r="M51" s="34" t="s">
        <v>3836</v>
      </c>
      <c r="N51" s="34" t="s">
        <v>4337</v>
      </c>
      <c r="O51" s="34" t="s">
        <v>565</v>
      </c>
      <c r="Q51" s="52">
        <f t="shared" si="0"/>
        <v>43</v>
      </c>
    </row>
    <row r="52" spans="1:17" x14ac:dyDescent="0.25">
      <c r="A52" s="34" t="s">
        <v>3875</v>
      </c>
      <c r="B52" s="34" t="s">
        <v>3876</v>
      </c>
      <c r="C52" s="35" t="s">
        <v>3877</v>
      </c>
      <c r="E52" s="50">
        <v>46065</v>
      </c>
      <c r="F52" s="34" t="s">
        <v>3885</v>
      </c>
      <c r="G52" s="34">
        <v>68.98</v>
      </c>
      <c r="H52" s="34" t="s">
        <v>227</v>
      </c>
      <c r="I52" s="34" t="s">
        <v>21</v>
      </c>
      <c r="J52" s="34" t="s">
        <v>111</v>
      </c>
      <c r="K52" s="35" t="s">
        <v>239</v>
      </c>
      <c r="L52" s="34">
        <v>6448</v>
      </c>
      <c r="M52" s="34" t="s">
        <v>3836</v>
      </c>
      <c r="N52" s="34" t="s">
        <v>4337</v>
      </c>
      <c r="O52" s="34" t="s">
        <v>565</v>
      </c>
      <c r="Q52" s="52">
        <f t="shared" si="0"/>
        <v>64</v>
      </c>
    </row>
    <row r="53" spans="1:17" x14ac:dyDescent="0.25">
      <c r="A53" s="34" t="s">
        <v>3875</v>
      </c>
      <c r="B53" s="34" t="s">
        <v>3876</v>
      </c>
      <c r="C53" s="35" t="s">
        <v>3877</v>
      </c>
      <c r="E53" s="50">
        <v>46065</v>
      </c>
      <c r="F53" s="34" t="s">
        <v>3886</v>
      </c>
      <c r="G53" s="34">
        <v>26.94</v>
      </c>
      <c r="H53" s="34" t="s">
        <v>227</v>
      </c>
      <c r="I53" s="34" t="s">
        <v>21</v>
      </c>
      <c r="J53" s="34" t="s">
        <v>111</v>
      </c>
      <c r="K53" s="35" t="s">
        <v>239</v>
      </c>
      <c r="L53" s="34">
        <v>6448</v>
      </c>
      <c r="M53" s="34" t="s">
        <v>3836</v>
      </c>
      <c r="N53" s="34" t="s">
        <v>4337</v>
      </c>
      <c r="O53" s="34" t="s">
        <v>565</v>
      </c>
      <c r="Q53" s="52">
        <f t="shared" si="0"/>
        <v>56</v>
      </c>
    </row>
    <row r="54" spans="1:17" x14ac:dyDescent="0.25">
      <c r="A54" s="34" t="s">
        <v>3875</v>
      </c>
      <c r="B54" s="34" t="s">
        <v>3876</v>
      </c>
      <c r="C54" s="35" t="s">
        <v>3877</v>
      </c>
      <c r="E54" s="50">
        <v>46065</v>
      </c>
      <c r="F54" s="34" t="s">
        <v>3887</v>
      </c>
      <c r="G54" s="34">
        <v>637.32000000000005</v>
      </c>
      <c r="H54" s="34" t="s">
        <v>227</v>
      </c>
      <c r="I54" s="34" t="s">
        <v>3864</v>
      </c>
      <c r="J54" s="34" t="s">
        <v>226</v>
      </c>
      <c r="K54" s="35" t="s">
        <v>819</v>
      </c>
      <c r="L54" s="34">
        <v>6448</v>
      </c>
      <c r="M54" s="34" t="s">
        <v>3836</v>
      </c>
      <c r="N54" s="34" t="s">
        <v>4337</v>
      </c>
      <c r="O54" s="34" t="s">
        <v>565</v>
      </c>
      <c r="Q54" s="52">
        <f t="shared" si="0"/>
        <v>53</v>
      </c>
    </row>
    <row r="55" spans="1:17" x14ac:dyDescent="0.25">
      <c r="A55" s="34" t="s">
        <v>3875</v>
      </c>
      <c r="B55" s="34" t="s">
        <v>3876</v>
      </c>
      <c r="C55" s="35" t="s">
        <v>3877</v>
      </c>
      <c r="E55" s="50">
        <v>46065</v>
      </c>
      <c r="F55" s="34" t="s">
        <v>3888</v>
      </c>
      <c r="G55" s="34">
        <v>13.49</v>
      </c>
      <c r="H55" s="34" t="s">
        <v>227</v>
      </c>
      <c r="I55" s="34" t="s">
        <v>16</v>
      </c>
      <c r="J55" s="34" t="s">
        <v>1432</v>
      </c>
      <c r="K55" s="35" t="s">
        <v>1433</v>
      </c>
      <c r="L55" s="34">
        <v>6448</v>
      </c>
      <c r="M55" s="34" t="s">
        <v>3836</v>
      </c>
      <c r="N55" s="34" t="s">
        <v>4337</v>
      </c>
      <c r="O55" s="34" t="s">
        <v>565</v>
      </c>
      <c r="Q55" s="52">
        <f t="shared" si="0"/>
        <v>61</v>
      </c>
    </row>
    <row r="56" spans="1:17" x14ac:dyDescent="0.25">
      <c r="A56" s="34" t="s">
        <v>3875</v>
      </c>
      <c r="B56" s="34" t="s">
        <v>3876</v>
      </c>
      <c r="C56" s="35" t="s">
        <v>3877</v>
      </c>
      <c r="E56" s="50">
        <v>46064</v>
      </c>
      <c r="F56" s="34" t="s">
        <v>3889</v>
      </c>
      <c r="G56" s="34">
        <v>23.72</v>
      </c>
      <c r="H56" s="34" t="s">
        <v>227</v>
      </c>
      <c r="I56" s="34" t="s">
        <v>21</v>
      </c>
      <c r="J56" s="34" t="s">
        <v>111</v>
      </c>
      <c r="K56" s="35" t="s">
        <v>239</v>
      </c>
      <c r="L56" s="34">
        <v>6448</v>
      </c>
      <c r="M56" s="34" t="s">
        <v>3836</v>
      </c>
      <c r="N56" s="34" t="s">
        <v>4337</v>
      </c>
      <c r="O56" s="34" t="s">
        <v>565</v>
      </c>
      <c r="Q56" s="52">
        <f t="shared" si="0"/>
        <v>56</v>
      </c>
    </row>
    <row r="57" spans="1:17" x14ac:dyDescent="0.25">
      <c r="A57" s="34" t="s">
        <v>3875</v>
      </c>
      <c r="B57" s="34" t="s">
        <v>3876</v>
      </c>
      <c r="C57" s="35" t="s">
        <v>3877</v>
      </c>
      <c r="E57" s="50">
        <v>46064</v>
      </c>
      <c r="F57" s="34" t="s">
        <v>3886</v>
      </c>
      <c r="G57" s="34">
        <v>20.7</v>
      </c>
      <c r="H57" s="34" t="s">
        <v>227</v>
      </c>
      <c r="I57" s="34" t="s">
        <v>21</v>
      </c>
      <c r="J57" s="34" t="s">
        <v>111</v>
      </c>
      <c r="K57" s="35" t="s">
        <v>239</v>
      </c>
      <c r="L57" s="34">
        <v>6448</v>
      </c>
      <c r="M57" s="34" t="s">
        <v>3836</v>
      </c>
      <c r="N57" s="34" t="s">
        <v>4337</v>
      </c>
      <c r="O57" s="34" t="s">
        <v>565</v>
      </c>
      <c r="Q57" s="52">
        <f t="shared" si="0"/>
        <v>56</v>
      </c>
    </row>
    <row r="58" spans="1:17" x14ac:dyDescent="0.25">
      <c r="A58" s="34" t="s">
        <v>3875</v>
      </c>
      <c r="B58" s="34" t="s">
        <v>3876</v>
      </c>
      <c r="C58" s="35" t="s">
        <v>3877</v>
      </c>
      <c r="E58" s="50">
        <v>46064</v>
      </c>
      <c r="F58" s="34" t="s">
        <v>3890</v>
      </c>
      <c r="G58" s="34">
        <v>8.1999999999999993</v>
      </c>
      <c r="H58" s="34" t="s">
        <v>227</v>
      </c>
      <c r="I58" s="34" t="s">
        <v>16</v>
      </c>
      <c r="J58" s="34" t="s">
        <v>3891</v>
      </c>
      <c r="K58" s="35" t="s">
        <v>3214</v>
      </c>
      <c r="L58" s="34">
        <v>6448</v>
      </c>
      <c r="M58" s="34" t="s">
        <v>3836</v>
      </c>
      <c r="N58" s="34" t="s">
        <v>4337</v>
      </c>
      <c r="O58" s="34" t="s">
        <v>565</v>
      </c>
      <c r="Q58" s="52">
        <f t="shared" si="0"/>
        <v>63</v>
      </c>
    </row>
    <row r="59" spans="1:17" x14ac:dyDescent="0.25">
      <c r="A59" s="34" t="s">
        <v>3875</v>
      </c>
      <c r="B59" s="34" t="s">
        <v>3876</v>
      </c>
      <c r="C59" s="35" t="s">
        <v>3877</v>
      </c>
      <c r="E59" s="50">
        <v>46063</v>
      </c>
      <c r="F59" s="34" t="s">
        <v>3886</v>
      </c>
      <c r="G59" s="34">
        <v>25.99</v>
      </c>
      <c r="H59" s="34" t="s">
        <v>227</v>
      </c>
      <c r="I59" s="34" t="s">
        <v>21</v>
      </c>
      <c r="J59" s="34" t="s">
        <v>111</v>
      </c>
      <c r="K59" s="35" t="s">
        <v>239</v>
      </c>
      <c r="L59" s="34">
        <v>6448</v>
      </c>
      <c r="M59" s="34" t="s">
        <v>3836</v>
      </c>
      <c r="N59" s="34" t="s">
        <v>4337</v>
      </c>
      <c r="O59" s="34" t="s">
        <v>565</v>
      </c>
      <c r="Q59" s="52">
        <f t="shared" si="0"/>
        <v>56</v>
      </c>
    </row>
    <row r="60" spans="1:17" x14ac:dyDescent="0.25">
      <c r="A60" s="34" t="s">
        <v>3875</v>
      </c>
      <c r="B60" s="34" t="s">
        <v>3876</v>
      </c>
      <c r="C60" s="35" t="s">
        <v>3877</v>
      </c>
      <c r="E60" s="50">
        <v>46057</v>
      </c>
      <c r="F60" s="34" t="s">
        <v>3892</v>
      </c>
      <c r="G60" s="34">
        <v>17726.63</v>
      </c>
      <c r="H60" s="34" t="s">
        <v>227</v>
      </c>
      <c r="I60" s="34" t="s">
        <v>3594</v>
      </c>
      <c r="J60" s="34" t="s">
        <v>1844</v>
      </c>
      <c r="K60" s="35" t="s">
        <v>1844</v>
      </c>
      <c r="L60" s="34">
        <v>6915</v>
      </c>
      <c r="M60" s="34" t="s">
        <v>3836</v>
      </c>
      <c r="N60" s="34" t="s">
        <v>4337</v>
      </c>
      <c r="O60" s="34" t="s">
        <v>565</v>
      </c>
      <c r="Q60" s="52">
        <f t="shared" si="0"/>
        <v>54</v>
      </c>
    </row>
    <row r="61" spans="1:17" x14ac:dyDescent="0.25">
      <c r="A61" s="34" t="s">
        <v>3875</v>
      </c>
      <c r="B61" s="34" t="s">
        <v>3876</v>
      </c>
      <c r="C61" s="35" t="s">
        <v>3877</v>
      </c>
      <c r="E61" s="50">
        <v>46057</v>
      </c>
      <c r="F61" s="34" t="s">
        <v>3893</v>
      </c>
      <c r="G61" s="34">
        <v>45</v>
      </c>
      <c r="H61" s="34" t="s">
        <v>227</v>
      </c>
      <c r="I61" s="34" t="s">
        <v>3594</v>
      </c>
      <c r="J61" s="34" t="s">
        <v>30</v>
      </c>
      <c r="K61" s="35" t="s">
        <v>790</v>
      </c>
      <c r="L61" s="34">
        <v>6915</v>
      </c>
      <c r="M61" s="34" t="s">
        <v>3836</v>
      </c>
      <c r="N61" s="34" t="s">
        <v>4337</v>
      </c>
      <c r="O61" s="34" t="s">
        <v>565</v>
      </c>
      <c r="Q61" s="52">
        <f t="shared" si="0"/>
        <v>59</v>
      </c>
    </row>
    <row r="62" spans="1:17" x14ac:dyDescent="0.25">
      <c r="A62" s="34" t="s">
        <v>3875</v>
      </c>
      <c r="B62" s="34" t="s">
        <v>3876</v>
      </c>
      <c r="C62" s="35" t="s">
        <v>3877</v>
      </c>
      <c r="E62" s="50">
        <v>46084</v>
      </c>
      <c r="F62" s="34" t="s">
        <v>3894</v>
      </c>
      <c r="G62" s="34">
        <v>-2185.1999999999998</v>
      </c>
      <c r="H62" s="34" t="s">
        <v>227</v>
      </c>
      <c r="I62" s="34" t="s">
        <v>3594</v>
      </c>
      <c r="J62" s="34" t="s">
        <v>70</v>
      </c>
      <c r="K62" s="35" t="s">
        <v>601</v>
      </c>
      <c r="L62" s="34">
        <v>1035</v>
      </c>
      <c r="M62" s="34" t="s">
        <v>3836</v>
      </c>
      <c r="N62" s="34" t="s">
        <v>4337</v>
      </c>
      <c r="O62" s="34" t="s">
        <v>565</v>
      </c>
      <c r="Q62" s="52">
        <f t="shared" si="0"/>
        <v>43</v>
      </c>
    </row>
    <row r="63" spans="1:17" x14ac:dyDescent="0.25">
      <c r="A63" s="34" t="s">
        <v>3875</v>
      </c>
      <c r="B63" s="34" t="s">
        <v>3876</v>
      </c>
      <c r="C63" s="35" t="s">
        <v>3877</v>
      </c>
      <c r="E63" s="50">
        <v>46084</v>
      </c>
      <c r="F63" s="34" t="s">
        <v>3895</v>
      </c>
      <c r="G63" s="34">
        <v>956.41</v>
      </c>
      <c r="H63" s="34" t="s">
        <v>227</v>
      </c>
      <c r="I63" s="34" t="s">
        <v>3594</v>
      </c>
      <c r="J63" s="34" t="s">
        <v>32</v>
      </c>
      <c r="K63" s="35" t="s">
        <v>29</v>
      </c>
      <c r="L63" s="34">
        <v>1035</v>
      </c>
      <c r="M63" s="34" t="s">
        <v>3836</v>
      </c>
      <c r="N63" s="34" t="s">
        <v>4337</v>
      </c>
      <c r="O63" s="34" t="s">
        <v>565</v>
      </c>
      <c r="Q63" s="52">
        <f t="shared" si="0"/>
        <v>38</v>
      </c>
    </row>
    <row r="64" spans="1:17" x14ac:dyDescent="0.25">
      <c r="A64" s="34" t="s">
        <v>3875</v>
      </c>
      <c r="B64" s="34" t="s">
        <v>3876</v>
      </c>
      <c r="C64" s="35" t="s">
        <v>3877</v>
      </c>
      <c r="E64" s="50">
        <v>46084</v>
      </c>
      <c r="F64" s="34" t="s">
        <v>3897</v>
      </c>
      <c r="G64" s="34">
        <v>30</v>
      </c>
      <c r="H64" s="34" t="s">
        <v>227</v>
      </c>
      <c r="I64" s="34" t="s">
        <v>3594</v>
      </c>
      <c r="J64" s="34" t="s">
        <v>30</v>
      </c>
      <c r="K64" s="35" t="s">
        <v>790</v>
      </c>
      <c r="L64" s="34">
        <v>1035</v>
      </c>
      <c r="M64" s="34" t="s">
        <v>3836</v>
      </c>
      <c r="N64" s="34" t="s">
        <v>4337</v>
      </c>
      <c r="O64" s="34" t="s">
        <v>565</v>
      </c>
      <c r="Q64" s="52">
        <f t="shared" si="0"/>
        <v>46</v>
      </c>
    </row>
    <row r="65" spans="1:17" x14ac:dyDescent="0.25">
      <c r="A65" s="34" t="s">
        <v>3875</v>
      </c>
      <c r="B65" s="34" t="s">
        <v>3876</v>
      </c>
      <c r="C65" s="35" t="s">
        <v>3877</v>
      </c>
      <c r="E65" s="50">
        <v>46086</v>
      </c>
      <c r="F65" s="34" t="s">
        <v>3898</v>
      </c>
      <c r="G65" s="34">
        <v>30</v>
      </c>
      <c r="H65" s="34" t="s">
        <v>227</v>
      </c>
      <c r="I65" s="34" t="s">
        <v>3594</v>
      </c>
      <c r="J65" s="34" t="s">
        <v>30</v>
      </c>
      <c r="K65" s="35" t="s">
        <v>790</v>
      </c>
      <c r="L65" s="34">
        <v>6448</v>
      </c>
      <c r="M65" s="34" t="s">
        <v>3836</v>
      </c>
      <c r="N65" s="34" t="s">
        <v>4337</v>
      </c>
      <c r="O65" s="34" t="s">
        <v>565</v>
      </c>
      <c r="Q65" s="52">
        <f t="shared" si="0"/>
        <v>61</v>
      </c>
    </row>
    <row r="66" spans="1:17" x14ac:dyDescent="0.25">
      <c r="A66" s="34" t="s">
        <v>3875</v>
      </c>
      <c r="B66" s="34" t="s">
        <v>3876</v>
      </c>
      <c r="C66" s="35" t="s">
        <v>3877</v>
      </c>
      <c r="E66" s="50">
        <v>46086</v>
      </c>
      <c r="F66" s="34" t="s">
        <v>3899</v>
      </c>
      <c r="G66" s="34">
        <v>30</v>
      </c>
      <c r="H66" s="34" t="s">
        <v>227</v>
      </c>
      <c r="I66" s="34" t="s">
        <v>3594</v>
      </c>
      <c r="J66" s="34" t="s">
        <v>30</v>
      </c>
      <c r="K66" s="35" t="s">
        <v>790</v>
      </c>
      <c r="L66" s="34">
        <v>1008</v>
      </c>
      <c r="M66" s="34" t="s">
        <v>3836</v>
      </c>
      <c r="N66" s="34" t="s">
        <v>4337</v>
      </c>
      <c r="O66" s="34" t="s">
        <v>565</v>
      </c>
      <c r="Q66" s="52">
        <f t="shared" si="0"/>
        <v>26</v>
      </c>
    </row>
    <row r="67" spans="1:17" x14ac:dyDescent="0.25">
      <c r="A67" s="34" t="s">
        <v>3875</v>
      </c>
      <c r="B67" s="34" t="s">
        <v>3876</v>
      </c>
      <c r="C67" s="35" t="s">
        <v>3877</v>
      </c>
      <c r="E67" s="50">
        <v>46086</v>
      </c>
      <c r="F67" s="34" t="s">
        <v>3900</v>
      </c>
      <c r="G67" s="34">
        <v>591.4</v>
      </c>
      <c r="H67" s="34" t="s">
        <v>227</v>
      </c>
      <c r="I67" s="34" t="s">
        <v>3594</v>
      </c>
      <c r="J67" s="34" t="s">
        <v>1071</v>
      </c>
      <c r="K67" s="35" t="s">
        <v>1072</v>
      </c>
      <c r="L67" s="34">
        <v>6448</v>
      </c>
      <c r="M67" s="34" t="s">
        <v>3836</v>
      </c>
      <c r="N67" s="34" t="s">
        <v>4337</v>
      </c>
      <c r="O67" s="34" t="s">
        <v>565</v>
      </c>
      <c r="Q67" s="52">
        <f t="shared" ref="Q67:Q130" si="1">LEN(F67&amp;K67)+12</f>
        <v>56</v>
      </c>
    </row>
    <row r="68" spans="1:17" x14ac:dyDescent="0.25">
      <c r="A68" s="34" t="s">
        <v>3875</v>
      </c>
      <c r="B68" s="34" t="s">
        <v>3876</v>
      </c>
      <c r="C68" s="35" t="s">
        <v>3877</v>
      </c>
      <c r="E68" s="50">
        <v>46086</v>
      </c>
      <c r="F68" s="34" t="s">
        <v>3899</v>
      </c>
      <c r="G68" s="34">
        <v>293.39999999999998</v>
      </c>
      <c r="H68" s="34" t="s">
        <v>227</v>
      </c>
      <c r="I68" s="34" t="s">
        <v>3594</v>
      </c>
      <c r="J68" s="34" t="s">
        <v>32</v>
      </c>
      <c r="K68" s="35" t="s">
        <v>29</v>
      </c>
      <c r="L68" s="34">
        <v>1008</v>
      </c>
      <c r="M68" s="34" t="s">
        <v>3836</v>
      </c>
      <c r="N68" s="34" t="s">
        <v>4337</v>
      </c>
      <c r="O68" s="34" t="s">
        <v>565</v>
      </c>
      <c r="Q68" s="52">
        <f t="shared" si="1"/>
        <v>26</v>
      </c>
    </row>
    <row r="69" spans="1:17" x14ac:dyDescent="0.25">
      <c r="A69" s="34" t="s">
        <v>3875</v>
      </c>
      <c r="B69" s="34" t="s">
        <v>3876</v>
      </c>
      <c r="C69" s="35" t="s">
        <v>3877</v>
      </c>
      <c r="E69" s="50">
        <v>46070</v>
      </c>
      <c r="F69" s="34" t="s">
        <v>3902</v>
      </c>
      <c r="G69" s="34">
        <v>19.440000000000001</v>
      </c>
      <c r="H69" s="34" t="s">
        <v>227</v>
      </c>
      <c r="I69" s="34" t="s">
        <v>16</v>
      </c>
      <c r="J69" s="34" t="s">
        <v>3903</v>
      </c>
      <c r="K69" s="35" t="s">
        <v>918</v>
      </c>
      <c r="L69" s="34">
        <v>6915</v>
      </c>
      <c r="M69" s="34" t="s">
        <v>3836</v>
      </c>
      <c r="N69" s="34" t="s">
        <v>4337</v>
      </c>
      <c r="O69" s="34" t="s">
        <v>565</v>
      </c>
      <c r="Q69" s="52">
        <f t="shared" si="1"/>
        <v>45</v>
      </c>
    </row>
    <row r="70" spans="1:17" x14ac:dyDescent="0.25">
      <c r="A70" s="34" t="s">
        <v>3875</v>
      </c>
      <c r="B70" s="34" t="s">
        <v>3876</v>
      </c>
      <c r="C70" s="35" t="s">
        <v>3877</v>
      </c>
      <c r="E70" s="50">
        <v>46070</v>
      </c>
      <c r="F70" s="34" t="s">
        <v>3904</v>
      </c>
      <c r="G70" s="34">
        <v>225.93</v>
      </c>
      <c r="H70" s="34" t="s">
        <v>227</v>
      </c>
      <c r="I70" s="34" t="s">
        <v>3864</v>
      </c>
      <c r="J70" s="34" t="s">
        <v>3903</v>
      </c>
      <c r="K70" s="35" t="s">
        <v>918</v>
      </c>
      <c r="L70" s="34">
        <v>6915</v>
      </c>
      <c r="M70" s="34" t="s">
        <v>3836</v>
      </c>
      <c r="N70" s="34" t="s">
        <v>4337</v>
      </c>
      <c r="O70" s="34" t="s">
        <v>565</v>
      </c>
      <c r="Q70" s="52">
        <f t="shared" si="1"/>
        <v>41</v>
      </c>
    </row>
    <row r="71" spans="1:17" x14ac:dyDescent="0.25">
      <c r="A71" s="34" t="s">
        <v>3905</v>
      </c>
      <c r="B71" s="34" t="s">
        <v>3906</v>
      </c>
      <c r="C71" s="35" t="s">
        <v>3907</v>
      </c>
      <c r="E71" s="50">
        <v>46057</v>
      </c>
      <c r="F71" s="34" t="s">
        <v>3908</v>
      </c>
      <c r="G71" s="34">
        <v>2119.2600000000002</v>
      </c>
      <c r="H71" s="34" t="s">
        <v>227</v>
      </c>
      <c r="I71" s="34" t="s">
        <v>3864</v>
      </c>
      <c r="J71" s="34" t="s">
        <v>3660</v>
      </c>
      <c r="K71" s="35" t="s">
        <v>2004</v>
      </c>
      <c r="L71" s="34">
        <v>1001</v>
      </c>
      <c r="M71" s="34" t="s">
        <v>3909</v>
      </c>
      <c r="N71" s="34" t="s">
        <v>4337</v>
      </c>
      <c r="O71" s="34" t="s">
        <v>457</v>
      </c>
      <c r="Q71" s="52">
        <f t="shared" si="1"/>
        <v>62</v>
      </c>
    </row>
    <row r="72" spans="1:17" x14ac:dyDescent="0.25">
      <c r="A72" s="34" t="s">
        <v>3905</v>
      </c>
      <c r="B72" s="34" t="s">
        <v>3906</v>
      </c>
      <c r="C72" s="35" t="s">
        <v>3907</v>
      </c>
      <c r="E72" s="50">
        <v>46058</v>
      </c>
      <c r="F72" s="34" t="s">
        <v>3593</v>
      </c>
      <c r="G72" s="34">
        <v>254.52</v>
      </c>
      <c r="H72" s="34" t="s">
        <v>227</v>
      </c>
      <c r="I72" s="34" t="s">
        <v>21</v>
      </c>
      <c r="J72" s="34" t="s">
        <v>111</v>
      </c>
      <c r="K72" s="35" t="s">
        <v>239</v>
      </c>
      <c r="L72" s="34">
        <v>1001</v>
      </c>
      <c r="M72" s="34" t="s">
        <v>3909</v>
      </c>
      <c r="N72" s="34" t="s">
        <v>4337</v>
      </c>
      <c r="O72" s="34" t="s">
        <v>457</v>
      </c>
      <c r="Q72" s="52">
        <f t="shared" si="1"/>
        <v>40</v>
      </c>
    </row>
    <row r="73" spans="1:17" x14ac:dyDescent="0.25">
      <c r="A73" s="34" t="s">
        <v>3905</v>
      </c>
      <c r="B73" s="34" t="s">
        <v>3906</v>
      </c>
      <c r="C73" s="35" t="s">
        <v>3907</v>
      </c>
      <c r="E73" s="50">
        <v>46061</v>
      </c>
      <c r="F73" s="34" t="s">
        <v>3910</v>
      </c>
      <c r="G73" s="34">
        <v>150.08000000000001</v>
      </c>
      <c r="H73" s="34" t="s">
        <v>227</v>
      </c>
      <c r="I73" s="34" t="s">
        <v>21</v>
      </c>
      <c r="J73" s="34" t="s">
        <v>63</v>
      </c>
      <c r="K73" s="35" t="s">
        <v>1096</v>
      </c>
      <c r="L73" s="34">
        <v>1001</v>
      </c>
      <c r="M73" s="34" t="s">
        <v>3909</v>
      </c>
      <c r="N73" s="34" t="s">
        <v>4337</v>
      </c>
      <c r="O73" s="34" t="s">
        <v>457</v>
      </c>
      <c r="Q73" s="52">
        <f t="shared" si="1"/>
        <v>62</v>
      </c>
    </row>
    <row r="74" spans="1:17" x14ac:dyDescent="0.25">
      <c r="A74" s="34" t="s">
        <v>3905</v>
      </c>
      <c r="B74" s="34" t="s">
        <v>3906</v>
      </c>
      <c r="C74" s="35" t="s">
        <v>3907</v>
      </c>
      <c r="E74" s="50">
        <v>46061</v>
      </c>
      <c r="F74" s="34" t="s">
        <v>3911</v>
      </c>
      <c r="G74" s="34">
        <v>150.08000000000001</v>
      </c>
      <c r="H74" s="34" t="s">
        <v>227</v>
      </c>
      <c r="I74" s="34" t="s">
        <v>21</v>
      </c>
      <c r="J74" s="34" t="s">
        <v>63</v>
      </c>
      <c r="K74" s="35" t="s">
        <v>1096</v>
      </c>
      <c r="L74" s="34">
        <v>1001</v>
      </c>
      <c r="M74" s="34" t="s">
        <v>3909</v>
      </c>
      <c r="N74" s="34" t="s">
        <v>4337</v>
      </c>
      <c r="O74" s="34" t="s">
        <v>457</v>
      </c>
      <c r="Q74" s="52">
        <f t="shared" si="1"/>
        <v>62</v>
      </c>
    </row>
    <row r="75" spans="1:17" x14ac:dyDescent="0.25">
      <c r="A75" s="34" t="s">
        <v>3905</v>
      </c>
      <c r="B75" s="34" t="s">
        <v>3906</v>
      </c>
      <c r="C75" s="35" t="s">
        <v>3907</v>
      </c>
      <c r="E75" s="50">
        <v>46063</v>
      </c>
      <c r="F75" s="34" t="s">
        <v>3912</v>
      </c>
      <c r="G75" s="34">
        <v>-2892.37</v>
      </c>
      <c r="H75" s="34" t="s">
        <v>227</v>
      </c>
      <c r="I75" s="34" t="s">
        <v>3594</v>
      </c>
      <c r="J75" s="34" t="s">
        <v>32</v>
      </c>
      <c r="K75" s="35" t="s">
        <v>29</v>
      </c>
      <c r="L75" s="34">
        <v>1035</v>
      </c>
      <c r="M75" s="34" t="s">
        <v>3909</v>
      </c>
      <c r="N75" s="34" t="s">
        <v>4337</v>
      </c>
      <c r="O75" s="34" t="s">
        <v>457</v>
      </c>
      <c r="Q75" s="52">
        <f t="shared" si="1"/>
        <v>37</v>
      </c>
    </row>
    <row r="76" spans="1:17" x14ac:dyDescent="0.25">
      <c r="A76" s="34" t="s">
        <v>3905</v>
      </c>
      <c r="B76" s="34" t="s">
        <v>3906</v>
      </c>
      <c r="C76" s="35" t="s">
        <v>3907</v>
      </c>
      <c r="E76" s="50">
        <v>46063</v>
      </c>
      <c r="F76" s="34" t="s">
        <v>3593</v>
      </c>
      <c r="G76" s="34">
        <v>249.57</v>
      </c>
      <c r="H76" s="34" t="s">
        <v>227</v>
      </c>
      <c r="I76" s="34" t="s">
        <v>21</v>
      </c>
      <c r="J76" s="34" t="s">
        <v>111</v>
      </c>
      <c r="K76" s="35" t="s">
        <v>239</v>
      </c>
      <c r="L76" s="34">
        <v>1001</v>
      </c>
      <c r="M76" s="34" t="s">
        <v>3909</v>
      </c>
      <c r="N76" s="34" t="s">
        <v>4337</v>
      </c>
      <c r="O76" s="34" t="s">
        <v>457</v>
      </c>
      <c r="Q76" s="52">
        <f t="shared" si="1"/>
        <v>40</v>
      </c>
    </row>
    <row r="77" spans="1:17" x14ac:dyDescent="0.25">
      <c r="A77" s="34" t="s">
        <v>3905</v>
      </c>
      <c r="B77" s="34" t="s">
        <v>3906</v>
      </c>
      <c r="C77" s="35" t="s">
        <v>3907</v>
      </c>
      <c r="E77" s="50">
        <v>46071</v>
      </c>
      <c r="F77" s="34" t="s">
        <v>3913</v>
      </c>
      <c r="G77" s="34">
        <v>71.31</v>
      </c>
      <c r="H77" s="34" t="s">
        <v>227</v>
      </c>
      <c r="I77" s="34" t="s">
        <v>21</v>
      </c>
      <c r="J77" s="34" t="s">
        <v>111</v>
      </c>
      <c r="K77" s="35" t="s">
        <v>239</v>
      </c>
      <c r="L77" s="34">
        <v>1001</v>
      </c>
      <c r="M77" s="34" t="s">
        <v>3909</v>
      </c>
      <c r="N77" s="34" t="s">
        <v>4337</v>
      </c>
      <c r="O77" s="34" t="s">
        <v>457</v>
      </c>
      <c r="Q77" s="52">
        <f t="shared" si="1"/>
        <v>55</v>
      </c>
    </row>
    <row r="78" spans="1:17" x14ac:dyDescent="0.25">
      <c r="A78" s="34" t="s">
        <v>3905</v>
      </c>
      <c r="B78" s="34" t="s">
        <v>3906</v>
      </c>
      <c r="C78" s="35" t="s">
        <v>3907</v>
      </c>
      <c r="E78" s="50">
        <v>46071</v>
      </c>
      <c r="F78" s="34" t="s">
        <v>3914</v>
      </c>
      <c r="G78" s="34">
        <v>233.96</v>
      </c>
      <c r="H78" s="34" t="s">
        <v>227</v>
      </c>
      <c r="I78" s="34" t="s">
        <v>21</v>
      </c>
      <c r="J78" s="34" t="s">
        <v>111</v>
      </c>
      <c r="K78" s="35" t="s">
        <v>239</v>
      </c>
      <c r="L78" s="34">
        <v>1001</v>
      </c>
      <c r="M78" s="34" t="s">
        <v>3909</v>
      </c>
      <c r="N78" s="34" t="s">
        <v>4337</v>
      </c>
      <c r="O78" s="34" t="s">
        <v>457</v>
      </c>
      <c r="Q78" s="52">
        <f t="shared" si="1"/>
        <v>53</v>
      </c>
    </row>
    <row r="79" spans="1:17" x14ac:dyDescent="0.25">
      <c r="A79" s="34" t="s">
        <v>3905</v>
      </c>
      <c r="B79" s="34" t="s">
        <v>3906</v>
      </c>
      <c r="C79" s="35" t="s">
        <v>3907</v>
      </c>
      <c r="E79" s="50">
        <v>46084</v>
      </c>
      <c r="F79" s="34" t="s">
        <v>3593</v>
      </c>
      <c r="G79" s="34">
        <v>279.20999999999998</v>
      </c>
      <c r="H79" s="34" t="s">
        <v>227</v>
      </c>
      <c r="I79" s="34" t="s">
        <v>21</v>
      </c>
      <c r="J79" s="34" t="s">
        <v>111</v>
      </c>
      <c r="K79" s="35" t="s">
        <v>239</v>
      </c>
      <c r="L79" s="34">
        <v>1001</v>
      </c>
      <c r="M79" s="34" t="s">
        <v>3909</v>
      </c>
      <c r="N79" s="34" t="s">
        <v>4337</v>
      </c>
      <c r="O79" s="34" t="s">
        <v>457</v>
      </c>
      <c r="Q79" s="52">
        <f t="shared" si="1"/>
        <v>40</v>
      </c>
    </row>
    <row r="80" spans="1:17" x14ac:dyDescent="0.25">
      <c r="A80" s="34" t="s">
        <v>3905</v>
      </c>
      <c r="B80" s="34" t="s">
        <v>3906</v>
      </c>
      <c r="C80" s="35" t="s">
        <v>3907</v>
      </c>
      <c r="E80" s="50">
        <v>46085</v>
      </c>
      <c r="F80" s="34" t="s">
        <v>3593</v>
      </c>
      <c r="G80" s="34">
        <v>269.58</v>
      </c>
      <c r="H80" s="34" t="s">
        <v>227</v>
      </c>
      <c r="I80" s="34" t="s">
        <v>21</v>
      </c>
      <c r="J80" s="34" t="s">
        <v>111</v>
      </c>
      <c r="K80" s="35" t="s">
        <v>239</v>
      </c>
      <c r="L80" s="34">
        <v>1001</v>
      </c>
      <c r="M80" s="34" t="s">
        <v>3909</v>
      </c>
      <c r="N80" s="34" t="s">
        <v>4337</v>
      </c>
      <c r="O80" s="34" t="s">
        <v>457</v>
      </c>
      <c r="Q80" s="52">
        <f t="shared" si="1"/>
        <v>40</v>
      </c>
    </row>
    <row r="81" spans="1:17" x14ac:dyDescent="0.25">
      <c r="A81" s="34" t="s">
        <v>3905</v>
      </c>
      <c r="B81" s="34" t="s">
        <v>3906</v>
      </c>
      <c r="C81" s="35" t="s">
        <v>3907</v>
      </c>
      <c r="E81" s="50">
        <v>46087</v>
      </c>
      <c r="F81" s="34" t="s">
        <v>3593</v>
      </c>
      <c r="G81" s="34">
        <v>248.8</v>
      </c>
      <c r="H81" s="34" t="s">
        <v>227</v>
      </c>
      <c r="I81" s="34" t="s">
        <v>21</v>
      </c>
      <c r="J81" s="34" t="s">
        <v>111</v>
      </c>
      <c r="K81" s="35" t="s">
        <v>239</v>
      </c>
      <c r="L81" s="34">
        <v>1001</v>
      </c>
      <c r="M81" s="34" t="s">
        <v>3909</v>
      </c>
      <c r="N81" s="34" t="s">
        <v>4337</v>
      </c>
      <c r="O81" s="34" t="s">
        <v>457</v>
      </c>
      <c r="Q81" s="52">
        <f t="shared" si="1"/>
        <v>40</v>
      </c>
    </row>
    <row r="82" spans="1:17" x14ac:dyDescent="0.25">
      <c r="A82" s="34" t="s">
        <v>3915</v>
      </c>
      <c r="B82" s="34" t="s">
        <v>3916</v>
      </c>
      <c r="C82" s="35" t="s">
        <v>3917</v>
      </c>
      <c r="E82" s="50">
        <v>46082</v>
      </c>
      <c r="F82" s="34" t="s">
        <v>3899</v>
      </c>
      <c r="G82" s="34">
        <v>237.44</v>
      </c>
      <c r="H82" s="34" t="s">
        <v>227</v>
      </c>
      <c r="I82" s="34" t="s">
        <v>21</v>
      </c>
      <c r="J82" s="34" t="s">
        <v>738</v>
      </c>
      <c r="K82" s="35" t="s">
        <v>739</v>
      </c>
      <c r="L82" s="34">
        <v>1008</v>
      </c>
      <c r="M82" s="34" t="s">
        <v>3855</v>
      </c>
      <c r="N82" s="34" t="s">
        <v>4337</v>
      </c>
      <c r="O82" s="34" t="s">
        <v>301</v>
      </c>
      <c r="Q82" s="52">
        <f t="shared" si="1"/>
        <v>26</v>
      </c>
    </row>
    <row r="83" spans="1:17" x14ac:dyDescent="0.25">
      <c r="A83" s="34" t="s">
        <v>3915</v>
      </c>
      <c r="B83" s="34" t="s">
        <v>3916</v>
      </c>
      <c r="C83" s="35" t="s">
        <v>3917</v>
      </c>
      <c r="E83" s="50">
        <v>46080</v>
      </c>
      <c r="F83" s="34" t="s">
        <v>3918</v>
      </c>
      <c r="G83" s="34">
        <v>763.83</v>
      </c>
      <c r="H83" s="34" t="s">
        <v>227</v>
      </c>
      <c r="I83" s="34" t="s">
        <v>16</v>
      </c>
      <c r="J83" s="34" t="s">
        <v>3124</v>
      </c>
      <c r="K83" s="35" t="s">
        <v>1533</v>
      </c>
      <c r="L83" s="34">
        <v>4246</v>
      </c>
      <c r="M83" s="34" t="s">
        <v>3855</v>
      </c>
      <c r="N83" s="34" t="s">
        <v>4337</v>
      </c>
      <c r="O83" s="34" t="s">
        <v>301</v>
      </c>
      <c r="Q83" s="52">
        <f t="shared" si="1"/>
        <v>47</v>
      </c>
    </row>
    <row r="84" spans="1:17" x14ac:dyDescent="0.25">
      <c r="A84" s="34" t="s">
        <v>3915</v>
      </c>
      <c r="B84" s="34" t="s">
        <v>3916</v>
      </c>
      <c r="C84" s="35" t="s">
        <v>3917</v>
      </c>
      <c r="E84" s="50">
        <v>46080</v>
      </c>
      <c r="F84" s="34" t="s">
        <v>3919</v>
      </c>
      <c r="G84" s="34">
        <v>987.43</v>
      </c>
      <c r="H84" s="34" t="s">
        <v>227</v>
      </c>
      <c r="I84" s="34" t="s">
        <v>16</v>
      </c>
      <c r="J84" s="34" t="s">
        <v>3920</v>
      </c>
      <c r="K84" s="35" t="s">
        <v>677</v>
      </c>
      <c r="L84" s="34">
        <v>4246</v>
      </c>
      <c r="M84" s="34" t="s">
        <v>3855</v>
      </c>
      <c r="N84" s="34" t="s">
        <v>4337</v>
      </c>
      <c r="O84" s="34" t="s">
        <v>301</v>
      </c>
      <c r="Q84" s="52">
        <f t="shared" si="1"/>
        <v>57</v>
      </c>
    </row>
    <row r="85" spans="1:17" x14ac:dyDescent="0.25">
      <c r="A85" s="34" t="s">
        <v>3915</v>
      </c>
      <c r="B85" s="34" t="s">
        <v>3916</v>
      </c>
      <c r="C85" s="35" t="s">
        <v>3917</v>
      </c>
      <c r="E85" s="50">
        <v>46077</v>
      </c>
      <c r="F85" s="34" t="s">
        <v>3921</v>
      </c>
      <c r="G85" s="34">
        <v>14.99</v>
      </c>
      <c r="H85" s="34" t="s">
        <v>227</v>
      </c>
      <c r="I85" s="34" t="s">
        <v>3922</v>
      </c>
      <c r="J85" s="34" t="s">
        <v>648</v>
      </c>
      <c r="K85" s="35" t="s">
        <v>649</v>
      </c>
      <c r="L85" s="34">
        <v>4001</v>
      </c>
      <c r="M85" s="34" t="s">
        <v>3855</v>
      </c>
      <c r="N85" s="34" t="s">
        <v>4337</v>
      </c>
      <c r="O85" s="34" t="s">
        <v>301</v>
      </c>
      <c r="Q85" s="52">
        <f t="shared" si="1"/>
        <v>40</v>
      </c>
    </row>
    <row r="86" spans="1:17" x14ac:dyDescent="0.25">
      <c r="A86" s="34" t="s">
        <v>3915</v>
      </c>
      <c r="B86" s="34" t="s">
        <v>3916</v>
      </c>
      <c r="C86" s="35" t="s">
        <v>3917</v>
      </c>
      <c r="E86" s="50">
        <v>46076</v>
      </c>
      <c r="F86" s="34" t="s">
        <v>3923</v>
      </c>
      <c r="G86" s="34">
        <v>476.14</v>
      </c>
      <c r="H86" s="34" t="s">
        <v>227</v>
      </c>
      <c r="I86" s="34" t="s">
        <v>16</v>
      </c>
      <c r="J86" s="34" t="s">
        <v>91</v>
      </c>
      <c r="K86" s="35" t="s">
        <v>1090</v>
      </c>
      <c r="L86" s="34">
        <v>1035</v>
      </c>
      <c r="M86" s="34" t="s">
        <v>3855</v>
      </c>
      <c r="N86" s="34" t="s">
        <v>4337</v>
      </c>
      <c r="O86" s="34" t="s">
        <v>301</v>
      </c>
      <c r="Q86" s="52">
        <f t="shared" si="1"/>
        <v>51</v>
      </c>
    </row>
    <row r="87" spans="1:17" x14ac:dyDescent="0.25">
      <c r="A87" s="34" t="s">
        <v>3915</v>
      </c>
      <c r="B87" s="34" t="s">
        <v>3916</v>
      </c>
      <c r="C87" s="35" t="s">
        <v>3917</v>
      </c>
      <c r="E87" s="50">
        <v>46072</v>
      </c>
      <c r="F87" s="34" t="s">
        <v>3924</v>
      </c>
      <c r="G87" s="34">
        <v>914.37</v>
      </c>
      <c r="H87" s="34" t="s">
        <v>227</v>
      </c>
      <c r="I87" s="34" t="s">
        <v>16</v>
      </c>
      <c r="J87" s="34" t="s">
        <v>969</v>
      </c>
      <c r="K87" s="35" t="s">
        <v>970</v>
      </c>
      <c r="L87" s="34">
        <v>4001</v>
      </c>
      <c r="M87" s="34" t="s">
        <v>3855</v>
      </c>
      <c r="N87" s="34" t="s">
        <v>4337</v>
      </c>
      <c r="O87" s="34" t="s">
        <v>301</v>
      </c>
      <c r="Q87" s="52">
        <f t="shared" si="1"/>
        <v>46</v>
      </c>
    </row>
    <row r="88" spans="1:17" x14ac:dyDescent="0.25">
      <c r="A88" s="34" t="s">
        <v>3915</v>
      </c>
      <c r="B88" s="34" t="s">
        <v>3916</v>
      </c>
      <c r="C88" s="35" t="s">
        <v>3917</v>
      </c>
      <c r="E88" s="50">
        <v>46072</v>
      </c>
      <c r="F88" s="34" t="s">
        <v>3925</v>
      </c>
      <c r="G88" s="34">
        <v>577.13</v>
      </c>
      <c r="H88" s="34" t="s">
        <v>227</v>
      </c>
      <c r="I88" s="34" t="s">
        <v>21</v>
      </c>
      <c r="J88" s="34" t="s">
        <v>738</v>
      </c>
      <c r="K88" s="35" t="s">
        <v>739</v>
      </c>
      <c r="L88" s="34">
        <v>4263</v>
      </c>
      <c r="M88" s="34" t="s">
        <v>3855</v>
      </c>
      <c r="N88" s="34" t="s">
        <v>4337</v>
      </c>
      <c r="O88" s="34" t="s">
        <v>301</v>
      </c>
      <c r="Q88" s="52">
        <f t="shared" si="1"/>
        <v>55</v>
      </c>
    </row>
    <row r="89" spans="1:17" x14ac:dyDescent="0.25">
      <c r="A89" s="34" t="s">
        <v>3915</v>
      </c>
      <c r="B89" s="34" t="s">
        <v>3916</v>
      </c>
      <c r="C89" s="35" t="s">
        <v>3917</v>
      </c>
      <c r="E89" s="50">
        <v>46072</v>
      </c>
      <c r="F89" s="34" t="s">
        <v>3926</v>
      </c>
      <c r="G89" s="34">
        <v>248.6</v>
      </c>
      <c r="H89" s="34" t="s">
        <v>227</v>
      </c>
      <c r="I89" s="34" t="s">
        <v>21</v>
      </c>
      <c r="J89" s="34" t="s">
        <v>738</v>
      </c>
      <c r="K89" s="35" t="s">
        <v>739</v>
      </c>
      <c r="L89" s="34">
        <v>4001</v>
      </c>
      <c r="M89" s="34" t="s">
        <v>3855</v>
      </c>
      <c r="N89" s="34" t="s">
        <v>4337</v>
      </c>
      <c r="O89" s="34" t="s">
        <v>301</v>
      </c>
      <c r="Q89" s="52">
        <f t="shared" si="1"/>
        <v>53</v>
      </c>
    </row>
    <row r="90" spans="1:17" x14ac:dyDescent="0.25">
      <c r="A90" s="34" t="s">
        <v>3915</v>
      </c>
      <c r="B90" s="34" t="s">
        <v>3916</v>
      </c>
      <c r="C90" s="35" t="s">
        <v>3917</v>
      </c>
      <c r="E90" s="50">
        <v>46072</v>
      </c>
      <c r="F90" s="34" t="s">
        <v>4776</v>
      </c>
      <c r="G90" s="34">
        <v>255.13</v>
      </c>
      <c r="H90" s="34" t="s">
        <v>227</v>
      </c>
      <c r="I90" s="34" t="s">
        <v>21</v>
      </c>
      <c r="J90" s="34" t="s">
        <v>738</v>
      </c>
      <c r="K90" s="35" t="s">
        <v>739</v>
      </c>
      <c r="L90" s="34">
        <v>4001</v>
      </c>
      <c r="M90" s="34" t="s">
        <v>3855</v>
      </c>
      <c r="N90" s="34" t="s">
        <v>4337</v>
      </c>
      <c r="O90" s="34" t="s">
        <v>301</v>
      </c>
      <c r="Q90" s="52">
        <f t="shared" si="1"/>
        <v>52</v>
      </c>
    </row>
    <row r="91" spans="1:17" x14ac:dyDescent="0.25">
      <c r="A91" s="34" t="s">
        <v>3915</v>
      </c>
      <c r="B91" s="34" t="s">
        <v>3916</v>
      </c>
      <c r="C91" s="35" t="s">
        <v>3917</v>
      </c>
      <c r="E91" s="50">
        <v>46072</v>
      </c>
      <c r="F91" s="34" t="s">
        <v>3928</v>
      </c>
      <c r="G91" s="34">
        <v>278.99</v>
      </c>
      <c r="H91" s="34" t="s">
        <v>227</v>
      </c>
      <c r="I91" s="34" t="s">
        <v>21</v>
      </c>
      <c r="J91" s="34" t="s">
        <v>738</v>
      </c>
      <c r="K91" s="35" t="s">
        <v>739</v>
      </c>
      <c r="L91" s="34">
        <v>4001</v>
      </c>
      <c r="M91" s="34" t="s">
        <v>3855</v>
      </c>
      <c r="N91" s="34" t="s">
        <v>4337</v>
      </c>
      <c r="O91" s="34" t="s">
        <v>301</v>
      </c>
      <c r="Q91" s="52">
        <f t="shared" si="1"/>
        <v>59</v>
      </c>
    </row>
    <row r="92" spans="1:17" x14ac:dyDescent="0.25">
      <c r="A92" s="34" t="s">
        <v>3915</v>
      </c>
      <c r="B92" s="34" t="s">
        <v>3916</v>
      </c>
      <c r="C92" s="35" t="s">
        <v>3917</v>
      </c>
      <c r="E92" s="50">
        <v>46072</v>
      </c>
      <c r="F92" s="34" t="s">
        <v>4777</v>
      </c>
      <c r="G92" s="34">
        <v>-1668.4</v>
      </c>
      <c r="H92" s="34" t="s">
        <v>227</v>
      </c>
      <c r="I92" s="34" t="s">
        <v>3594</v>
      </c>
      <c r="J92" s="34" t="s">
        <v>47</v>
      </c>
      <c r="K92" s="35" t="s">
        <v>41</v>
      </c>
      <c r="L92" s="34">
        <v>1035</v>
      </c>
      <c r="M92" s="34" t="s">
        <v>3855</v>
      </c>
      <c r="N92" s="34" t="s">
        <v>4337</v>
      </c>
      <c r="O92" s="34" t="s">
        <v>301</v>
      </c>
      <c r="Q92" s="52">
        <f t="shared" si="1"/>
        <v>48</v>
      </c>
    </row>
    <row r="93" spans="1:17" x14ac:dyDescent="0.25">
      <c r="A93" s="34" t="s">
        <v>3915</v>
      </c>
      <c r="B93" s="34" t="s">
        <v>3916</v>
      </c>
      <c r="C93" s="35" t="s">
        <v>3917</v>
      </c>
      <c r="E93" s="50">
        <v>46072</v>
      </c>
      <c r="F93" s="34" t="s">
        <v>3930</v>
      </c>
      <c r="G93" s="34">
        <v>6830.84</v>
      </c>
      <c r="H93" s="34" t="s">
        <v>227</v>
      </c>
      <c r="I93" s="34" t="s">
        <v>3864</v>
      </c>
      <c r="J93" s="34" t="s">
        <v>3931</v>
      </c>
      <c r="K93" s="35" t="s">
        <v>979</v>
      </c>
      <c r="L93" s="34">
        <v>4246</v>
      </c>
      <c r="M93" s="34" t="s">
        <v>3855</v>
      </c>
      <c r="N93" s="34" t="s">
        <v>4337</v>
      </c>
      <c r="O93" s="34" t="s">
        <v>301</v>
      </c>
      <c r="Q93" s="52">
        <f t="shared" si="1"/>
        <v>40</v>
      </c>
    </row>
    <row r="94" spans="1:17" x14ac:dyDescent="0.25">
      <c r="A94" s="34" t="s">
        <v>3915</v>
      </c>
      <c r="B94" s="34" t="s">
        <v>3916</v>
      </c>
      <c r="C94" s="35" t="s">
        <v>3917</v>
      </c>
      <c r="E94" s="50">
        <v>46072</v>
      </c>
      <c r="F94" s="34" t="s">
        <v>4778</v>
      </c>
      <c r="G94" s="34">
        <v>1083.1300000000001</v>
      </c>
      <c r="H94" s="34" t="s">
        <v>227</v>
      </c>
      <c r="I94" s="34" t="s">
        <v>21</v>
      </c>
      <c r="J94" s="34" t="s">
        <v>738</v>
      </c>
      <c r="K94" s="35" t="s">
        <v>739</v>
      </c>
      <c r="L94" s="34">
        <v>4001</v>
      </c>
      <c r="M94" s="34" t="s">
        <v>3855</v>
      </c>
      <c r="N94" s="34" t="s">
        <v>4337</v>
      </c>
      <c r="O94" s="34" t="s">
        <v>301</v>
      </c>
      <c r="Q94" s="52">
        <f t="shared" si="1"/>
        <v>58</v>
      </c>
    </row>
    <row r="95" spans="1:17" x14ac:dyDescent="0.25">
      <c r="A95" s="34" t="s">
        <v>3915</v>
      </c>
      <c r="B95" s="34" t="s">
        <v>3916</v>
      </c>
      <c r="C95" s="35" t="s">
        <v>3917</v>
      </c>
      <c r="E95" s="50">
        <v>46071</v>
      </c>
      <c r="F95" s="34" t="s">
        <v>3933</v>
      </c>
      <c r="G95" s="34">
        <v>45</v>
      </c>
      <c r="H95" s="34" t="s">
        <v>227</v>
      </c>
      <c r="I95" s="34" t="s">
        <v>16</v>
      </c>
      <c r="J95" s="34" t="s">
        <v>55</v>
      </c>
      <c r="K95" s="35" t="s">
        <v>232</v>
      </c>
      <c r="L95" s="34">
        <v>4001</v>
      </c>
      <c r="M95" s="34" t="s">
        <v>3855</v>
      </c>
      <c r="N95" s="34" t="s">
        <v>4337</v>
      </c>
      <c r="O95" s="34" t="s">
        <v>301</v>
      </c>
      <c r="Q95" s="52">
        <f t="shared" si="1"/>
        <v>60</v>
      </c>
    </row>
    <row r="96" spans="1:17" x14ac:dyDescent="0.25">
      <c r="A96" s="34" t="s">
        <v>3915</v>
      </c>
      <c r="B96" s="34" t="s">
        <v>3916</v>
      </c>
      <c r="C96" s="35" t="s">
        <v>3917</v>
      </c>
      <c r="E96" s="50">
        <v>46070</v>
      </c>
      <c r="F96" s="34" t="s">
        <v>3934</v>
      </c>
      <c r="G96" s="34">
        <v>42.45</v>
      </c>
      <c r="H96" s="34" t="s">
        <v>227</v>
      </c>
      <c r="I96" s="34" t="s">
        <v>3935</v>
      </c>
      <c r="J96" s="34" t="s">
        <v>130</v>
      </c>
      <c r="K96" s="35" t="s">
        <v>737</v>
      </c>
      <c r="L96" s="34">
        <v>4001</v>
      </c>
      <c r="M96" s="34" t="s">
        <v>3855</v>
      </c>
      <c r="N96" s="34" t="s">
        <v>4337</v>
      </c>
      <c r="O96" s="34" t="s">
        <v>301</v>
      </c>
      <c r="Q96" s="52">
        <f t="shared" si="1"/>
        <v>33</v>
      </c>
    </row>
    <row r="97" spans="1:17" x14ac:dyDescent="0.25">
      <c r="A97" s="34" t="s">
        <v>3915</v>
      </c>
      <c r="B97" s="34" t="s">
        <v>3916</v>
      </c>
      <c r="C97" s="35" t="s">
        <v>3917</v>
      </c>
      <c r="E97" s="50">
        <v>46066</v>
      </c>
      <c r="F97" s="34" t="s">
        <v>3936</v>
      </c>
      <c r="G97" s="34">
        <v>30</v>
      </c>
      <c r="H97" s="34" t="s">
        <v>227</v>
      </c>
      <c r="I97" s="34" t="s">
        <v>3594</v>
      </c>
      <c r="J97" s="34" t="s">
        <v>30</v>
      </c>
      <c r="K97" s="35" t="s">
        <v>790</v>
      </c>
      <c r="L97" s="34">
        <v>1020</v>
      </c>
      <c r="M97" s="34" t="s">
        <v>3855</v>
      </c>
      <c r="N97" s="34" t="s">
        <v>4337</v>
      </c>
      <c r="O97" s="34" t="s">
        <v>301</v>
      </c>
      <c r="Q97" s="52">
        <f t="shared" si="1"/>
        <v>53</v>
      </c>
    </row>
    <row r="98" spans="1:17" x14ac:dyDescent="0.25">
      <c r="A98" s="34" t="s">
        <v>3915</v>
      </c>
      <c r="B98" s="34" t="s">
        <v>3916</v>
      </c>
      <c r="C98" s="35" t="s">
        <v>3917</v>
      </c>
      <c r="E98" s="50">
        <v>46066</v>
      </c>
      <c r="F98" s="34" t="s">
        <v>3937</v>
      </c>
      <c r="G98" s="34">
        <v>1386.81</v>
      </c>
      <c r="H98" s="34" t="s">
        <v>227</v>
      </c>
      <c r="I98" s="34" t="s">
        <v>3594</v>
      </c>
      <c r="J98" s="34" t="s">
        <v>47</v>
      </c>
      <c r="K98" s="35" t="s">
        <v>41</v>
      </c>
      <c r="L98" s="34">
        <v>1020</v>
      </c>
      <c r="M98" s="34" t="s">
        <v>3855</v>
      </c>
      <c r="N98" s="34" t="s">
        <v>4337</v>
      </c>
      <c r="O98" s="34" t="s">
        <v>301</v>
      </c>
      <c r="Q98" s="52">
        <f t="shared" si="1"/>
        <v>56</v>
      </c>
    </row>
    <row r="99" spans="1:17" x14ac:dyDescent="0.25">
      <c r="A99" s="34" t="s">
        <v>3915</v>
      </c>
      <c r="B99" s="34" t="s">
        <v>3916</v>
      </c>
      <c r="C99" s="35" t="s">
        <v>3917</v>
      </c>
      <c r="E99" s="50">
        <v>46065</v>
      </c>
      <c r="F99" s="34" t="s">
        <v>3938</v>
      </c>
      <c r="G99" s="34">
        <v>70.25</v>
      </c>
      <c r="H99" s="34" t="s">
        <v>227</v>
      </c>
      <c r="I99" s="34" t="s">
        <v>16</v>
      </c>
      <c r="J99" s="34" t="s">
        <v>3939</v>
      </c>
      <c r="K99" s="35" t="s">
        <v>4466</v>
      </c>
      <c r="L99" s="34">
        <v>4001</v>
      </c>
      <c r="M99" s="34" t="s">
        <v>3855</v>
      </c>
      <c r="N99" s="34" t="s">
        <v>4337</v>
      </c>
      <c r="O99" s="34" t="s">
        <v>301</v>
      </c>
      <c r="Q99" s="53">
        <f t="shared" si="1"/>
        <v>71</v>
      </c>
    </row>
    <row r="100" spans="1:17" x14ac:dyDescent="0.25">
      <c r="A100" s="34" t="s">
        <v>3915</v>
      </c>
      <c r="B100" s="34" t="s">
        <v>3916</v>
      </c>
      <c r="C100" s="35" t="s">
        <v>3917</v>
      </c>
      <c r="E100" s="50">
        <v>46064</v>
      </c>
      <c r="F100" s="34" t="s">
        <v>3940</v>
      </c>
      <c r="G100" s="34">
        <v>5106.83</v>
      </c>
      <c r="H100" s="34" t="s">
        <v>227</v>
      </c>
      <c r="I100" s="34" t="s">
        <v>16</v>
      </c>
      <c r="J100" s="34" t="s">
        <v>3941</v>
      </c>
      <c r="K100" s="35" t="s">
        <v>2691</v>
      </c>
      <c r="L100" s="34">
        <v>4263</v>
      </c>
      <c r="M100" s="34" t="s">
        <v>3855</v>
      </c>
      <c r="N100" s="34" t="s">
        <v>4337</v>
      </c>
      <c r="O100" s="34" t="s">
        <v>301</v>
      </c>
      <c r="Q100" s="52">
        <f t="shared" si="1"/>
        <v>45</v>
      </c>
    </row>
    <row r="101" spans="1:17" x14ac:dyDescent="0.25">
      <c r="A101" s="34" t="s">
        <v>3915</v>
      </c>
      <c r="B101" s="34" t="s">
        <v>3916</v>
      </c>
      <c r="C101" s="35" t="s">
        <v>3917</v>
      </c>
      <c r="E101" s="50">
        <v>46063</v>
      </c>
      <c r="F101" s="34" t="s">
        <v>3926</v>
      </c>
      <c r="G101" s="34">
        <v>248.6</v>
      </c>
      <c r="H101" s="34" t="s">
        <v>227</v>
      </c>
      <c r="I101" s="34" t="s">
        <v>21</v>
      </c>
      <c r="J101" s="34" t="s">
        <v>738</v>
      </c>
      <c r="K101" s="35" t="s">
        <v>739</v>
      </c>
      <c r="L101" s="34">
        <v>4001</v>
      </c>
      <c r="M101" s="34" t="s">
        <v>3855</v>
      </c>
      <c r="N101" s="34" t="s">
        <v>4337</v>
      </c>
      <c r="O101" s="34" t="s">
        <v>301</v>
      </c>
      <c r="Q101" s="52">
        <f t="shared" si="1"/>
        <v>53</v>
      </c>
    </row>
    <row r="102" spans="1:17" x14ac:dyDescent="0.25">
      <c r="A102" s="34" t="s">
        <v>3915</v>
      </c>
      <c r="B102" s="34" t="s">
        <v>3916</v>
      </c>
      <c r="C102" s="35" t="s">
        <v>3917</v>
      </c>
      <c r="E102" s="50">
        <v>46063</v>
      </c>
      <c r="F102" s="34" t="s">
        <v>3942</v>
      </c>
      <c r="G102" s="34">
        <v>-324.29000000000002</v>
      </c>
      <c r="H102" s="34" t="s">
        <v>227</v>
      </c>
      <c r="I102" s="34" t="s">
        <v>3594</v>
      </c>
      <c r="J102" s="34" t="s">
        <v>117</v>
      </c>
      <c r="K102" s="35" t="s">
        <v>119</v>
      </c>
      <c r="L102" s="34">
        <v>4001</v>
      </c>
      <c r="M102" s="34" t="s">
        <v>3855</v>
      </c>
      <c r="N102" s="34" t="s">
        <v>4337</v>
      </c>
      <c r="O102" s="34" t="s">
        <v>301</v>
      </c>
      <c r="Q102" s="52">
        <f t="shared" si="1"/>
        <v>60</v>
      </c>
    </row>
    <row r="103" spans="1:17" x14ac:dyDescent="0.25">
      <c r="A103" s="34" t="s">
        <v>3915</v>
      </c>
      <c r="B103" s="34" t="s">
        <v>3916</v>
      </c>
      <c r="C103" s="35" t="s">
        <v>3917</v>
      </c>
      <c r="E103" s="50">
        <v>46062</v>
      </c>
      <c r="F103" s="34" t="s">
        <v>3943</v>
      </c>
      <c r="G103" s="34">
        <v>30</v>
      </c>
      <c r="H103" s="34" t="s">
        <v>227</v>
      </c>
      <c r="I103" s="34" t="s">
        <v>3594</v>
      </c>
      <c r="J103" s="34" t="s">
        <v>30</v>
      </c>
      <c r="K103" s="35" t="s">
        <v>790</v>
      </c>
      <c r="L103" s="34">
        <v>4001</v>
      </c>
      <c r="M103" s="34" t="s">
        <v>3855</v>
      </c>
      <c r="N103" s="34" t="s">
        <v>4337</v>
      </c>
      <c r="O103" s="34" t="s">
        <v>301</v>
      </c>
      <c r="Q103" s="52">
        <f t="shared" si="1"/>
        <v>52</v>
      </c>
    </row>
    <row r="104" spans="1:17" x14ac:dyDescent="0.25">
      <c r="A104" s="34" t="s">
        <v>3915</v>
      </c>
      <c r="B104" s="34" t="s">
        <v>3916</v>
      </c>
      <c r="C104" s="35" t="s">
        <v>3917</v>
      </c>
      <c r="E104" s="50">
        <v>46062</v>
      </c>
      <c r="F104" s="34" t="s">
        <v>3944</v>
      </c>
      <c r="G104" s="34">
        <v>2108.4</v>
      </c>
      <c r="H104" s="34" t="s">
        <v>227</v>
      </c>
      <c r="I104" s="34" t="s">
        <v>3594</v>
      </c>
      <c r="J104" s="34" t="s">
        <v>47</v>
      </c>
      <c r="K104" s="35" t="s">
        <v>41</v>
      </c>
      <c r="L104" s="34">
        <v>4001</v>
      </c>
      <c r="M104" s="34" t="s">
        <v>3855</v>
      </c>
      <c r="N104" s="34" t="s">
        <v>4337</v>
      </c>
      <c r="O104" s="34" t="s">
        <v>301</v>
      </c>
      <c r="Q104" s="52">
        <f t="shared" si="1"/>
        <v>51</v>
      </c>
    </row>
    <row r="105" spans="1:17" x14ac:dyDescent="0.25">
      <c r="A105" s="34" t="s">
        <v>3915</v>
      </c>
      <c r="B105" s="34" t="s">
        <v>3916</v>
      </c>
      <c r="C105" s="35" t="s">
        <v>3917</v>
      </c>
      <c r="E105" s="50">
        <v>46062</v>
      </c>
      <c r="F105" s="34" t="s">
        <v>4779</v>
      </c>
      <c r="G105" s="34">
        <v>1276.67</v>
      </c>
      <c r="H105" s="34" t="s">
        <v>227</v>
      </c>
      <c r="I105" s="34" t="s">
        <v>3843</v>
      </c>
      <c r="J105" s="34" t="s">
        <v>2628</v>
      </c>
      <c r="K105" s="35" t="s">
        <v>2852</v>
      </c>
      <c r="L105" s="34">
        <v>4263</v>
      </c>
      <c r="M105" s="34" t="s">
        <v>3855</v>
      </c>
      <c r="N105" s="34" t="s">
        <v>4337</v>
      </c>
      <c r="O105" s="34" t="s">
        <v>301</v>
      </c>
      <c r="Q105" s="52">
        <f t="shared" si="1"/>
        <v>59</v>
      </c>
    </row>
    <row r="106" spans="1:17" x14ac:dyDescent="0.25">
      <c r="A106" s="34" t="s">
        <v>3915</v>
      </c>
      <c r="B106" s="34" t="s">
        <v>3916</v>
      </c>
      <c r="C106" s="35" t="s">
        <v>3917</v>
      </c>
      <c r="E106" s="50">
        <v>46059</v>
      </c>
      <c r="F106" s="34" t="s">
        <v>3946</v>
      </c>
      <c r="G106" s="34">
        <v>255.13</v>
      </c>
      <c r="H106" s="34" t="s">
        <v>227</v>
      </c>
      <c r="I106" s="34" t="s">
        <v>21</v>
      </c>
      <c r="J106" s="34" t="s">
        <v>738</v>
      </c>
      <c r="K106" s="35" t="s">
        <v>739</v>
      </c>
      <c r="L106" s="34">
        <v>4001</v>
      </c>
      <c r="M106" s="34" t="s">
        <v>3855</v>
      </c>
      <c r="N106" s="34" t="s">
        <v>4337</v>
      </c>
      <c r="O106" s="34" t="s">
        <v>301</v>
      </c>
      <c r="Q106" s="52">
        <f t="shared" si="1"/>
        <v>37</v>
      </c>
    </row>
    <row r="107" spans="1:17" x14ac:dyDescent="0.25">
      <c r="A107" s="34" t="s">
        <v>3915</v>
      </c>
      <c r="B107" s="34" t="s">
        <v>3916</v>
      </c>
      <c r="C107" s="35" t="s">
        <v>3917</v>
      </c>
      <c r="E107" s="50">
        <v>46059</v>
      </c>
      <c r="F107" s="34" t="s">
        <v>3899</v>
      </c>
      <c r="G107" s="34">
        <v>278.13</v>
      </c>
      <c r="H107" s="34" t="s">
        <v>227</v>
      </c>
      <c r="I107" s="34" t="s">
        <v>21</v>
      </c>
      <c r="J107" s="34" t="s">
        <v>738</v>
      </c>
      <c r="K107" s="35" t="s">
        <v>739</v>
      </c>
      <c r="L107" s="34">
        <v>1008</v>
      </c>
      <c r="M107" s="34" t="s">
        <v>3855</v>
      </c>
      <c r="N107" s="34" t="s">
        <v>4337</v>
      </c>
      <c r="O107" s="34" t="s">
        <v>301</v>
      </c>
      <c r="Q107" s="52">
        <f t="shared" si="1"/>
        <v>26</v>
      </c>
    </row>
    <row r="108" spans="1:17" x14ac:dyDescent="0.25">
      <c r="A108" s="34" t="s">
        <v>3915</v>
      </c>
      <c r="B108" s="34" t="s">
        <v>3916</v>
      </c>
      <c r="C108" s="35" t="s">
        <v>3917</v>
      </c>
      <c r="E108" s="50">
        <v>46059</v>
      </c>
      <c r="F108" s="34" t="s">
        <v>3947</v>
      </c>
      <c r="G108" s="34">
        <v>201.08</v>
      </c>
      <c r="H108" s="34" t="s">
        <v>227</v>
      </c>
      <c r="I108" s="34" t="s">
        <v>21</v>
      </c>
      <c r="J108" s="34" t="s">
        <v>738</v>
      </c>
      <c r="K108" s="35" t="s">
        <v>739</v>
      </c>
      <c r="L108" s="34">
        <v>4263</v>
      </c>
      <c r="M108" s="34" t="s">
        <v>3855</v>
      </c>
      <c r="N108" s="34" t="s">
        <v>4337</v>
      </c>
      <c r="O108" s="34" t="s">
        <v>301</v>
      </c>
      <c r="Q108" s="52">
        <f t="shared" si="1"/>
        <v>49</v>
      </c>
    </row>
    <row r="109" spans="1:17" x14ac:dyDescent="0.25">
      <c r="A109" s="34" t="s">
        <v>3915</v>
      </c>
      <c r="B109" s="34" t="s">
        <v>3916</v>
      </c>
      <c r="C109" s="35" t="s">
        <v>3917</v>
      </c>
      <c r="E109" s="50">
        <v>46057</v>
      </c>
      <c r="F109" s="34" t="s">
        <v>3921</v>
      </c>
      <c r="G109" s="34">
        <v>8</v>
      </c>
      <c r="H109" s="34" t="s">
        <v>227</v>
      </c>
      <c r="I109" s="34" t="s">
        <v>3594</v>
      </c>
      <c r="J109" s="34" t="s">
        <v>93</v>
      </c>
      <c r="K109" s="35" t="s">
        <v>29</v>
      </c>
      <c r="L109" s="34">
        <v>4263</v>
      </c>
      <c r="M109" s="34" t="s">
        <v>3855</v>
      </c>
      <c r="N109" s="34" t="s">
        <v>4337</v>
      </c>
      <c r="O109" s="34" t="s">
        <v>301</v>
      </c>
      <c r="Q109" s="52">
        <f t="shared" si="1"/>
        <v>31</v>
      </c>
    </row>
    <row r="110" spans="1:17" x14ac:dyDescent="0.25">
      <c r="A110" s="34" t="s">
        <v>3915</v>
      </c>
      <c r="B110" s="34" t="s">
        <v>3916</v>
      </c>
      <c r="C110" s="35" t="s">
        <v>3917</v>
      </c>
      <c r="E110" s="50">
        <v>46056</v>
      </c>
      <c r="F110" s="34" t="s">
        <v>4777</v>
      </c>
      <c r="G110" s="34">
        <v>-1445.08</v>
      </c>
      <c r="H110" s="34" t="s">
        <v>227</v>
      </c>
      <c r="I110" s="34" t="s">
        <v>3594</v>
      </c>
      <c r="J110" s="34" t="s">
        <v>47</v>
      </c>
      <c r="K110" s="35" t="s">
        <v>41</v>
      </c>
      <c r="L110" s="34">
        <v>1035</v>
      </c>
      <c r="M110" s="34" t="s">
        <v>3855</v>
      </c>
      <c r="N110" s="34" t="s">
        <v>4337</v>
      </c>
      <c r="O110" s="34" t="s">
        <v>301</v>
      </c>
      <c r="Q110" s="52">
        <f t="shared" si="1"/>
        <v>48</v>
      </c>
    </row>
    <row r="111" spans="1:17" x14ac:dyDescent="0.25">
      <c r="A111" s="34" t="s">
        <v>3915</v>
      </c>
      <c r="B111" s="34" t="s">
        <v>3916</v>
      </c>
      <c r="C111" s="35" t="s">
        <v>3917</v>
      </c>
      <c r="E111" s="50">
        <v>46056</v>
      </c>
      <c r="F111" s="34" t="s">
        <v>3948</v>
      </c>
      <c r="G111" s="34">
        <v>3461.31</v>
      </c>
      <c r="H111" s="34" t="s">
        <v>227</v>
      </c>
      <c r="I111" s="34" t="s">
        <v>16</v>
      </c>
      <c r="J111" s="34" t="s">
        <v>3949</v>
      </c>
      <c r="K111" s="35" t="s">
        <v>4347</v>
      </c>
      <c r="L111" s="34">
        <v>4263</v>
      </c>
      <c r="M111" s="34" t="s">
        <v>3855</v>
      </c>
      <c r="N111" s="34" t="s">
        <v>4337</v>
      </c>
      <c r="O111" s="34" t="s">
        <v>301</v>
      </c>
      <c r="Q111" s="52">
        <f t="shared" si="1"/>
        <v>52</v>
      </c>
    </row>
    <row r="112" spans="1:17" x14ac:dyDescent="0.25">
      <c r="A112" s="34" t="s">
        <v>3915</v>
      </c>
      <c r="B112" s="34" t="s">
        <v>3916</v>
      </c>
      <c r="C112" s="35" t="s">
        <v>3917</v>
      </c>
      <c r="E112" s="50">
        <v>46065</v>
      </c>
      <c r="F112" s="34" t="s">
        <v>3950</v>
      </c>
      <c r="G112" s="34">
        <v>816.56</v>
      </c>
      <c r="H112" s="34" t="s">
        <v>227</v>
      </c>
      <c r="I112" s="34" t="s">
        <v>16</v>
      </c>
      <c r="J112" s="34" t="s">
        <v>1490</v>
      </c>
      <c r="K112" s="35" t="s">
        <v>1491</v>
      </c>
      <c r="L112" s="34">
        <v>4263</v>
      </c>
      <c r="M112" s="34" t="s">
        <v>3855</v>
      </c>
      <c r="N112" s="34" t="s">
        <v>4337</v>
      </c>
      <c r="O112" s="34" t="s">
        <v>301</v>
      </c>
      <c r="Q112" s="52">
        <f t="shared" si="1"/>
        <v>66</v>
      </c>
    </row>
    <row r="113" spans="1:17" x14ac:dyDescent="0.25">
      <c r="A113" s="34" t="s">
        <v>3915</v>
      </c>
      <c r="B113" s="34" t="s">
        <v>3916</v>
      </c>
      <c r="C113" s="35" t="s">
        <v>3917</v>
      </c>
      <c r="E113" s="50">
        <v>46065</v>
      </c>
      <c r="F113" s="34" t="s">
        <v>3950</v>
      </c>
      <c r="G113" s="34">
        <v>816.57</v>
      </c>
      <c r="H113" s="34" t="s">
        <v>227</v>
      </c>
      <c r="I113" s="34" t="s">
        <v>16</v>
      </c>
      <c r="J113" s="34" t="s">
        <v>1490</v>
      </c>
      <c r="K113" s="35" t="s">
        <v>1491</v>
      </c>
      <c r="L113" s="34">
        <v>6470</v>
      </c>
      <c r="M113" s="34" t="s">
        <v>3855</v>
      </c>
      <c r="N113" s="34" t="s">
        <v>4337</v>
      </c>
      <c r="O113" s="34" t="s">
        <v>301</v>
      </c>
      <c r="Q113" s="52">
        <f t="shared" si="1"/>
        <v>66</v>
      </c>
    </row>
    <row r="114" spans="1:17" x14ac:dyDescent="0.25">
      <c r="A114" s="34" t="s">
        <v>3915</v>
      </c>
      <c r="B114" s="34" t="s">
        <v>3916</v>
      </c>
      <c r="C114" s="35" t="s">
        <v>3917</v>
      </c>
      <c r="E114" s="50">
        <v>46057</v>
      </c>
      <c r="F114" s="34" t="s">
        <v>3951</v>
      </c>
      <c r="G114" s="34">
        <v>95.02</v>
      </c>
      <c r="H114" s="34" t="s">
        <v>227</v>
      </c>
      <c r="I114" s="34" t="s">
        <v>16</v>
      </c>
      <c r="J114" s="34" t="s">
        <v>2628</v>
      </c>
      <c r="K114" s="35" t="s">
        <v>2852</v>
      </c>
      <c r="L114" s="34">
        <v>4263</v>
      </c>
      <c r="M114" s="34" t="s">
        <v>3855</v>
      </c>
      <c r="N114" s="34" t="s">
        <v>4337</v>
      </c>
      <c r="O114" s="34" t="s">
        <v>301</v>
      </c>
      <c r="Q114" s="52">
        <f t="shared" si="1"/>
        <v>51</v>
      </c>
    </row>
    <row r="115" spans="1:17" x14ac:dyDescent="0.25">
      <c r="A115" s="34" t="s">
        <v>3915</v>
      </c>
      <c r="B115" s="34" t="s">
        <v>3916</v>
      </c>
      <c r="C115" s="35" t="s">
        <v>3917</v>
      </c>
      <c r="E115" s="50">
        <v>46057</v>
      </c>
      <c r="F115" s="34" t="s">
        <v>3952</v>
      </c>
      <c r="G115" s="34">
        <v>1255.94</v>
      </c>
      <c r="H115" s="34" t="s">
        <v>227</v>
      </c>
      <c r="I115" s="34" t="s">
        <v>3864</v>
      </c>
      <c r="J115" s="34" t="s">
        <v>2628</v>
      </c>
      <c r="K115" s="35" t="s">
        <v>2852</v>
      </c>
      <c r="L115" s="34">
        <v>4263</v>
      </c>
      <c r="M115" s="34" t="s">
        <v>3855</v>
      </c>
      <c r="N115" s="34" t="s">
        <v>4337</v>
      </c>
      <c r="O115" s="34" t="s">
        <v>301</v>
      </c>
      <c r="Q115" s="52">
        <f t="shared" si="1"/>
        <v>47</v>
      </c>
    </row>
    <row r="116" spans="1:17" x14ac:dyDescent="0.25">
      <c r="A116" s="34" t="s">
        <v>3915</v>
      </c>
      <c r="B116" s="34" t="s">
        <v>3916</v>
      </c>
      <c r="C116" s="35" t="s">
        <v>3917</v>
      </c>
      <c r="E116" s="50">
        <v>46085</v>
      </c>
      <c r="F116" s="34" t="s">
        <v>3953</v>
      </c>
      <c r="G116" s="34">
        <v>7833.32</v>
      </c>
      <c r="H116" s="34" t="s">
        <v>227</v>
      </c>
      <c r="I116" s="34" t="s">
        <v>16</v>
      </c>
      <c r="J116" s="34" t="s">
        <v>3954</v>
      </c>
      <c r="K116" s="35" t="s">
        <v>1750</v>
      </c>
      <c r="L116" s="34">
        <v>4246</v>
      </c>
      <c r="M116" s="34" t="s">
        <v>3855</v>
      </c>
      <c r="N116" s="34" t="s">
        <v>4337</v>
      </c>
      <c r="O116" s="34" t="s">
        <v>301</v>
      </c>
      <c r="Q116" s="52">
        <f t="shared" si="1"/>
        <v>49</v>
      </c>
    </row>
    <row r="117" spans="1:17" x14ac:dyDescent="0.25">
      <c r="A117" s="34" t="s">
        <v>3851</v>
      </c>
      <c r="B117" s="34" t="s">
        <v>3955</v>
      </c>
      <c r="C117" s="35" t="s">
        <v>3956</v>
      </c>
      <c r="E117" s="50">
        <v>46082</v>
      </c>
      <c r="F117" s="34" t="s">
        <v>3957</v>
      </c>
      <c r="G117" s="34">
        <v>-3346.8</v>
      </c>
      <c r="H117" s="34" t="s">
        <v>227</v>
      </c>
      <c r="I117" s="34" t="s">
        <v>3594</v>
      </c>
      <c r="J117" s="34" t="s">
        <v>47</v>
      </c>
      <c r="K117" s="35" t="s">
        <v>41</v>
      </c>
      <c r="L117" s="34" t="s">
        <v>463</v>
      </c>
      <c r="M117" s="34" t="s">
        <v>3958</v>
      </c>
      <c r="N117" s="34" t="s">
        <v>4337</v>
      </c>
      <c r="O117" s="34" t="s">
        <v>462</v>
      </c>
      <c r="Q117" s="52">
        <f t="shared" si="1"/>
        <v>48</v>
      </c>
    </row>
    <row r="118" spans="1:17" x14ac:dyDescent="0.25">
      <c r="A118" s="34" t="s">
        <v>3851</v>
      </c>
      <c r="B118" s="34" t="s">
        <v>3955</v>
      </c>
      <c r="C118" s="35" t="s">
        <v>3956</v>
      </c>
      <c r="E118" s="50">
        <v>46082</v>
      </c>
      <c r="F118" s="34" t="s">
        <v>3957</v>
      </c>
      <c r="G118" s="34">
        <v>-560</v>
      </c>
      <c r="H118" s="34" t="s">
        <v>227</v>
      </c>
      <c r="I118" s="34" t="s">
        <v>3594</v>
      </c>
      <c r="J118" s="34" t="s">
        <v>47</v>
      </c>
      <c r="K118" s="35" t="s">
        <v>41</v>
      </c>
      <c r="L118" s="34" t="s">
        <v>463</v>
      </c>
      <c r="M118" s="34" t="s">
        <v>3958</v>
      </c>
      <c r="N118" s="34" t="s">
        <v>4337</v>
      </c>
      <c r="O118" s="34" t="s">
        <v>462</v>
      </c>
      <c r="Q118" s="52">
        <f t="shared" si="1"/>
        <v>48</v>
      </c>
    </row>
    <row r="119" spans="1:17" x14ac:dyDescent="0.25">
      <c r="A119" s="34" t="s">
        <v>3959</v>
      </c>
      <c r="B119" s="34" t="s">
        <v>3960</v>
      </c>
      <c r="C119" s="35" t="s">
        <v>3961</v>
      </c>
      <c r="E119" s="50">
        <v>46064</v>
      </c>
      <c r="F119" s="34" t="s">
        <v>3962</v>
      </c>
      <c r="G119" s="34">
        <v>20.239999999999998</v>
      </c>
      <c r="H119" s="34" t="s">
        <v>227</v>
      </c>
      <c r="I119" s="34" t="s">
        <v>16</v>
      </c>
      <c r="J119" s="34" t="s">
        <v>89</v>
      </c>
      <c r="K119" s="35" t="s">
        <v>3185</v>
      </c>
      <c r="L119" s="34">
        <v>3500</v>
      </c>
      <c r="M119" s="34" t="s">
        <v>34</v>
      </c>
      <c r="N119" s="34" t="s">
        <v>4337</v>
      </c>
      <c r="O119" s="34" t="s">
        <v>80</v>
      </c>
      <c r="Q119" s="52">
        <f t="shared" si="1"/>
        <v>46</v>
      </c>
    </row>
    <row r="120" spans="1:17" x14ac:dyDescent="0.25">
      <c r="A120" s="34" t="s">
        <v>3959</v>
      </c>
      <c r="B120" s="34" t="s">
        <v>3960</v>
      </c>
      <c r="C120" s="35" t="s">
        <v>3961</v>
      </c>
      <c r="E120" s="50">
        <v>46078</v>
      </c>
      <c r="F120" s="34" t="s">
        <v>3840</v>
      </c>
      <c r="G120" s="34">
        <v>22.33</v>
      </c>
      <c r="H120" s="34" t="s">
        <v>227</v>
      </c>
      <c r="I120" s="34" t="s">
        <v>16</v>
      </c>
      <c r="J120" s="34" t="s">
        <v>95</v>
      </c>
      <c r="K120" s="35" t="s">
        <v>239</v>
      </c>
      <c r="L120" s="34">
        <v>3500</v>
      </c>
      <c r="M120" s="34" t="s">
        <v>34</v>
      </c>
      <c r="N120" s="34" t="s">
        <v>4337</v>
      </c>
      <c r="O120" s="34" t="s">
        <v>80</v>
      </c>
      <c r="Q120" s="52">
        <f t="shared" si="1"/>
        <v>29</v>
      </c>
    </row>
    <row r="121" spans="1:17" x14ac:dyDescent="0.25">
      <c r="A121" s="34" t="s">
        <v>3959</v>
      </c>
      <c r="B121" s="34" t="s">
        <v>3960</v>
      </c>
      <c r="C121" s="35" t="s">
        <v>3961</v>
      </c>
      <c r="E121" s="50">
        <v>46078</v>
      </c>
      <c r="F121" s="34" t="s">
        <v>3963</v>
      </c>
      <c r="G121" s="34">
        <v>704.06</v>
      </c>
      <c r="H121" s="34" t="s">
        <v>227</v>
      </c>
      <c r="I121" s="34" t="s">
        <v>16</v>
      </c>
      <c r="J121" s="34" t="s">
        <v>582</v>
      </c>
      <c r="K121" s="35" t="s">
        <v>583</v>
      </c>
      <c r="L121" s="34">
        <v>3500</v>
      </c>
      <c r="M121" s="34" t="s">
        <v>34</v>
      </c>
      <c r="N121" s="34" t="s">
        <v>4337</v>
      </c>
      <c r="O121" s="34" t="s">
        <v>80</v>
      </c>
      <c r="Q121" s="53">
        <f t="shared" si="1"/>
        <v>72</v>
      </c>
    </row>
    <row r="122" spans="1:17" x14ac:dyDescent="0.25">
      <c r="A122" s="34" t="s">
        <v>3959</v>
      </c>
      <c r="B122" s="34" t="s">
        <v>3960</v>
      </c>
      <c r="C122" s="35" t="s">
        <v>3961</v>
      </c>
      <c r="E122" s="50">
        <v>46077</v>
      </c>
      <c r="F122" s="34" t="s">
        <v>3964</v>
      </c>
      <c r="G122" s="34">
        <v>14.88</v>
      </c>
      <c r="H122" s="34" t="s">
        <v>227</v>
      </c>
      <c r="I122" s="34" t="s">
        <v>16</v>
      </c>
      <c r="J122" s="34" t="s">
        <v>89</v>
      </c>
      <c r="K122" s="35" t="s">
        <v>3185</v>
      </c>
      <c r="L122" s="34">
        <v>3500</v>
      </c>
      <c r="M122" s="34" t="s">
        <v>34</v>
      </c>
      <c r="N122" s="34" t="s">
        <v>4337</v>
      </c>
      <c r="O122" s="34" t="s">
        <v>80</v>
      </c>
      <c r="Q122" s="52">
        <f t="shared" si="1"/>
        <v>49</v>
      </c>
    </row>
    <row r="123" spans="1:17" x14ac:dyDescent="0.25">
      <c r="A123" s="34" t="s">
        <v>3959</v>
      </c>
      <c r="B123" s="34" t="s">
        <v>3960</v>
      </c>
      <c r="C123" s="35" t="s">
        <v>3961</v>
      </c>
      <c r="E123" s="50">
        <v>46076</v>
      </c>
      <c r="F123" s="34" t="s">
        <v>3965</v>
      </c>
      <c r="G123" s="34">
        <v>-1729.4</v>
      </c>
      <c r="H123" s="34" t="s">
        <v>227</v>
      </c>
      <c r="I123" s="34" t="s">
        <v>3594</v>
      </c>
      <c r="J123" s="34" t="s">
        <v>47</v>
      </c>
      <c r="K123" s="35" t="s">
        <v>41</v>
      </c>
      <c r="L123" s="34">
        <v>1035</v>
      </c>
      <c r="M123" s="34" t="s">
        <v>34</v>
      </c>
      <c r="N123" s="34" t="s">
        <v>4337</v>
      </c>
      <c r="O123" s="34" t="s">
        <v>80</v>
      </c>
      <c r="Q123" s="52">
        <f t="shared" si="1"/>
        <v>40</v>
      </c>
    </row>
    <row r="124" spans="1:17" x14ac:dyDescent="0.25">
      <c r="A124" s="34" t="s">
        <v>3959</v>
      </c>
      <c r="B124" s="34" t="s">
        <v>3960</v>
      </c>
      <c r="C124" s="35" t="s">
        <v>3961</v>
      </c>
      <c r="E124" s="50">
        <v>46076</v>
      </c>
      <c r="F124" s="34" t="s">
        <v>3967</v>
      </c>
      <c r="G124" s="34">
        <v>-2428.4899999999998</v>
      </c>
      <c r="H124" s="34" t="s">
        <v>227</v>
      </c>
      <c r="I124" s="34" t="s">
        <v>3594</v>
      </c>
      <c r="J124" s="34" t="s">
        <v>47</v>
      </c>
      <c r="K124" s="35" t="s">
        <v>41</v>
      </c>
      <c r="L124" s="34">
        <v>1035</v>
      </c>
      <c r="M124" s="34" t="s">
        <v>34</v>
      </c>
      <c r="N124" s="34" t="s">
        <v>4337</v>
      </c>
      <c r="O124" s="34" t="s">
        <v>80</v>
      </c>
      <c r="Q124" s="52">
        <f t="shared" si="1"/>
        <v>44</v>
      </c>
    </row>
    <row r="125" spans="1:17" x14ac:dyDescent="0.25">
      <c r="A125" s="34" t="s">
        <v>3959</v>
      </c>
      <c r="B125" s="34" t="s">
        <v>3960</v>
      </c>
      <c r="C125" s="35" t="s">
        <v>3961</v>
      </c>
      <c r="E125" s="50">
        <v>46075</v>
      </c>
      <c r="F125" s="34" t="s">
        <v>3968</v>
      </c>
      <c r="G125" s="34">
        <v>1729.4</v>
      </c>
      <c r="H125" s="34" t="s">
        <v>227</v>
      </c>
      <c r="I125" s="34" t="s">
        <v>3594</v>
      </c>
      <c r="J125" s="34" t="s">
        <v>47</v>
      </c>
      <c r="K125" s="35" t="s">
        <v>41</v>
      </c>
      <c r="L125" s="34">
        <v>1035</v>
      </c>
      <c r="M125" s="34" t="s">
        <v>34</v>
      </c>
      <c r="N125" s="34" t="s">
        <v>4337</v>
      </c>
      <c r="O125" s="34" t="s">
        <v>80</v>
      </c>
      <c r="Q125" s="52">
        <f t="shared" si="1"/>
        <v>33</v>
      </c>
    </row>
    <row r="126" spans="1:17" x14ac:dyDescent="0.25">
      <c r="A126" s="34" t="s">
        <v>3959</v>
      </c>
      <c r="B126" s="34" t="s">
        <v>3960</v>
      </c>
      <c r="C126" s="35" t="s">
        <v>3961</v>
      </c>
      <c r="E126" s="50">
        <v>46075</v>
      </c>
      <c r="F126" s="34" t="s">
        <v>3969</v>
      </c>
      <c r="G126" s="34">
        <v>2998.41</v>
      </c>
      <c r="H126" s="34" t="s">
        <v>227</v>
      </c>
      <c r="I126" s="34" t="s">
        <v>3594</v>
      </c>
      <c r="J126" s="34" t="s">
        <v>47</v>
      </c>
      <c r="K126" s="35" t="s">
        <v>41</v>
      </c>
      <c r="L126" s="34">
        <v>1035</v>
      </c>
      <c r="M126" s="34" t="s">
        <v>34</v>
      </c>
      <c r="N126" s="34" t="s">
        <v>4337</v>
      </c>
      <c r="O126" s="34" t="s">
        <v>80</v>
      </c>
      <c r="Q126" s="52">
        <f t="shared" si="1"/>
        <v>33</v>
      </c>
    </row>
    <row r="127" spans="1:17" x14ac:dyDescent="0.25">
      <c r="A127" s="34" t="s">
        <v>3959</v>
      </c>
      <c r="B127" s="34" t="s">
        <v>3960</v>
      </c>
      <c r="C127" s="35" t="s">
        <v>3961</v>
      </c>
      <c r="E127" s="50">
        <v>46075</v>
      </c>
      <c r="F127" s="34" t="s">
        <v>4780</v>
      </c>
      <c r="G127" s="34">
        <v>30</v>
      </c>
      <c r="H127" s="34" t="s">
        <v>227</v>
      </c>
      <c r="I127" s="34" t="s">
        <v>3594</v>
      </c>
      <c r="J127" s="34" t="s">
        <v>30</v>
      </c>
      <c r="K127" s="35" t="s">
        <v>790</v>
      </c>
      <c r="L127" s="34">
        <v>1035</v>
      </c>
      <c r="M127" s="34" t="s">
        <v>34</v>
      </c>
      <c r="N127" s="34" t="s">
        <v>4337</v>
      </c>
      <c r="O127" s="34" t="s">
        <v>80</v>
      </c>
      <c r="Q127" s="52">
        <f t="shared" si="1"/>
        <v>45</v>
      </c>
    </row>
    <row r="128" spans="1:17" x14ac:dyDescent="0.25">
      <c r="A128" s="34" t="s">
        <v>3959</v>
      </c>
      <c r="B128" s="34" t="s">
        <v>3960</v>
      </c>
      <c r="C128" s="35" t="s">
        <v>3961</v>
      </c>
      <c r="E128" s="50">
        <v>46072</v>
      </c>
      <c r="F128" s="34" t="s">
        <v>3840</v>
      </c>
      <c r="G128" s="34">
        <v>22.33</v>
      </c>
      <c r="H128" s="34" t="s">
        <v>227</v>
      </c>
      <c r="I128" s="34" t="s">
        <v>16</v>
      </c>
      <c r="J128" s="34" t="s">
        <v>95</v>
      </c>
      <c r="K128" s="35" t="s">
        <v>239</v>
      </c>
      <c r="L128" s="34">
        <v>3500</v>
      </c>
      <c r="M128" s="34" t="s">
        <v>34</v>
      </c>
      <c r="N128" s="34" t="s">
        <v>4337</v>
      </c>
      <c r="O128" s="34" t="s">
        <v>80</v>
      </c>
      <c r="Q128" s="52">
        <f t="shared" si="1"/>
        <v>29</v>
      </c>
    </row>
    <row r="129" spans="1:17" x14ac:dyDescent="0.25">
      <c r="A129" s="34" t="s">
        <v>3959</v>
      </c>
      <c r="B129" s="34" t="s">
        <v>3960</v>
      </c>
      <c r="C129" s="35" t="s">
        <v>3961</v>
      </c>
      <c r="E129" s="50">
        <v>46083</v>
      </c>
      <c r="F129" s="34" t="s">
        <v>3840</v>
      </c>
      <c r="G129" s="34">
        <v>23.41</v>
      </c>
      <c r="H129" s="34" t="s">
        <v>227</v>
      </c>
      <c r="I129" s="34" t="s">
        <v>16</v>
      </c>
      <c r="J129" s="34" t="s">
        <v>134</v>
      </c>
      <c r="K129" s="35" t="s">
        <v>242</v>
      </c>
      <c r="L129" s="34">
        <v>3500</v>
      </c>
      <c r="M129" s="34" t="s">
        <v>34</v>
      </c>
      <c r="N129" s="34" t="s">
        <v>4337</v>
      </c>
      <c r="O129" s="34" t="s">
        <v>80</v>
      </c>
      <c r="Q129" s="52">
        <f t="shared" si="1"/>
        <v>35</v>
      </c>
    </row>
    <row r="130" spans="1:17" x14ac:dyDescent="0.25">
      <c r="A130" s="34" t="s">
        <v>3959</v>
      </c>
      <c r="B130" s="34" t="s">
        <v>3960</v>
      </c>
      <c r="C130" s="35" t="s">
        <v>3961</v>
      </c>
      <c r="E130" s="50">
        <v>46078</v>
      </c>
      <c r="F130" s="34" t="s">
        <v>3971</v>
      </c>
      <c r="G130" s="34">
        <v>19.739999999999998</v>
      </c>
      <c r="H130" s="34" t="s">
        <v>227</v>
      </c>
      <c r="I130" s="34" t="s">
        <v>21</v>
      </c>
      <c r="J130" s="34" t="s">
        <v>83</v>
      </c>
      <c r="K130" s="35" t="s">
        <v>709</v>
      </c>
      <c r="L130" s="34">
        <v>3500</v>
      </c>
      <c r="M130" s="34" t="s">
        <v>34</v>
      </c>
      <c r="N130" s="34" t="s">
        <v>4337</v>
      </c>
      <c r="O130" s="34" t="s">
        <v>80</v>
      </c>
      <c r="Q130" s="52">
        <f t="shared" si="1"/>
        <v>54</v>
      </c>
    </row>
    <row r="131" spans="1:17" x14ac:dyDescent="0.25">
      <c r="A131" s="34" t="s">
        <v>3959</v>
      </c>
      <c r="B131" s="34" t="s">
        <v>3960</v>
      </c>
      <c r="C131" s="35" t="s">
        <v>3961</v>
      </c>
      <c r="E131" s="50">
        <v>46075</v>
      </c>
      <c r="F131" s="34" t="s">
        <v>3968</v>
      </c>
      <c r="G131" s="34">
        <v>1472.68</v>
      </c>
      <c r="H131" s="34" t="s">
        <v>227</v>
      </c>
      <c r="I131" s="34" t="s">
        <v>3594</v>
      </c>
      <c r="J131" s="34" t="s">
        <v>32</v>
      </c>
      <c r="K131" s="35" t="s">
        <v>29</v>
      </c>
      <c r="L131" s="34">
        <v>1035</v>
      </c>
      <c r="M131" s="34" t="s">
        <v>34</v>
      </c>
      <c r="N131" s="34" t="s">
        <v>4337</v>
      </c>
      <c r="O131" s="34" t="s">
        <v>80</v>
      </c>
      <c r="Q131" s="52">
        <f t="shared" ref="Q131:Q194" si="2">LEN(F131&amp;K131)+12</f>
        <v>34</v>
      </c>
    </row>
    <row r="132" spans="1:17" x14ac:dyDescent="0.25">
      <c r="A132" s="34" t="s">
        <v>3972</v>
      </c>
      <c r="B132" s="34" t="s">
        <v>3973</v>
      </c>
      <c r="C132" s="35" t="s">
        <v>3974</v>
      </c>
      <c r="E132" s="50">
        <v>46062</v>
      </c>
      <c r="F132" s="34" t="s">
        <v>3975</v>
      </c>
      <c r="G132" s="34">
        <v>31.99</v>
      </c>
      <c r="H132" s="34" t="s">
        <v>227</v>
      </c>
      <c r="I132" s="34" t="s">
        <v>21</v>
      </c>
      <c r="J132" s="34" t="s">
        <v>111</v>
      </c>
      <c r="K132" s="35" t="s">
        <v>239</v>
      </c>
      <c r="L132" s="34">
        <v>3285</v>
      </c>
      <c r="M132" s="34" t="s">
        <v>34</v>
      </c>
      <c r="N132" s="34" t="s">
        <v>4337</v>
      </c>
      <c r="O132" s="34" t="s">
        <v>500</v>
      </c>
      <c r="Q132" s="52">
        <f t="shared" si="2"/>
        <v>40</v>
      </c>
    </row>
    <row r="133" spans="1:17" x14ac:dyDescent="0.25">
      <c r="A133" s="34" t="s">
        <v>3972</v>
      </c>
      <c r="B133" s="34" t="s">
        <v>3973</v>
      </c>
      <c r="C133" s="35" t="s">
        <v>3974</v>
      </c>
      <c r="E133" s="50">
        <v>46062</v>
      </c>
      <c r="F133" s="34" t="s">
        <v>3976</v>
      </c>
      <c r="G133" s="34">
        <v>22.65</v>
      </c>
      <c r="H133" s="34" t="s">
        <v>227</v>
      </c>
      <c r="I133" s="34" t="s">
        <v>16</v>
      </c>
      <c r="J133" s="34" t="s">
        <v>2671</v>
      </c>
      <c r="K133" s="35" t="s">
        <v>2774</v>
      </c>
      <c r="L133" s="34">
        <v>3285</v>
      </c>
      <c r="M133" s="34" t="s">
        <v>34</v>
      </c>
      <c r="N133" s="34" t="s">
        <v>4337</v>
      </c>
      <c r="O133" s="34" t="s">
        <v>500</v>
      </c>
      <c r="Q133" s="52">
        <f t="shared" si="2"/>
        <v>49</v>
      </c>
    </row>
    <row r="134" spans="1:17" x14ac:dyDescent="0.25">
      <c r="A134" s="34" t="s">
        <v>3972</v>
      </c>
      <c r="B134" s="34" t="s">
        <v>3973</v>
      </c>
      <c r="C134" s="35" t="s">
        <v>3974</v>
      </c>
      <c r="E134" s="50">
        <v>46062</v>
      </c>
      <c r="F134" s="34" t="s">
        <v>3976</v>
      </c>
      <c r="G134" s="34">
        <v>7.64</v>
      </c>
      <c r="H134" s="34" t="s">
        <v>227</v>
      </c>
      <c r="I134" s="34" t="s">
        <v>16</v>
      </c>
      <c r="J134" s="34" t="s">
        <v>3977</v>
      </c>
      <c r="K134" s="35" t="s">
        <v>1078</v>
      </c>
      <c r="L134" s="34">
        <v>3285</v>
      </c>
      <c r="M134" s="34" t="s">
        <v>34</v>
      </c>
      <c r="N134" s="34" t="s">
        <v>4337</v>
      </c>
      <c r="O134" s="34" t="s">
        <v>500</v>
      </c>
      <c r="Q134" s="52">
        <f t="shared" si="2"/>
        <v>49</v>
      </c>
    </row>
    <row r="135" spans="1:17" x14ac:dyDescent="0.25">
      <c r="A135" s="34" t="s">
        <v>3972</v>
      </c>
      <c r="B135" s="34" t="s">
        <v>3973</v>
      </c>
      <c r="C135" s="35" t="s">
        <v>3974</v>
      </c>
      <c r="E135" s="50">
        <v>46062</v>
      </c>
      <c r="F135" s="34" t="s">
        <v>3976</v>
      </c>
      <c r="G135" s="34">
        <v>17.899999999999999</v>
      </c>
      <c r="H135" s="34" t="s">
        <v>227</v>
      </c>
      <c r="I135" s="34" t="s">
        <v>16</v>
      </c>
      <c r="J135" s="34" t="s">
        <v>2898</v>
      </c>
      <c r="K135" s="35" t="s">
        <v>2980</v>
      </c>
      <c r="L135" s="34">
        <v>3285</v>
      </c>
      <c r="M135" s="34" t="s">
        <v>34</v>
      </c>
      <c r="N135" s="34" t="s">
        <v>4337</v>
      </c>
      <c r="O135" s="34" t="s">
        <v>500</v>
      </c>
      <c r="Q135" s="52">
        <f t="shared" si="2"/>
        <v>51</v>
      </c>
    </row>
    <row r="136" spans="1:17" x14ac:dyDescent="0.25">
      <c r="A136" s="34" t="s">
        <v>3972</v>
      </c>
      <c r="B136" s="34" t="s">
        <v>3973</v>
      </c>
      <c r="C136" s="35" t="s">
        <v>3974</v>
      </c>
      <c r="E136" s="50">
        <v>46059</v>
      </c>
      <c r="F136" s="34" t="s">
        <v>3978</v>
      </c>
      <c r="G136" s="34">
        <v>144.97</v>
      </c>
      <c r="H136" s="34" t="s">
        <v>227</v>
      </c>
      <c r="I136" s="34" t="s">
        <v>21</v>
      </c>
      <c r="J136" s="34" t="s">
        <v>111</v>
      </c>
      <c r="K136" s="35" t="s">
        <v>239</v>
      </c>
      <c r="L136" s="34">
        <v>3369</v>
      </c>
      <c r="M136" s="34" t="s">
        <v>34</v>
      </c>
      <c r="N136" s="34" t="s">
        <v>4337</v>
      </c>
      <c r="O136" s="34" t="s">
        <v>500</v>
      </c>
      <c r="Q136" s="52">
        <f t="shared" si="2"/>
        <v>44</v>
      </c>
    </row>
    <row r="137" spans="1:17" x14ac:dyDescent="0.25">
      <c r="A137" s="34" t="s">
        <v>3972</v>
      </c>
      <c r="B137" s="34" t="s">
        <v>3973</v>
      </c>
      <c r="C137" s="35" t="s">
        <v>3974</v>
      </c>
      <c r="E137" s="50">
        <v>46059</v>
      </c>
      <c r="F137" s="34" t="s">
        <v>3979</v>
      </c>
      <c r="G137" s="34">
        <v>8</v>
      </c>
      <c r="H137" s="34" t="s">
        <v>227</v>
      </c>
      <c r="I137" s="34" t="s">
        <v>3922</v>
      </c>
      <c r="J137" s="34" t="s">
        <v>93</v>
      </c>
      <c r="K137" s="35" t="s">
        <v>29</v>
      </c>
      <c r="L137" s="34">
        <v>3369</v>
      </c>
      <c r="M137" s="34" t="s">
        <v>34</v>
      </c>
      <c r="N137" s="34" t="s">
        <v>4337</v>
      </c>
      <c r="O137" s="34" t="s">
        <v>500</v>
      </c>
      <c r="Q137" s="52">
        <f t="shared" si="2"/>
        <v>47</v>
      </c>
    </row>
    <row r="138" spans="1:17" x14ac:dyDescent="0.25">
      <c r="A138" s="34" t="s">
        <v>3972</v>
      </c>
      <c r="B138" s="34" t="s">
        <v>3973</v>
      </c>
      <c r="C138" s="35" t="s">
        <v>3974</v>
      </c>
      <c r="E138" s="50">
        <v>46059</v>
      </c>
      <c r="F138" s="34" t="s">
        <v>3980</v>
      </c>
      <c r="G138" s="34">
        <v>131.78</v>
      </c>
      <c r="H138" s="34" t="s">
        <v>227</v>
      </c>
      <c r="I138" s="34" t="s">
        <v>3864</v>
      </c>
      <c r="J138" s="34" t="s">
        <v>3981</v>
      </c>
      <c r="K138" s="35" t="s">
        <v>1249</v>
      </c>
      <c r="L138" s="34">
        <v>3369</v>
      </c>
      <c r="M138" s="34" t="s">
        <v>34</v>
      </c>
      <c r="N138" s="34" t="s">
        <v>4337</v>
      </c>
      <c r="O138" s="34" t="s">
        <v>500</v>
      </c>
      <c r="Q138" s="52">
        <f t="shared" si="2"/>
        <v>40</v>
      </c>
    </row>
    <row r="139" spans="1:17" x14ac:dyDescent="0.25">
      <c r="A139" s="34" t="s">
        <v>3972</v>
      </c>
      <c r="B139" s="34" t="s">
        <v>3973</v>
      </c>
      <c r="C139" s="35" t="s">
        <v>3974</v>
      </c>
      <c r="E139" s="50">
        <v>46058</v>
      </c>
      <c r="F139" s="34" t="s">
        <v>3982</v>
      </c>
      <c r="G139" s="34">
        <v>5.2</v>
      </c>
      <c r="H139" s="34" t="s">
        <v>227</v>
      </c>
      <c r="I139" s="34" t="s">
        <v>21</v>
      </c>
      <c r="J139" s="34" t="s">
        <v>111</v>
      </c>
      <c r="K139" s="35" t="s">
        <v>239</v>
      </c>
      <c r="L139" s="34">
        <v>3369</v>
      </c>
      <c r="M139" s="34" t="s">
        <v>34</v>
      </c>
      <c r="N139" s="34" t="s">
        <v>4337</v>
      </c>
      <c r="O139" s="34" t="s">
        <v>500</v>
      </c>
      <c r="Q139" s="52">
        <f t="shared" si="2"/>
        <v>59</v>
      </c>
    </row>
    <row r="140" spans="1:17" x14ac:dyDescent="0.25">
      <c r="A140" s="34" t="s">
        <v>3972</v>
      </c>
      <c r="B140" s="34" t="s">
        <v>3973</v>
      </c>
      <c r="C140" s="35" t="s">
        <v>3974</v>
      </c>
      <c r="E140" s="50">
        <v>46058</v>
      </c>
      <c r="F140" s="34" t="s">
        <v>3979</v>
      </c>
      <c r="G140" s="34">
        <v>8</v>
      </c>
      <c r="H140" s="34" t="s">
        <v>227</v>
      </c>
      <c r="I140" s="34" t="s">
        <v>3922</v>
      </c>
      <c r="J140" s="34" t="s">
        <v>93</v>
      </c>
      <c r="K140" s="35" t="s">
        <v>29</v>
      </c>
      <c r="L140" s="34">
        <v>3369</v>
      </c>
      <c r="M140" s="34" t="s">
        <v>34</v>
      </c>
      <c r="N140" s="34" t="s">
        <v>4337</v>
      </c>
      <c r="O140" s="34" t="s">
        <v>500</v>
      </c>
      <c r="Q140" s="52">
        <f t="shared" si="2"/>
        <v>47</v>
      </c>
    </row>
    <row r="141" spans="1:17" x14ac:dyDescent="0.25">
      <c r="A141" s="34" t="s">
        <v>3972</v>
      </c>
      <c r="B141" s="34" t="s">
        <v>3973</v>
      </c>
      <c r="C141" s="35" t="s">
        <v>3974</v>
      </c>
      <c r="E141" s="50">
        <v>46058</v>
      </c>
      <c r="F141" s="34" t="s">
        <v>3983</v>
      </c>
      <c r="G141" s="34">
        <v>6.67</v>
      </c>
      <c r="H141" s="34" t="s">
        <v>227</v>
      </c>
      <c r="I141" s="34" t="s">
        <v>16</v>
      </c>
      <c r="J141" s="34" t="s">
        <v>3984</v>
      </c>
      <c r="K141" s="35" t="s">
        <v>4502</v>
      </c>
      <c r="L141" s="34">
        <v>3369</v>
      </c>
      <c r="M141" s="34" t="s">
        <v>34</v>
      </c>
      <c r="N141" s="34" t="s">
        <v>4337</v>
      </c>
      <c r="O141" s="34" t="s">
        <v>500</v>
      </c>
      <c r="Q141" s="52">
        <f t="shared" si="2"/>
        <v>43</v>
      </c>
    </row>
    <row r="142" spans="1:17" x14ac:dyDescent="0.25">
      <c r="A142" s="34" t="s">
        <v>3972</v>
      </c>
      <c r="B142" s="34" t="s">
        <v>3973</v>
      </c>
      <c r="C142" s="35" t="s">
        <v>3974</v>
      </c>
      <c r="E142" s="50">
        <v>46058</v>
      </c>
      <c r="F142" s="34" t="s">
        <v>3983</v>
      </c>
      <c r="G142" s="34">
        <v>7.36</v>
      </c>
      <c r="H142" s="34" t="s">
        <v>227</v>
      </c>
      <c r="I142" s="34" t="s">
        <v>16</v>
      </c>
      <c r="J142" s="34" t="s">
        <v>3598</v>
      </c>
      <c r="K142" s="35" t="s">
        <v>1159</v>
      </c>
      <c r="L142" s="34">
        <v>3369</v>
      </c>
      <c r="M142" s="34" t="s">
        <v>34</v>
      </c>
      <c r="N142" s="34" t="s">
        <v>4337</v>
      </c>
      <c r="O142" s="34" t="s">
        <v>500</v>
      </c>
      <c r="Q142" s="52">
        <f t="shared" si="2"/>
        <v>51</v>
      </c>
    </row>
    <row r="143" spans="1:17" x14ac:dyDescent="0.25">
      <c r="A143" s="34" t="s">
        <v>3972</v>
      </c>
      <c r="B143" s="34" t="s">
        <v>3973</v>
      </c>
      <c r="C143" s="35" t="s">
        <v>3974</v>
      </c>
      <c r="E143" s="50">
        <v>46057</v>
      </c>
      <c r="F143" s="34" t="s">
        <v>3985</v>
      </c>
      <c r="G143" s="34">
        <v>383.4</v>
      </c>
      <c r="H143" s="34" t="s">
        <v>227</v>
      </c>
      <c r="I143" s="34" t="s">
        <v>3594</v>
      </c>
      <c r="J143" s="34" t="s">
        <v>41</v>
      </c>
      <c r="K143" s="35" t="s">
        <v>41</v>
      </c>
      <c r="L143" s="34">
        <v>3353</v>
      </c>
      <c r="M143" s="34" t="s">
        <v>34</v>
      </c>
      <c r="N143" s="34" t="s">
        <v>4337</v>
      </c>
      <c r="O143" s="34" t="s">
        <v>500</v>
      </c>
      <c r="Q143" s="52">
        <f t="shared" si="2"/>
        <v>42</v>
      </c>
    </row>
    <row r="144" spans="1:17" x14ac:dyDescent="0.25">
      <c r="A144" s="34" t="s">
        <v>3972</v>
      </c>
      <c r="B144" s="34" t="s">
        <v>3973</v>
      </c>
      <c r="C144" s="35" t="s">
        <v>3974</v>
      </c>
      <c r="E144" s="50">
        <v>46057</v>
      </c>
      <c r="F144" s="34" t="s">
        <v>3986</v>
      </c>
      <c r="G144" s="34">
        <v>30</v>
      </c>
      <c r="H144" s="34" t="s">
        <v>227</v>
      </c>
      <c r="I144" s="34" t="s">
        <v>3594</v>
      </c>
      <c r="J144" s="34" t="s">
        <v>30</v>
      </c>
      <c r="K144" s="35" t="s">
        <v>790</v>
      </c>
      <c r="L144" s="34">
        <v>3285</v>
      </c>
      <c r="M144" s="34" t="s">
        <v>34</v>
      </c>
      <c r="N144" s="34" t="s">
        <v>4337</v>
      </c>
      <c r="O144" s="34" t="s">
        <v>500</v>
      </c>
      <c r="Q144" s="52">
        <f t="shared" si="2"/>
        <v>57</v>
      </c>
    </row>
    <row r="145" spans="1:17" x14ac:dyDescent="0.25">
      <c r="A145" s="34" t="s">
        <v>3972</v>
      </c>
      <c r="B145" s="34" t="s">
        <v>3973</v>
      </c>
      <c r="C145" s="35" t="s">
        <v>3974</v>
      </c>
      <c r="E145" s="50">
        <v>46057</v>
      </c>
      <c r="F145" s="34" t="s">
        <v>3987</v>
      </c>
      <c r="G145" s="34">
        <v>30</v>
      </c>
      <c r="H145" s="34" t="s">
        <v>227</v>
      </c>
      <c r="I145" s="34" t="s">
        <v>3594</v>
      </c>
      <c r="J145" s="34" t="s">
        <v>30</v>
      </c>
      <c r="K145" s="35" t="s">
        <v>790</v>
      </c>
      <c r="L145" s="34">
        <v>3353</v>
      </c>
      <c r="M145" s="34" t="s">
        <v>34</v>
      </c>
      <c r="N145" s="34" t="s">
        <v>4337</v>
      </c>
      <c r="O145" s="34" t="s">
        <v>500</v>
      </c>
      <c r="Q145" s="52">
        <f t="shared" si="2"/>
        <v>51</v>
      </c>
    </row>
    <row r="146" spans="1:17" x14ac:dyDescent="0.25">
      <c r="A146" s="34" t="s">
        <v>3972</v>
      </c>
      <c r="B146" s="34" t="s">
        <v>3973</v>
      </c>
      <c r="C146" s="35" t="s">
        <v>3974</v>
      </c>
      <c r="E146" s="50">
        <v>46057</v>
      </c>
      <c r="F146" s="34" t="s">
        <v>3988</v>
      </c>
      <c r="G146" s="34">
        <v>-363.4</v>
      </c>
      <c r="H146" s="34" t="s">
        <v>227</v>
      </c>
      <c r="I146" s="34" t="s">
        <v>3594</v>
      </c>
      <c r="J146" s="34" t="s">
        <v>32</v>
      </c>
      <c r="K146" s="35" t="s">
        <v>29</v>
      </c>
      <c r="L146" s="34">
        <v>3285</v>
      </c>
      <c r="M146" s="34" t="s">
        <v>34</v>
      </c>
      <c r="N146" s="34" t="s">
        <v>4337</v>
      </c>
      <c r="O146" s="34" t="s">
        <v>500</v>
      </c>
      <c r="Q146" s="52">
        <f t="shared" si="2"/>
        <v>49</v>
      </c>
    </row>
    <row r="147" spans="1:17" x14ac:dyDescent="0.25">
      <c r="A147" s="34" t="s">
        <v>3972</v>
      </c>
      <c r="B147" s="34" t="s">
        <v>3973</v>
      </c>
      <c r="C147" s="35" t="s">
        <v>3974</v>
      </c>
      <c r="E147" s="50">
        <v>46062</v>
      </c>
      <c r="F147" s="34" t="s">
        <v>3989</v>
      </c>
      <c r="G147" s="34">
        <v>2746.26</v>
      </c>
      <c r="H147" s="34" t="s">
        <v>227</v>
      </c>
      <c r="I147" s="34" t="s">
        <v>3594</v>
      </c>
      <c r="J147" s="34" t="s">
        <v>29</v>
      </c>
      <c r="K147" s="35" t="s">
        <v>29</v>
      </c>
      <c r="L147" s="34">
        <v>3353</v>
      </c>
      <c r="M147" s="34" t="s">
        <v>34</v>
      </c>
      <c r="N147" s="34" t="s">
        <v>4337</v>
      </c>
      <c r="O147" s="34" t="s">
        <v>500</v>
      </c>
      <c r="Q147" s="52">
        <f t="shared" si="2"/>
        <v>41</v>
      </c>
    </row>
    <row r="148" spans="1:17" x14ac:dyDescent="0.25">
      <c r="A148" s="34" t="s">
        <v>3972</v>
      </c>
      <c r="B148" s="34" t="s">
        <v>3973</v>
      </c>
      <c r="C148" s="35" t="s">
        <v>3974</v>
      </c>
      <c r="E148" s="50">
        <v>46062</v>
      </c>
      <c r="F148" s="34" t="s">
        <v>3990</v>
      </c>
      <c r="G148" s="34">
        <v>2746.27</v>
      </c>
      <c r="H148" s="34" t="s">
        <v>227</v>
      </c>
      <c r="I148" s="34" t="s">
        <v>3594</v>
      </c>
      <c r="J148" s="34" t="s">
        <v>29</v>
      </c>
      <c r="K148" s="35" t="s">
        <v>29</v>
      </c>
      <c r="L148" s="34" t="s">
        <v>3991</v>
      </c>
      <c r="M148" s="34" t="s">
        <v>34</v>
      </c>
      <c r="N148" s="34" t="s">
        <v>4337</v>
      </c>
      <c r="O148" s="34" t="s">
        <v>500</v>
      </c>
      <c r="Q148" s="52">
        <f t="shared" si="2"/>
        <v>37</v>
      </c>
    </row>
    <row r="149" spans="1:17" x14ac:dyDescent="0.25">
      <c r="A149" s="34" t="s">
        <v>3972</v>
      </c>
      <c r="B149" s="34" t="s">
        <v>3973</v>
      </c>
      <c r="C149" s="35" t="s">
        <v>3974</v>
      </c>
      <c r="E149" s="50">
        <v>46063</v>
      </c>
      <c r="F149" s="34" t="s">
        <v>3992</v>
      </c>
      <c r="G149" s="34">
        <v>40.97</v>
      </c>
      <c r="H149" s="34" t="s">
        <v>227</v>
      </c>
      <c r="I149" s="34" t="s">
        <v>21</v>
      </c>
      <c r="J149" s="34" t="s">
        <v>111</v>
      </c>
      <c r="K149" s="35" t="s">
        <v>239</v>
      </c>
      <c r="L149" s="34">
        <v>3353</v>
      </c>
      <c r="M149" s="34" t="s">
        <v>34</v>
      </c>
      <c r="N149" s="34" t="s">
        <v>4337</v>
      </c>
      <c r="O149" s="34" t="s">
        <v>500</v>
      </c>
      <c r="Q149" s="52">
        <f t="shared" si="2"/>
        <v>43</v>
      </c>
    </row>
    <row r="150" spans="1:17" x14ac:dyDescent="0.25">
      <c r="A150" s="34" t="s">
        <v>3972</v>
      </c>
      <c r="B150" s="34" t="s">
        <v>3973</v>
      </c>
      <c r="C150" s="35" t="s">
        <v>3974</v>
      </c>
      <c r="E150" s="50">
        <v>46065</v>
      </c>
      <c r="F150" s="34" t="s">
        <v>3993</v>
      </c>
      <c r="G150" s="34">
        <v>-188.17</v>
      </c>
      <c r="H150" s="34" t="s">
        <v>227</v>
      </c>
      <c r="I150" s="34" t="s">
        <v>3594</v>
      </c>
      <c r="J150" s="34" t="s">
        <v>32</v>
      </c>
      <c r="K150" s="35" t="s">
        <v>29</v>
      </c>
      <c r="L150" s="34">
        <v>3369</v>
      </c>
      <c r="M150" s="34" t="s">
        <v>34</v>
      </c>
      <c r="N150" s="34" t="s">
        <v>4337</v>
      </c>
      <c r="O150" s="34" t="s">
        <v>500</v>
      </c>
      <c r="Q150" s="52">
        <f t="shared" si="2"/>
        <v>60</v>
      </c>
    </row>
    <row r="151" spans="1:17" x14ac:dyDescent="0.25">
      <c r="A151" s="34" t="s">
        <v>3972</v>
      </c>
      <c r="B151" s="34" t="s">
        <v>3973</v>
      </c>
      <c r="C151" s="35" t="s">
        <v>3974</v>
      </c>
      <c r="E151" s="50">
        <v>46065</v>
      </c>
      <c r="F151" s="34" t="s">
        <v>3994</v>
      </c>
      <c r="G151" s="34">
        <v>30</v>
      </c>
      <c r="H151" s="34" t="s">
        <v>227</v>
      </c>
      <c r="I151" s="34" t="s">
        <v>3594</v>
      </c>
      <c r="J151" s="34" t="s">
        <v>30</v>
      </c>
      <c r="K151" s="35" t="s">
        <v>790</v>
      </c>
      <c r="L151" s="34">
        <v>3369</v>
      </c>
      <c r="M151" s="34" t="s">
        <v>34</v>
      </c>
      <c r="N151" s="34" t="s">
        <v>4337</v>
      </c>
      <c r="O151" s="34" t="s">
        <v>500</v>
      </c>
      <c r="Q151" s="52">
        <f t="shared" si="2"/>
        <v>68</v>
      </c>
    </row>
    <row r="152" spans="1:17" x14ac:dyDescent="0.25">
      <c r="A152" s="34" t="s">
        <v>3972</v>
      </c>
      <c r="B152" s="34" t="s">
        <v>3973</v>
      </c>
      <c r="C152" s="35" t="s">
        <v>3974</v>
      </c>
      <c r="E152" s="50">
        <v>46064</v>
      </c>
      <c r="F152" s="34" t="s">
        <v>3995</v>
      </c>
      <c r="G152" s="34">
        <v>55.36</v>
      </c>
      <c r="H152" s="34" t="s">
        <v>227</v>
      </c>
      <c r="I152" s="34" t="s">
        <v>21</v>
      </c>
      <c r="J152" s="34" t="s">
        <v>111</v>
      </c>
      <c r="K152" s="35" t="s">
        <v>239</v>
      </c>
      <c r="L152" s="34">
        <v>3501</v>
      </c>
      <c r="M152" s="34" t="s">
        <v>34</v>
      </c>
      <c r="N152" s="34" t="s">
        <v>4337</v>
      </c>
      <c r="O152" s="34" t="s">
        <v>500</v>
      </c>
      <c r="Q152" s="52">
        <f t="shared" si="2"/>
        <v>40</v>
      </c>
    </row>
    <row r="153" spans="1:17" x14ac:dyDescent="0.25">
      <c r="A153" s="34" t="s">
        <v>3972</v>
      </c>
      <c r="B153" s="34" t="s">
        <v>3973</v>
      </c>
      <c r="C153" s="35" t="s">
        <v>3974</v>
      </c>
      <c r="E153" s="50">
        <v>46064</v>
      </c>
      <c r="F153" s="34" t="s">
        <v>3996</v>
      </c>
      <c r="G153" s="34">
        <v>23.74</v>
      </c>
      <c r="H153" s="34" t="s">
        <v>227</v>
      </c>
      <c r="I153" s="34" t="s">
        <v>21</v>
      </c>
      <c r="J153" s="34" t="s">
        <v>111</v>
      </c>
      <c r="K153" s="35" t="s">
        <v>239</v>
      </c>
      <c r="L153" s="34">
        <v>3501</v>
      </c>
      <c r="M153" s="34" t="s">
        <v>34</v>
      </c>
      <c r="N153" s="34" t="s">
        <v>4337</v>
      </c>
      <c r="O153" s="34" t="s">
        <v>500</v>
      </c>
      <c r="Q153" s="52">
        <f t="shared" si="2"/>
        <v>59</v>
      </c>
    </row>
    <row r="154" spans="1:17" x14ac:dyDescent="0.25">
      <c r="A154" s="34" t="s">
        <v>3972</v>
      </c>
      <c r="B154" s="34" t="s">
        <v>3973</v>
      </c>
      <c r="C154" s="35" t="s">
        <v>3974</v>
      </c>
      <c r="E154" s="50">
        <v>46062</v>
      </c>
      <c r="F154" s="34" t="s">
        <v>3997</v>
      </c>
      <c r="G154" s="34">
        <v>8</v>
      </c>
      <c r="H154" s="34" t="s">
        <v>227</v>
      </c>
      <c r="I154" s="34" t="s">
        <v>3922</v>
      </c>
      <c r="J154" s="34" t="s">
        <v>93</v>
      </c>
      <c r="K154" s="35" t="s">
        <v>29</v>
      </c>
      <c r="L154" s="34">
        <v>3285</v>
      </c>
      <c r="M154" s="34" t="s">
        <v>34</v>
      </c>
      <c r="N154" s="34" t="s">
        <v>4337</v>
      </c>
      <c r="O154" s="34" t="s">
        <v>500</v>
      </c>
      <c r="Q154" s="52">
        <f t="shared" si="2"/>
        <v>48</v>
      </c>
    </row>
    <row r="155" spans="1:17" x14ac:dyDescent="0.25">
      <c r="A155" s="34" t="s">
        <v>3972</v>
      </c>
      <c r="B155" s="34" t="s">
        <v>3973</v>
      </c>
      <c r="C155" s="35" t="s">
        <v>3974</v>
      </c>
      <c r="E155" s="50">
        <v>46062</v>
      </c>
      <c r="F155" s="34" t="s">
        <v>3998</v>
      </c>
      <c r="G155" s="34">
        <v>22.5</v>
      </c>
      <c r="H155" s="34" t="s">
        <v>227</v>
      </c>
      <c r="I155" s="34" t="s">
        <v>3594</v>
      </c>
      <c r="J155" s="34" t="s">
        <v>30</v>
      </c>
      <c r="K155" s="35" t="s">
        <v>790</v>
      </c>
      <c r="L155" s="34">
        <v>3353</v>
      </c>
      <c r="M155" s="34" t="s">
        <v>34</v>
      </c>
      <c r="N155" s="34" t="s">
        <v>4337</v>
      </c>
      <c r="O155" s="34" t="s">
        <v>500</v>
      </c>
      <c r="Q155" s="52">
        <f t="shared" si="2"/>
        <v>49</v>
      </c>
    </row>
    <row r="156" spans="1:17" x14ac:dyDescent="0.25">
      <c r="A156" s="34" t="s">
        <v>3972</v>
      </c>
      <c r="B156" s="34" t="s">
        <v>3973</v>
      </c>
      <c r="C156" s="35" t="s">
        <v>3974</v>
      </c>
      <c r="E156" s="50">
        <v>46062</v>
      </c>
      <c r="F156" s="34" t="s">
        <v>3999</v>
      </c>
      <c r="G156" s="34">
        <v>22.5</v>
      </c>
      <c r="H156" s="34" t="s">
        <v>227</v>
      </c>
      <c r="I156" s="34" t="s">
        <v>3594</v>
      </c>
      <c r="J156" s="34" t="s">
        <v>30</v>
      </c>
      <c r="K156" s="35" t="s">
        <v>790</v>
      </c>
      <c r="L156" s="34" t="s">
        <v>3991</v>
      </c>
      <c r="M156" s="34" t="s">
        <v>34</v>
      </c>
      <c r="N156" s="34" t="s">
        <v>4337</v>
      </c>
      <c r="O156" s="34" t="s">
        <v>500</v>
      </c>
      <c r="Q156" s="52">
        <f t="shared" si="2"/>
        <v>45</v>
      </c>
    </row>
    <row r="157" spans="1:17" x14ac:dyDescent="0.25">
      <c r="A157" s="34" t="s">
        <v>3972</v>
      </c>
      <c r="B157" s="34" t="s">
        <v>3973</v>
      </c>
      <c r="C157" s="35" t="s">
        <v>3974</v>
      </c>
      <c r="E157" s="50">
        <v>46063</v>
      </c>
      <c r="F157" s="34" t="s">
        <v>3976</v>
      </c>
      <c r="G157" s="34">
        <v>83.37</v>
      </c>
      <c r="H157" s="34" t="s">
        <v>227</v>
      </c>
      <c r="I157" s="34" t="s">
        <v>16</v>
      </c>
      <c r="J157" s="34" t="s">
        <v>4000</v>
      </c>
      <c r="K157" s="35" t="s">
        <v>1137</v>
      </c>
      <c r="L157" s="34">
        <v>3285</v>
      </c>
      <c r="M157" s="34" t="s">
        <v>34</v>
      </c>
      <c r="N157" s="34" t="s">
        <v>4337</v>
      </c>
      <c r="O157" s="34" t="s">
        <v>500</v>
      </c>
      <c r="Q157" s="52">
        <f t="shared" si="2"/>
        <v>46</v>
      </c>
    </row>
    <row r="158" spans="1:17" x14ac:dyDescent="0.25">
      <c r="A158" s="34" t="s">
        <v>3972</v>
      </c>
      <c r="B158" s="34" t="s">
        <v>3973</v>
      </c>
      <c r="C158" s="35" t="s">
        <v>3974</v>
      </c>
      <c r="E158" s="50">
        <v>46063</v>
      </c>
      <c r="F158" s="34" t="s">
        <v>4001</v>
      </c>
      <c r="G158" s="34">
        <v>451.87</v>
      </c>
      <c r="H158" s="34" t="s">
        <v>227</v>
      </c>
      <c r="I158" s="34" t="s">
        <v>3864</v>
      </c>
      <c r="J158" s="34" t="s">
        <v>4000</v>
      </c>
      <c r="K158" s="35" t="s">
        <v>1137</v>
      </c>
      <c r="L158" s="34">
        <v>3285</v>
      </c>
      <c r="M158" s="34" t="s">
        <v>34</v>
      </c>
      <c r="N158" s="34" t="s">
        <v>4337</v>
      </c>
      <c r="O158" s="34" t="s">
        <v>500</v>
      </c>
      <c r="Q158" s="52">
        <f t="shared" si="2"/>
        <v>42</v>
      </c>
    </row>
    <row r="159" spans="1:17" x14ac:dyDescent="0.25">
      <c r="A159" s="34" t="s">
        <v>3972</v>
      </c>
      <c r="B159" s="34" t="s">
        <v>3973</v>
      </c>
      <c r="C159" s="35" t="s">
        <v>3974</v>
      </c>
      <c r="E159" s="50">
        <v>46083</v>
      </c>
      <c r="F159" s="34" t="s">
        <v>4002</v>
      </c>
      <c r="G159" s="34">
        <v>12.31</v>
      </c>
      <c r="H159" s="34" t="s">
        <v>227</v>
      </c>
      <c r="I159" s="34" t="s">
        <v>16</v>
      </c>
      <c r="J159" s="34" t="s">
        <v>4003</v>
      </c>
      <c r="K159" s="35" t="s">
        <v>742</v>
      </c>
      <c r="L159" s="34">
        <v>3369</v>
      </c>
      <c r="M159" s="34" t="s">
        <v>34</v>
      </c>
      <c r="N159" s="34" t="s">
        <v>4337</v>
      </c>
      <c r="O159" s="34" t="s">
        <v>500</v>
      </c>
      <c r="Q159" s="52">
        <f t="shared" si="2"/>
        <v>63</v>
      </c>
    </row>
    <row r="160" spans="1:17" x14ac:dyDescent="0.25">
      <c r="A160" s="34" t="s">
        <v>3972</v>
      </c>
      <c r="B160" s="34" t="s">
        <v>3973</v>
      </c>
      <c r="C160" s="35" t="s">
        <v>3974</v>
      </c>
      <c r="E160" s="50">
        <v>46079</v>
      </c>
      <c r="F160" s="34" t="s">
        <v>4004</v>
      </c>
      <c r="G160" s="34">
        <v>135</v>
      </c>
      <c r="H160" s="34" t="s">
        <v>227</v>
      </c>
      <c r="I160" s="34" t="s">
        <v>3594</v>
      </c>
      <c r="J160" s="34" t="s">
        <v>30</v>
      </c>
      <c r="K160" s="35" t="s">
        <v>790</v>
      </c>
      <c r="L160" s="34">
        <v>3338</v>
      </c>
      <c r="M160" s="34" t="s">
        <v>34</v>
      </c>
      <c r="N160" s="34" t="s">
        <v>4337</v>
      </c>
      <c r="O160" s="34" t="s">
        <v>500</v>
      </c>
      <c r="Q160" s="53">
        <f t="shared" si="2"/>
        <v>77</v>
      </c>
    </row>
    <row r="161" spans="1:17" x14ac:dyDescent="0.25">
      <c r="A161" s="34" t="s">
        <v>3972</v>
      </c>
      <c r="B161" s="34" t="s">
        <v>3973</v>
      </c>
      <c r="C161" s="35" t="s">
        <v>3974</v>
      </c>
      <c r="E161" s="50">
        <v>46079</v>
      </c>
      <c r="F161" s="34" t="s">
        <v>3881</v>
      </c>
      <c r="G161" s="34">
        <v>10.9</v>
      </c>
      <c r="H161" s="34" t="s">
        <v>227</v>
      </c>
      <c r="I161" s="34" t="s">
        <v>16</v>
      </c>
      <c r="J161" s="34" t="s">
        <v>4005</v>
      </c>
      <c r="K161" s="35" t="s">
        <v>4366</v>
      </c>
      <c r="L161" s="34">
        <v>1035</v>
      </c>
      <c r="M161" s="34" t="s">
        <v>34</v>
      </c>
      <c r="N161" s="34" t="s">
        <v>4337</v>
      </c>
      <c r="O161" s="34" t="s">
        <v>500</v>
      </c>
      <c r="Q161" s="52">
        <f t="shared" si="2"/>
        <v>54</v>
      </c>
    </row>
    <row r="162" spans="1:17" x14ac:dyDescent="0.25">
      <c r="A162" s="34" t="s">
        <v>3972</v>
      </c>
      <c r="B162" s="34" t="s">
        <v>3973</v>
      </c>
      <c r="C162" s="35" t="s">
        <v>3974</v>
      </c>
      <c r="E162" s="50">
        <v>46079</v>
      </c>
      <c r="F162" s="34" t="s">
        <v>4006</v>
      </c>
      <c r="G162" s="34">
        <v>10242.43</v>
      </c>
      <c r="H162" s="34" t="s">
        <v>227</v>
      </c>
      <c r="I162" s="34" t="s">
        <v>3594</v>
      </c>
      <c r="J162" s="34" t="s">
        <v>4007</v>
      </c>
      <c r="K162" s="35" t="s">
        <v>4484</v>
      </c>
      <c r="L162" s="34">
        <v>3338</v>
      </c>
      <c r="M162" s="34" t="s">
        <v>34</v>
      </c>
      <c r="N162" s="34" t="s">
        <v>4337</v>
      </c>
      <c r="O162" s="34" t="s">
        <v>500</v>
      </c>
      <c r="Q162" s="52">
        <f t="shared" si="2"/>
        <v>65</v>
      </c>
    </row>
    <row r="163" spans="1:17" x14ac:dyDescent="0.25">
      <c r="A163" s="34" t="s">
        <v>3972</v>
      </c>
      <c r="B163" s="34" t="s">
        <v>3973</v>
      </c>
      <c r="C163" s="35" t="s">
        <v>3974</v>
      </c>
      <c r="E163" s="50">
        <v>46079</v>
      </c>
      <c r="F163" s="34" t="s">
        <v>3881</v>
      </c>
      <c r="G163" s="34">
        <v>11.52</v>
      </c>
      <c r="H163" s="34" t="s">
        <v>227</v>
      </c>
      <c r="I163" s="34" t="s">
        <v>16</v>
      </c>
      <c r="J163" s="34" t="s">
        <v>2645</v>
      </c>
      <c r="K163" s="35" t="s">
        <v>2724</v>
      </c>
      <c r="L163" s="34">
        <v>1035</v>
      </c>
      <c r="M163" s="34" t="s">
        <v>34</v>
      </c>
      <c r="N163" s="34" t="s">
        <v>4337</v>
      </c>
      <c r="O163" s="34" t="s">
        <v>500</v>
      </c>
      <c r="Q163" s="52">
        <f t="shared" si="2"/>
        <v>38</v>
      </c>
    </row>
    <row r="164" spans="1:17" x14ac:dyDescent="0.25">
      <c r="A164" s="34" t="s">
        <v>3972</v>
      </c>
      <c r="B164" s="34" t="s">
        <v>3973</v>
      </c>
      <c r="C164" s="35" t="s">
        <v>3974</v>
      </c>
      <c r="E164" s="50">
        <v>46079</v>
      </c>
      <c r="F164" s="34" t="s">
        <v>4008</v>
      </c>
      <c r="G164" s="34">
        <v>8</v>
      </c>
      <c r="H164" s="34" t="s">
        <v>227</v>
      </c>
      <c r="I164" s="34" t="s">
        <v>3922</v>
      </c>
      <c r="J164" s="34" t="s">
        <v>93</v>
      </c>
      <c r="K164" s="35" t="s">
        <v>29</v>
      </c>
      <c r="L164" s="34">
        <v>1035</v>
      </c>
      <c r="M164" s="34" t="s">
        <v>34</v>
      </c>
      <c r="N164" s="34" t="s">
        <v>4337</v>
      </c>
      <c r="O164" s="34" t="s">
        <v>500</v>
      </c>
      <c r="Q164" s="52">
        <f t="shared" si="2"/>
        <v>40</v>
      </c>
    </row>
    <row r="165" spans="1:17" x14ac:dyDescent="0.25">
      <c r="A165" s="34" t="s">
        <v>3972</v>
      </c>
      <c r="B165" s="34" t="s">
        <v>3973</v>
      </c>
      <c r="C165" s="35" t="s">
        <v>3974</v>
      </c>
      <c r="E165" s="50">
        <v>46079</v>
      </c>
      <c r="F165" s="34" t="s">
        <v>4009</v>
      </c>
      <c r="G165" s="34">
        <v>6898.5</v>
      </c>
      <c r="H165" s="34" t="s">
        <v>227</v>
      </c>
      <c r="I165" s="34" t="s">
        <v>3594</v>
      </c>
      <c r="J165" s="34" t="s">
        <v>1843</v>
      </c>
      <c r="K165" s="35" t="s">
        <v>1844</v>
      </c>
      <c r="L165" s="34">
        <v>3338</v>
      </c>
      <c r="M165" s="34" t="s">
        <v>34</v>
      </c>
      <c r="N165" s="34" t="s">
        <v>4337</v>
      </c>
      <c r="O165" s="34" t="s">
        <v>500</v>
      </c>
      <c r="Q165" s="52">
        <f t="shared" si="2"/>
        <v>60</v>
      </c>
    </row>
    <row r="166" spans="1:17" x14ac:dyDescent="0.25">
      <c r="A166" s="34" t="s">
        <v>3972</v>
      </c>
      <c r="B166" s="34" t="s">
        <v>3973</v>
      </c>
      <c r="C166" s="35" t="s">
        <v>3974</v>
      </c>
      <c r="E166" s="50">
        <v>46078</v>
      </c>
      <c r="F166" s="34" t="s">
        <v>3881</v>
      </c>
      <c r="G166" s="34">
        <v>15.3</v>
      </c>
      <c r="H166" s="34" t="s">
        <v>227</v>
      </c>
      <c r="I166" s="34" t="s">
        <v>16</v>
      </c>
      <c r="J166" s="34" t="s">
        <v>4010</v>
      </c>
      <c r="K166" s="35" t="s">
        <v>847</v>
      </c>
      <c r="L166" s="34">
        <v>1035</v>
      </c>
      <c r="M166" s="34" t="s">
        <v>34</v>
      </c>
      <c r="N166" s="34" t="s">
        <v>4337</v>
      </c>
      <c r="O166" s="34" t="s">
        <v>500</v>
      </c>
      <c r="Q166" s="52">
        <f t="shared" si="2"/>
        <v>43</v>
      </c>
    </row>
    <row r="167" spans="1:17" x14ac:dyDescent="0.25">
      <c r="A167" s="34" t="s">
        <v>3972</v>
      </c>
      <c r="B167" s="34" t="s">
        <v>3973</v>
      </c>
      <c r="C167" s="35" t="s">
        <v>3974</v>
      </c>
      <c r="E167" s="50">
        <v>46063</v>
      </c>
      <c r="F167" s="34" t="s">
        <v>3881</v>
      </c>
      <c r="G167" s="34">
        <v>5.6</v>
      </c>
      <c r="H167" s="34" t="s">
        <v>227</v>
      </c>
      <c r="I167" s="34" t="s">
        <v>16</v>
      </c>
      <c r="J167" s="34" t="s">
        <v>1821</v>
      </c>
      <c r="K167" s="35" t="s">
        <v>828</v>
      </c>
      <c r="L167" s="34">
        <v>1035</v>
      </c>
      <c r="M167" s="34" t="s">
        <v>34</v>
      </c>
      <c r="N167" s="34" t="s">
        <v>4337</v>
      </c>
      <c r="O167" s="34" t="s">
        <v>500</v>
      </c>
      <c r="Q167" s="52">
        <f t="shared" si="2"/>
        <v>43</v>
      </c>
    </row>
    <row r="168" spans="1:17" x14ac:dyDescent="0.25">
      <c r="A168" s="34" t="s">
        <v>3972</v>
      </c>
      <c r="B168" s="34" t="s">
        <v>3973</v>
      </c>
      <c r="C168" s="35" t="s">
        <v>3974</v>
      </c>
      <c r="E168" s="50">
        <v>46077</v>
      </c>
      <c r="F168" s="34" t="s">
        <v>4011</v>
      </c>
      <c r="G168" s="34">
        <v>-594.27</v>
      </c>
      <c r="H168" s="34" t="s">
        <v>227</v>
      </c>
      <c r="I168" s="34" t="s">
        <v>3594</v>
      </c>
      <c r="J168" s="34" t="s">
        <v>93</v>
      </c>
      <c r="K168" s="35" t="s">
        <v>29</v>
      </c>
      <c r="L168" s="34">
        <v>1035</v>
      </c>
      <c r="M168" s="34" t="s">
        <v>34</v>
      </c>
      <c r="N168" s="34" t="s">
        <v>4337</v>
      </c>
      <c r="O168" s="34" t="s">
        <v>500</v>
      </c>
      <c r="Q168" s="52">
        <f t="shared" si="2"/>
        <v>41</v>
      </c>
    </row>
    <row r="169" spans="1:17" x14ac:dyDescent="0.25">
      <c r="A169" s="34" t="s">
        <v>3972</v>
      </c>
      <c r="B169" s="34" t="s">
        <v>3973</v>
      </c>
      <c r="C169" s="35" t="s">
        <v>3974</v>
      </c>
      <c r="E169" s="50">
        <v>46077</v>
      </c>
      <c r="F169" s="34" t="s">
        <v>3881</v>
      </c>
      <c r="G169" s="34">
        <v>11.69</v>
      </c>
      <c r="H169" s="34" t="s">
        <v>227</v>
      </c>
      <c r="I169" s="34" t="s">
        <v>16</v>
      </c>
      <c r="J169" s="34" t="s">
        <v>4012</v>
      </c>
      <c r="K169" s="35" t="s">
        <v>742</v>
      </c>
      <c r="L169" s="34">
        <v>1035</v>
      </c>
      <c r="M169" s="34" t="s">
        <v>34</v>
      </c>
      <c r="N169" s="34" t="s">
        <v>4337</v>
      </c>
      <c r="O169" s="34" t="s">
        <v>500</v>
      </c>
      <c r="Q169" s="52">
        <f t="shared" si="2"/>
        <v>45</v>
      </c>
    </row>
    <row r="170" spans="1:17" x14ac:dyDescent="0.25">
      <c r="A170" s="34" t="s">
        <v>3972</v>
      </c>
      <c r="B170" s="34" t="s">
        <v>3973</v>
      </c>
      <c r="C170" s="35" t="s">
        <v>3974</v>
      </c>
      <c r="E170" s="50">
        <v>46077</v>
      </c>
      <c r="F170" s="34" t="s">
        <v>3881</v>
      </c>
      <c r="G170" s="34">
        <v>19.53</v>
      </c>
      <c r="H170" s="34" t="s">
        <v>227</v>
      </c>
      <c r="I170" s="34" t="s">
        <v>16</v>
      </c>
      <c r="J170" s="34" t="s">
        <v>4013</v>
      </c>
      <c r="K170" s="35" t="s">
        <v>2239</v>
      </c>
      <c r="L170" s="34">
        <v>1035</v>
      </c>
      <c r="M170" s="34" t="s">
        <v>34</v>
      </c>
      <c r="N170" s="34" t="s">
        <v>4337</v>
      </c>
      <c r="O170" s="34" t="s">
        <v>500</v>
      </c>
      <c r="Q170" s="52">
        <f t="shared" si="2"/>
        <v>38</v>
      </c>
    </row>
    <row r="171" spans="1:17" x14ac:dyDescent="0.25">
      <c r="A171" s="34" t="s">
        <v>3972</v>
      </c>
      <c r="B171" s="34" t="s">
        <v>3973</v>
      </c>
      <c r="C171" s="35" t="s">
        <v>3974</v>
      </c>
      <c r="E171" s="50">
        <v>46077</v>
      </c>
      <c r="F171" s="34" t="s">
        <v>4014</v>
      </c>
      <c r="G171" s="34">
        <v>194.54</v>
      </c>
      <c r="H171" s="34" t="s">
        <v>227</v>
      </c>
      <c r="I171" s="34" t="s">
        <v>3864</v>
      </c>
      <c r="J171" s="34" t="s">
        <v>4015</v>
      </c>
      <c r="K171" s="35" t="s">
        <v>3073</v>
      </c>
      <c r="L171" s="34">
        <v>1035</v>
      </c>
      <c r="M171" s="34" t="s">
        <v>34</v>
      </c>
      <c r="N171" s="34" t="s">
        <v>4337</v>
      </c>
      <c r="O171" s="34" t="s">
        <v>500</v>
      </c>
      <c r="Q171" s="52">
        <f t="shared" si="2"/>
        <v>39</v>
      </c>
    </row>
    <row r="172" spans="1:17" x14ac:dyDescent="0.25">
      <c r="A172" s="34" t="s">
        <v>3972</v>
      </c>
      <c r="B172" s="34" t="s">
        <v>3973</v>
      </c>
      <c r="C172" s="35" t="s">
        <v>3974</v>
      </c>
      <c r="E172" s="50">
        <v>46077</v>
      </c>
      <c r="F172" s="34" t="s">
        <v>4016</v>
      </c>
      <c r="G172" s="34">
        <v>30</v>
      </c>
      <c r="H172" s="34" t="s">
        <v>227</v>
      </c>
      <c r="I172" s="34" t="s">
        <v>3594</v>
      </c>
      <c r="J172" s="34" t="s">
        <v>30</v>
      </c>
      <c r="K172" s="35" t="s">
        <v>790</v>
      </c>
      <c r="L172" s="34">
        <v>3369</v>
      </c>
      <c r="M172" s="34" t="s">
        <v>34</v>
      </c>
      <c r="N172" s="34" t="s">
        <v>4337</v>
      </c>
      <c r="O172" s="34" t="s">
        <v>500</v>
      </c>
      <c r="Q172" s="52">
        <f t="shared" si="2"/>
        <v>61</v>
      </c>
    </row>
    <row r="173" spans="1:17" x14ac:dyDescent="0.25">
      <c r="A173" s="34" t="s">
        <v>3972</v>
      </c>
      <c r="B173" s="34" t="s">
        <v>3973</v>
      </c>
      <c r="C173" s="35" t="s">
        <v>3974</v>
      </c>
      <c r="E173" s="50">
        <v>46076</v>
      </c>
      <c r="F173" s="34" t="s">
        <v>4017</v>
      </c>
      <c r="G173" s="34">
        <v>728.4</v>
      </c>
      <c r="H173" s="34" t="s">
        <v>227</v>
      </c>
      <c r="I173" s="34" t="s">
        <v>3594</v>
      </c>
      <c r="J173" s="34" t="s">
        <v>41</v>
      </c>
      <c r="K173" s="35" t="s">
        <v>41</v>
      </c>
      <c r="L173" s="34">
        <v>1035</v>
      </c>
      <c r="M173" s="34" t="s">
        <v>34</v>
      </c>
      <c r="N173" s="34" t="s">
        <v>4337</v>
      </c>
      <c r="O173" s="34" t="s">
        <v>500</v>
      </c>
      <c r="Q173" s="52">
        <f t="shared" si="2"/>
        <v>33</v>
      </c>
    </row>
    <row r="174" spans="1:17" x14ac:dyDescent="0.25">
      <c r="A174" s="34" t="s">
        <v>3972</v>
      </c>
      <c r="B174" s="34" t="s">
        <v>3973</v>
      </c>
      <c r="C174" s="35" t="s">
        <v>3974</v>
      </c>
      <c r="E174" s="50">
        <v>46076</v>
      </c>
      <c r="F174" s="34" t="s">
        <v>3881</v>
      </c>
      <c r="G174" s="34">
        <v>2.6</v>
      </c>
      <c r="H174" s="34" t="s">
        <v>227</v>
      </c>
      <c r="I174" s="34" t="s">
        <v>16</v>
      </c>
      <c r="J174" s="34" t="s">
        <v>4018</v>
      </c>
      <c r="K174" s="35" t="s">
        <v>4365</v>
      </c>
      <c r="L174" s="34">
        <v>1035</v>
      </c>
      <c r="M174" s="34" t="s">
        <v>34</v>
      </c>
      <c r="N174" s="34" t="s">
        <v>4337</v>
      </c>
      <c r="O174" s="34" t="s">
        <v>500</v>
      </c>
      <c r="Q174" s="52">
        <f t="shared" si="2"/>
        <v>43</v>
      </c>
    </row>
    <row r="175" spans="1:17" x14ac:dyDescent="0.25">
      <c r="A175" s="34" t="s">
        <v>3972</v>
      </c>
      <c r="B175" s="34" t="s">
        <v>3973</v>
      </c>
      <c r="C175" s="35" t="s">
        <v>3974</v>
      </c>
      <c r="E175" s="50">
        <v>46076</v>
      </c>
      <c r="F175" s="34" t="s">
        <v>4019</v>
      </c>
      <c r="G175" s="34">
        <v>30</v>
      </c>
      <c r="H175" s="34" t="s">
        <v>227</v>
      </c>
      <c r="I175" s="34" t="s">
        <v>3594</v>
      </c>
      <c r="J175" s="34" t="s">
        <v>30</v>
      </c>
      <c r="K175" s="35" t="s">
        <v>790</v>
      </c>
      <c r="L175" s="34">
        <v>1035</v>
      </c>
      <c r="M175" s="34" t="s">
        <v>34</v>
      </c>
      <c r="N175" s="34" t="s">
        <v>4337</v>
      </c>
      <c r="O175" s="34" t="s">
        <v>500</v>
      </c>
      <c r="Q175" s="52">
        <f t="shared" si="2"/>
        <v>42</v>
      </c>
    </row>
    <row r="176" spans="1:17" x14ac:dyDescent="0.25">
      <c r="A176" s="34" t="s">
        <v>3972</v>
      </c>
      <c r="B176" s="34" t="s">
        <v>3973</v>
      </c>
      <c r="C176" s="35" t="s">
        <v>3974</v>
      </c>
      <c r="E176" s="50">
        <v>46076</v>
      </c>
      <c r="F176" s="34" t="s">
        <v>3881</v>
      </c>
      <c r="G176" s="34">
        <v>1</v>
      </c>
      <c r="H176" s="34" t="s">
        <v>227</v>
      </c>
      <c r="I176" s="34" t="s">
        <v>16</v>
      </c>
      <c r="J176" s="34" t="s">
        <v>4018</v>
      </c>
      <c r="K176" s="35" t="s">
        <v>4365</v>
      </c>
      <c r="L176" s="34">
        <v>1035</v>
      </c>
      <c r="M176" s="34" t="s">
        <v>34</v>
      </c>
      <c r="N176" s="34" t="s">
        <v>4337</v>
      </c>
      <c r="O176" s="34" t="s">
        <v>500</v>
      </c>
      <c r="Q176" s="52">
        <f t="shared" si="2"/>
        <v>43</v>
      </c>
    </row>
    <row r="177" spans="1:17" x14ac:dyDescent="0.25">
      <c r="A177" s="34" t="s">
        <v>3972</v>
      </c>
      <c r="B177" s="34" t="s">
        <v>3973</v>
      </c>
      <c r="C177" s="35" t="s">
        <v>3974</v>
      </c>
      <c r="E177" s="50">
        <v>46076</v>
      </c>
      <c r="F177" s="34" t="s">
        <v>3881</v>
      </c>
      <c r="G177" s="34">
        <v>2.1</v>
      </c>
      <c r="H177" s="34" t="s">
        <v>227</v>
      </c>
      <c r="I177" s="34" t="s">
        <v>16</v>
      </c>
      <c r="J177" s="34" t="s">
        <v>4018</v>
      </c>
      <c r="K177" s="35" t="s">
        <v>4365</v>
      </c>
      <c r="L177" s="34">
        <v>1035</v>
      </c>
      <c r="M177" s="34" t="s">
        <v>34</v>
      </c>
      <c r="N177" s="34" t="s">
        <v>4337</v>
      </c>
      <c r="O177" s="34" t="s">
        <v>500</v>
      </c>
      <c r="Q177" s="52">
        <f t="shared" si="2"/>
        <v>43</v>
      </c>
    </row>
    <row r="178" spans="1:17" x14ac:dyDescent="0.25">
      <c r="A178" s="34" t="s">
        <v>3972</v>
      </c>
      <c r="B178" s="34" t="s">
        <v>3973</v>
      </c>
      <c r="C178" s="35" t="s">
        <v>3974</v>
      </c>
      <c r="E178" s="50">
        <v>46074</v>
      </c>
      <c r="F178" s="34" t="s">
        <v>4020</v>
      </c>
      <c r="G178" s="34">
        <v>-961.36</v>
      </c>
      <c r="H178" s="34" t="s">
        <v>227</v>
      </c>
      <c r="I178" s="34" t="s">
        <v>3594</v>
      </c>
      <c r="J178" s="34" t="s">
        <v>93</v>
      </c>
      <c r="K178" s="35" t="s">
        <v>29</v>
      </c>
      <c r="L178" s="34">
        <v>1035</v>
      </c>
      <c r="N178" s="34" t="s">
        <v>4337</v>
      </c>
      <c r="O178" s="34" t="s">
        <v>500</v>
      </c>
      <c r="Q178" s="52">
        <f t="shared" si="2"/>
        <v>50</v>
      </c>
    </row>
    <row r="179" spans="1:17" x14ac:dyDescent="0.25">
      <c r="A179" s="34" t="s">
        <v>3972</v>
      </c>
      <c r="B179" s="34" t="s">
        <v>3973</v>
      </c>
      <c r="C179" s="35" t="s">
        <v>3974</v>
      </c>
      <c r="E179" s="50">
        <v>46073</v>
      </c>
      <c r="F179" s="34" t="s">
        <v>4021</v>
      </c>
      <c r="G179" s="34">
        <v>1849.66</v>
      </c>
      <c r="H179" s="34" t="s">
        <v>227</v>
      </c>
      <c r="I179" s="34" t="s">
        <v>3594</v>
      </c>
      <c r="J179" s="34" t="s">
        <v>29</v>
      </c>
      <c r="K179" s="35" t="s">
        <v>29</v>
      </c>
      <c r="L179" s="34">
        <v>3353</v>
      </c>
      <c r="M179" s="34" t="s">
        <v>34</v>
      </c>
      <c r="N179" s="34" t="s">
        <v>4337</v>
      </c>
      <c r="O179" s="34" t="s">
        <v>500</v>
      </c>
      <c r="Q179" s="52">
        <f t="shared" si="2"/>
        <v>45</v>
      </c>
    </row>
    <row r="180" spans="1:17" x14ac:dyDescent="0.25">
      <c r="A180" s="34" t="s">
        <v>3972</v>
      </c>
      <c r="B180" s="34" t="s">
        <v>3973</v>
      </c>
      <c r="C180" s="35" t="s">
        <v>3974</v>
      </c>
      <c r="E180" s="50">
        <v>46073</v>
      </c>
      <c r="F180" s="34" t="s">
        <v>4022</v>
      </c>
      <c r="G180" s="34">
        <v>1849.66</v>
      </c>
      <c r="H180" s="34" t="s">
        <v>227</v>
      </c>
      <c r="I180" s="34" t="s">
        <v>3594</v>
      </c>
      <c r="J180" s="34" t="s">
        <v>29</v>
      </c>
      <c r="K180" s="35" t="s">
        <v>29</v>
      </c>
      <c r="L180" s="34">
        <v>3338</v>
      </c>
      <c r="M180" s="34" t="s">
        <v>34</v>
      </c>
      <c r="N180" s="34" t="s">
        <v>4337</v>
      </c>
      <c r="O180" s="34" t="s">
        <v>500</v>
      </c>
      <c r="Q180" s="52">
        <f t="shared" si="2"/>
        <v>63</v>
      </c>
    </row>
    <row r="181" spans="1:17" x14ac:dyDescent="0.25">
      <c r="A181" s="34" t="s">
        <v>3972</v>
      </c>
      <c r="B181" s="34" t="s">
        <v>3973</v>
      </c>
      <c r="C181" s="35" t="s">
        <v>3974</v>
      </c>
      <c r="E181" s="50">
        <v>46073</v>
      </c>
      <c r="F181" s="34" t="s">
        <v>4023</v>
      </c>
      <c r="G181" s="34">
        <v>1849.68</v>
      </c>
      <c r="H181" s="34" t="s">
        <v>227</v>
      </c>
      <c r="I181" s="34" t="s">
        <v>3594</v>
      </c>
      <c r="J181" s="34" t="s">
        <v>29</v>
      </c>
      <c r="K181" s="35" t="s">
        <v>29</v>
      </c>
      <c r="L181" s="34" t="s">
        <v>3991</v>
      </c>
      <c r="M181" s="34" t="s">
        <v>34</v>
      </c>
      <c r="N181" s="34" t="s">
        <v>4337</v>
      </c>
      <c r="O181" s="34" t="s">
        <v>500</v>
      </c>
      <c r="Q181" s="52">
        <f t="shared" si="2"/>
        <v>41</v>
      </c>
    </row>
    <row r="182" spans="1:17" x14ac:dyDescent="0.25">
      <c r="A182" s="34" t="s">
        <v>3972</v>
      </c>
      <c r="B182" s="34" t="s">
        <v>3973</v>
      </c>
      <c r="C182" s="35" t="s">
        <v>3974</v>
      </c>
      <c r="E182" s="50">
        <v>46079</v>
      </c>
      <c r="F182" s="34" t="s">
        <v>4024</v>
      </c>
      <c r="G182" s="34">
        <v>895.3</v>
      </c>
      <c r="H182" s="34" t="s">
        <v>227</v>
      </c>
      <c r="I182" s="34" t="s">
        <v>3594</v>
      </c>
      <c r="J182" s="34" t="s">
        <v>4025</v>
      </c>
      <c r="K182" s="35" t="s">
        <v>656</v>
      </c>
      <c r="L182" s="34">
        <v>3338</v>
      </c>
      <c r="M182" s="34" t="s">
        <v>34</v>
      </c>
      <c r="N182" s="34" t="s">
        <v>4337</v>
      </c>
      <c r="O182" s="34" t="s">
        <v>500</v>
      </c>
      <c r="Q182" s="52">
        <f t="shared" si="2"/>
        <v>62</v>
      </c>
    </row>
    <row r="183" spans="1:17" x14ac:dyDescent="0.25">
      <c r="A183" s="34" t="s">
        <v>3972</v>
      </c>
      <c r="B183" s="34" t="s">
        <v>3973</v>
      </c>
      <c r="C183" s="35" t="s">
        <v>3974</v>
      </c>
      <c r="E183" s="50">
        <v>46084</v>
      </c>
      <c r="F183" s="34" t="s">
        <v>4026</v>
      </c>
      <c r="G183" s="34">
        <v>39.97</v>
      </c>
      <c r="H183" s="34" t="s">
        <v>227</v>
      </c>
      <c r="I183" s="34" t="s">
        <v>21</v>
      </c>
      <c r="J183" s="34" t="s">
        <v>111</v>
      </c>
      <c r="K183" s="35" t="s">
        <v>239</v>
      </c>
      <c r="L183" s="34">
        <v>3369</v>
      </c>
      <c r="M183" s="34" t="s">
        <v>34</v>
      </c>
      <c r="N183" s="34" t="s">
        <v>4337</v>
      </c>
      <c r="O183" s="34" t="s">
        <v>500</v>
      </c>
      <c r="Q183" s="52">
        <f t="shared" si="2"/>
        <v>44</v>
      </c>
    </row>
    <row r="184" spans="1:17" x14ac:dyDescent="0.25">
      <c r="A184" s="34" t="s">
        <v>3972</v>
      </c>
      <c r="B184" s="34" t="s">
        <v>3973</v>
      </c>
      <c r="C184" s="35" t="s">
        <v>3974</v>
      </c>
      <c r="E184" s="50">
        <v>46073</v>
      </c>
      <c r="F184" s="34" t="s">
        <v>4024</v>
      </c>
      <c r="G184" s="34">
        <v>299.54000000000002</v>
      </c>
      <c r="H184" s="34" t="s">
        <v>227</v>
      </c>
      <c r="I184" s="34" t="s">
        <v>3594</v>
      </c>
      <c r="J184" s="34" t="s">
        <v>68</v>
      </c>
      <c r="K184" s="35" t="s">
        <v>656</v>
      </c>
      <c r="L184" s="34">
        <v>3338</v>
      </c>
      <c r="M184" s="34" t="s">
        <v>34</v>
      </c>
      <c r="N184" s="34" t="s">
        <v>4337</v>
      </c>
      <c r="O184" s="34" t="s">
        <v>500</v>
      </c>
      <c r="Q184" s="52">
        <f t="shared" si="2"/>
        <v>62</v>
      </c>
    </row>
    <row r="185" spans="1:17" x14ac:dyDescent="0.25">
      <c r="A185" s="34" t="s">
        <v>3972</v>
      </c>
      <c r="B185" s="34" t="s">
        <v>3973</v>
      </c>
      <c r="C185" s="35" t="s">
        <v>3974</v>
      </c>
      <c r="E185" s="50">
        <v>46073</v>
      </c>
      <c r="F185" s="34" t="s">
        <v>4027</v>
      </c>
      <c r="G185" s="34">
        <v>299.52999999999997</v>
      </c>
      <c r="H185" s="34" t="s">
        <v>227</v>
      </c>
      <c r="I185" s="34" t="s">
        <v>3594</v>
      </c>
      <c r="J185" s="34" t="s">
        <v>68</v>
      </c>
      <c r="K185" s="35" t="s">
        <v>656</v>
      </c>
      <c r="L185" s="34">
        <v>3353</v>
      </c>
      <c r="M185" s="34" t="s">
        <v>34</v>
      </c>
      <c r="N185" s="34" t="s">
        <v>4337</v>
      </c>
      <c r="O185" s="34" t="s">
        <v>500</v>
      </c>
      <c r="Q185" s="52">
        <f t="shared" si="2"/>
        <v>42</v>
      </c>
    </row>
    <row r="186" spans="1:17" x14ac:dyDescent="0.25">
      <c r="A186" s="34" t="s">
        <v>3972</v>
      </c>
      <c r="B186" s="34" t="s">
        <v>3973</v>
      </c>
      <c r="C186" s="35" t="s">
        <v>3974</v>
      </c>
      <c r="E186" s="50">
        <v>46073</v>
      </c>
      <c r="F186" s="34" t="s">
        <v>4028</v>
      </c>
      <c r="G186" s="34">
        <v>299.52999999999997</v>
      </c>
      <c r="H186" s="34" t="s">
        <v>227</v>
      </c>
      <c r="I186" s="34" t="s">
        <v>3594</v>
      </c>
      <c r="J186" s="34" t="s">
        <v>68</v>
      </c>
      <c r="K186" s="35" t="s">
        <v>656</v>
      </c>
      <c r="L186" s="34" t="s">
        <v>3991</v>
      </c>
      <c r="M186" s="34" t="s">
        <v>34</v>
      </c>
      <c r="N186" s="34" t="s">
        <v>4337</v>
      </c>
      <c r="O186" s="34" t="s">
        <v>500</v>
      </c>
      <c r="Q186" s="52">
        <f t="shared" si="2"/>
        <v>38</v>
      </c>
    </row>
    <row r="187" spans="1:17" x14ac:dyDescent="0.25">
      <c r="A187" s="34" t="s">
        <v>3972</v>
      </c>
      <c r="B187" s="34" t="s">
        <v>3973</v>
      </c>
      <c r="C187" s="35" t="s">
        <v>3974</v>
      </c>
      <c r="E187" s="50">
        <v>46073</v>
      </c>
      <c r="F187" s="34" t="s">
        <v>4029</v>
      </c>
      <c r="G187" s="34">
        <v>30</v>
      </c>
      <c r="H187" s="34" t="s">
        <v>227</v>
      </c>
      <c r="I187" s="34" t="s">
        <v>3594</v>
      </c>
      <c r="J187" s="34" t="s">
        <v>30</v>
      </c>
      <c r="K187" s="35" t="s">
        <v>790</v>
      </c>
      <c r="L187" s="34">
        <v>3338</v>
      </c>
      <c r="M187" s="34" t="s">
        <v>34</v>
      </c>
      <c r="N187" s="34" t="s">
        <v>4337</v>
      </c>
      <c r="O187" s="34" t="s">
        <v>500</v>
      </c>
      <c r="Q187" s="53">
        <f t="shared" si="2"/>
        <v>77</v>
      </c>
    </row>
    <row r="188" spans="1:17" x14ac:dyDescent="0.25">
      <c r="A188" s="34" t="s">
        <v>3972</v>
      </c>
      <c r="B188" s="34" t="s">
        <v>3973</v>
      </c>
      <c r="C188" s="35" t="s">
        <v>3974</v>
      </c>
      <c r="E188" s="50">
        <v>46073</v>
      </c>
      <c r="F188" s="34" t="s">
        <v>4030</v>
      </c>
      <c r="G188" s="34">
        <v>30</v>
      </c>
      <c r="H188" s="34" t="s">
        <v>227</v>
      </c>
      <c r="I188" s="34" t="s">
        <v>3594</v>
      </c>
      <c r="J188" s="34" t="s">
        <v>30</v>
      </c>
      <c r="K188" s="35" t="s">
        <v>790</v>
      </c>
      <c r="L188" s="34">
        <v>3353</v>
      </c>
      <c r="M188" s="34" t="s">
        <v>34</v>
      </c>
      <c r="N188" s="34" t="s">
        <v>4337</v>
      </c>
      <c r="O188" s="34" t="s">
        <v>500</v>
      </c>
      <c r="Q188" s="52">
        <f t="shared" si="2"/>
        <v>57</v>
      </c>
    </row>
    <row r="189" spans="1:17" x14ac:dyDescent="0.25">
      <c r="A189" s="34" t="s">
        <v>3972</v>
      </c>
      <c r="B189" s="34" t="s">
        <v>3973</v>
      </c>
      <c r="C189" s="35" t="s">
        <v>3974</v>
      </c>
      <c r="E189" s="50">
        <v>46073</v>
      </c>
      <c r="F189" s="34" t="s">
        <v>4031</v>
      </c>
      <c r="G189" s="34">
        <v>30</v>
      </c>
      <c r="H189" s="34" t="s">
        <v>227</v>
      </c>
      <c r="I189" s="34" t="s">
        <v>3594</v>
      </c>
      <c r="J189" s="34" t="s">
        <v>30</v>
      </c>
      <c r="K189" s="35" t="s">
        <v>790</v>
      </c>
      <c r="L189" s="34" t="s">
        <v>3991</v>
      </c>
      <c r="M189" s="34" t="s">
        <v>34</v>
      </c>
      <c r="N189" s="34" t="s">
        <v>4337</v>
      </c>
      <c r="O189" s="34" t="s">
        <v>500</v>
      </c>
      <c r="Q189" s="52">
        <f t="shared" si="2"/>
        <v>53</v>
      </c>
    </row>
    <row r="190" spans="1:17" x14ac:dyDescent="0.25">
      <c r="A190" s="34" t="s">
        <v>3972</v>
      </c>
      <c r="B190" s="34" t="s">
        <v>3973</v>
      </c>
      <c r="C190" s="35" t="s">
        <v>3974</v>
      </c>
      <c r="E190" s="50">
        <v>46084</v>
      </c>
      <c r="F190" s="34" t="s">
        <v>4032</v>
      </c>
      <c r="G190" s="34">
        <v>18.989999999999998</v>
      </c>
      <c r="H190" s="34" t="s">
        <v>227</v>
      </c>
      <c r="I190" s="34" t="s">
        <v>21</v>
      </c>
      <c r="J190" s="34" t="s">
        <v>111</v>
      </c>
      <c r="K190" s="35" t="s">
        <v>239</v>
      </c>
      <c r="L190" s="34">
        <v>3369</v>
      </c>
      <c r="M190" s="34" t="s">
        <v>34</v>
      </c>
      <c r="N190" s="34" t="s">
        <v>4337</v>
      </c>
      <c r="O190" s="34" t="s">
        <v>500</v>
      </c>
      <c r="Q190" s="52">
        <f t="shared" si="2"/>
        <v>43</v>
      </c>
    </row>
    <row r="191" spans="1:17" x14ac:dyDescent="0.25">
      <c r="A191" s="34" t="s">
        <v>3972</v>
      </c>
      <c r="B191" s="34" t="s">
        <v>3973</v>
      </c>
      <c r="C191" s="35" t="s">
        <v>3974</v>
      </c>
      <c r="E191" s="50">
        <v>46084</v>
      </c>
      <c r="F191" s="34" t="s">
        <v>4033</v>
      </c>
      <c r="G191" s="34">
        <v>35.53</v>
      </c>
      <c r="H191" s="34" t="s">
        <v>227</v>
      </c>
      <c r="I191" s="34" t="s">
        <v>16</v>
      </c>
      <c r="J191" s="34" t="s">
        <v>4034</v>
      </c>
      <c r="K191" s="35" t="s">
        <v>4346</v>
      </c>
      <c r="L191" s="34">
        <v>3369</v>
      </c>
      <c r="M191" s="34" t="s">
        <v>34</v>
      </c>
      <c r="N191" s="34" t="s">
        <v>4337</v>
      </c>
      <c r="O191" s="34" t="s">
        <v>500</v>
      </c>
      <c r="Q191" s="52">
        <f t="shared" si="2"/>
        <v>54</v>
      </c>
    </row>
    <row r="192" spans="1:17" x14ac:dyDescent="0.25">
      <c r="A192" s="34" t="s">
        <v>3972</v>
      </c>
      <c r="B192" s="34" t="s">
        <v>3973</v>
      </c>
      <c r="C192" s="35" t="s">
        <v>3974</v>
      </c>
      <c r="E192" s="50">
        <v>46084</v>
      </c>
      <c r="F192" s="34" t="s">
        <v>4035</v>
      </c>
      <c r="G192" s="34">
        <v>8</v>
      </c>
      <c r="H192" s="34" t="s">
        <v>227</v>
      </c>
      <c r="I192" s="34" t="s">
        <v>3922</v>
      </c>
      <c r="J192" s="34" t="s">
        <v>93</v>
      </c>
      <c r="K192" s="35" t="s">
        <v>29</v>
      </c>
      <c r="L192" s="34">
        <v>3369</v>
      </c>
      <c r="M192" s="34" t="s">
        <v>34</v>
      </c>
      <c r="N192" s="34" t="s">
        <v>4337</v>
      </c>
      <c r="O192" s="34" t="s">
        <v>500</v>
      </c>
      <c r="Q192" s="52">
        <f t="shared" si="2"/>
        <v>58</v>
      </c>
    </row>
    <row r="193" spans="1:17" x14ac:dyDescent="0.25">
      <c r="A193" s="34" t="s">
        <v>3972</v>
      </c>
      <c r="B193" s="34" t="s">
        <v>3973</v>
      </c>
      <c r="C193" s="35" t="s">
        <v>3974</v>
      </c>
      <c r="E193" s="50">
        <v>46084</v>
      </c>
      <c r="F193" s="34" t="s">
        <v>4002</v>
      </c>
      <c r="G193" s="34">
        <v>6.76</v>
      </c>
      <c r="H193" s="34" t="s">
        <v>227</v>
      </c>
      <c r="I193" s="34" t="s">
        <v>16</v>
      </c>
      <c r="J193" s="34" t="s">
        <v>3600</v>
      </c>
      <c r="K193" s="35" t="s">
        <v>994</v>
      </c>
      <c r="L193" s="34">
        <v>3369</v>
      </c>
      <c r="M193" s="34" t="s">
        <v>34</v>
      </c>
      <c r="N193" s="34" t="s">
        <v>4337</v>
      </c>
      <c r="O193" s="34" t="s">
        <v>500</v>
      </c>
      <c r="Q193" s="52">
        <f t="shared" si="2"/>
        <v>68</v>
      </c>
    </row>
    <row r="194" spans="1:17" x14ac:dyDescent="0.25">
      <c r="A194" s="34" t="s">
        <v>3972</v>
      </c>
      <c r="B194" s="34" t="s">
        <v>3973</v>
      </c>
      <c r="C194" s="35" t="s">
        <v>3974</v>
      </c>
      <c r="E194" s="50">
        <v>46083</v>
      </c>
      <c r="F194" s="34" t="s">
        <v>4002</v>
      </c>
      <c r="G194" s="34">
        <v>11.72</v>
      </c>
      <c r="H194" s="34" t="s">
        <v>227</v>
      </c>
      <c r="I194" s="34" t="s">
        <v>16</v>
      </c>
      <c r="J194" s="34" t="s">
        <v>3598</v>
      </c>
      <c r="K194" s="35" t="s">
        <v>1159</v>
      </c>
      <c r="L194" s="34">
        <v>3369</v>
      </c>
      <c r="M194" s="34" t="s">
        <v>34</v>
      </c>
      <c r="N194" s="34" t="s">
        <v>4337</v>
      </c>
      <c r="O194" s="34" t="s">
        <v>500</v>
      </c>
      <c r="Q194" s="52">
        <f t="shared" si="2"/>
        <v>62</v>
      </c>
    </row>
    <row r="195" spans="1:17" x14ac:dyDescent="0.25">
      <c r="A195" s="34" t="s">
        <v>3972</v>
      </c>
      <c r="B195" s="34" t="s">
        <v>3973</v>
      </c>
      <c r="C195" s="35" t="s">
        <v>3974</v>
      </c>
      <c r="E195" s="50">
        <v>46083</v>
      </c>
      <c r="F195" s="34" t="s">
        <v>4002</v>
      </c>
      <c r="G195" s="34">
        <v>6.67</v>
      </c>
      <c r="H195" s="34" t="s">
        <v>227</v>
      </c>
      <c r="I195" s="34" t="s">
        <v>16</v>
      </c>
      <c r="J195" s="34" t="s">
        <v>3672</v>
      </c>
      <c r="K195" s="35" t="s">
        <v>3733</v>
      </c>
      <c r="L195" s="34">
        <v>3369</v>
      </c>
      <c r="M195" s="34" t="s">
        <v>34</v>
      </c>
      <c r="N195" s="34" t="s">
        <v>4337</v>
      </c>
      <c r="O195" s="34" t="s">
        <v>500</v>
      </c>
      <c r="Q195" s="52">
        <f t="shared" ref="Q195:Q258" si="3">LEN(F195&amp;K195)+12</f>
        <v>65</v>
      </c>
    </row>
    <row r="196" spans="1:17" x14ac:dyDescent="0.25">
      <c r="A196" s="34" t="s">
        <v>3972</v>
      </c>
      <c r="B196" s="34" t="s">
        <v>3973</v>
      </c>
      <c r="C196" s="35" t="s">
        <v>3974</v>
      </c>
      <c r="E196" s="50">
        <v>46084</v>
      </c>
      <c r="F196" s="34" t="s">
        <v>4002</v>
      </c>
      <c r="G196" s="34">
        <v>34.35</v>
      </c>
      <c r="H196" s="34" t="s">
        <v>227</v>
      </c>
      <c r="I196" s="34" t="s">
        <v>16</v>
      </c>
      <c r="J196" s="34" t="s">
        <v>4036</v>
      </c>
      <c r="K196" s="35" t="s">
        <v>1232</v>
      </c>
      <c r="L196" s="34">
        <v>3369</v>
      </c>
      <c r="M196" s="34" t="s">
        <v>34</v>
      </c>
      <c r="N196" s="34" t="s">
        <v>4337</v>
      </c>
      <c r="O196" s="34" t="s">
        <v>500</v>
      </c>
      <c r="Q196" s="52">
        <f t="shared" si="3"/>
        <v>58</v>
      </c>
    </row>
    <row r="197" spans="1:17" x14ac:dyDescent="0.25">
      <c r="A197" s="34" t="s">
        <v>3972</v>
      </c>
      <c r="B197" s="34" t="s">
        <v>3973</v>
      </c>
      <c r="C197" s="35" t="s">
        <v>3974</v>
      </c>
      <c r="E197" s="50">
        <v>46084</v>
      </c>
      <c r="F197" s="34" t="s">
        <v>4037</v>
      </c>
      <c r="G197" s="34">
        <v>396.12</v>
      </c>
      <c r="H197" s="34" t="s">
        <v>227</v>
      </c>
      <c r="I197" s="34" t="s">
        <v>3864</v>
      </c>
      <c r="J197" s="34" t="s">
        <v>4036</v>
      </c>
      <c r="K197" s="35" t="s">
        <v>1232</v>
      </c>
      <c r="L197" s="34">
        <v>3369</v>
      </c>
      <c r="M197" s="34" t="s">
        <v>34</v>
      </c>
      <c r="N197" s="34" t="s">
        <v>4337</v>
      </c>
      <c r="O197" s="34" t="s">
        <v>500</v>
      </c>
      <c r="Q197" s="52">
        <f t="shared" si="3"/>
        <v>54</v>
      </c>
    </row>
    <row r="198" spans="1:17" x14ac:dyDescent="0.25">
      <c r="A198" s="34" t="s">
        <v>4038</v>
      </c>
      <c r="C198" s="35" t="s">
        <v>4039</v>
      </c>
      <c r="E198" s="50">
        <v>46062</v>
      </c>
      <c r="F198" s="34" t="s">
        <v>4040</v>
      </c>
      <c r="G198" s="34">
        <v>13.21</v>
      </c>
      <c r="H198" s="34" t="s">
        <v>227</v>
      </c>
      <c r="I198" s="34" t="s">
        <v>16</v>
      </c>
      <c r="J198" s="34" t="s">
        <v>1056</v>
      </c>
      <c r="K198" s="35" t="s">
        <v>1057</v>
      </c>
      <c r="L198" s="34">
        <v>3354</v>
      </c>
      <c r="M198" s="34" t="s">
        <v>34</v>
      </c>
      <c r="N198" s="34" t="s">
        <v>4337</v>
      </c>
      <c r="O198" s="34" t="s">
        <v>468</v>
      </c>
      <c r="Q198" s="52">
        <f t="shared" si="3"/>
        <v>44</v>
      </c>
    </row>
    <row r="199" spans="1:17" x14ac:dyDescent="0.25">
      <c r="A199" s="34" t="s">
        <v>4038</v>
      </c>
      <c r="C199" s="35" t="s">
        <v>4039</v>
      </c>
      <c r="E199" s="50">
        <v>46062</v>
      </c>
      <c r="F199" s="34" t="s">
        <v>4040</v>
      </c>
      <c r="G199" s="34">
        <v>46.64</v>
      </c>
      <c r="H199" s="34" t="s">
        <v>227</v>
      </c>
      <c r="I199" s="34" t="s">
        <v>16</v>
      </c>
      <c r="J199" s="34" t="s">
        <v>4041</v>
      </c>
      <c r="K199" s="35" t="s">
        <v>4440</v>
      </c>
      <c r="L199" s="34">
        <v>3354</v>
      </c>
      <c r="M199" s="34" t="s">
        <v>34</v>
      </c>
      <c r="N199" s="34" t="s">
        <v>4337</v>
      </c>
      <c r="O199" s="34" t="s">
        <v>468</v>
      </c>
      <c r="Q199" s="52">
        <f t="shared" si="3"/>
        <v>51</v>
      </c>
    </row>
    <row r="200" spans="1:17" x14ac:dyDescent="0.25">
      <c r="A200" s="34" t="s">
        <v>4038</v>
      </c>
      <c r="C200" s="35" t="s">
        <v>4039</v>
      </c>
      <c r="E200" s="50">
        <v>46061</v>
      </c>
      <c r="F200" s="34" t="s">
        <v>4042</v>
      </c>
      <c r="G200" s="34">
        <v>1693.87</v>
      </c>
      <c r="H200" s="34" t="s">
        <v>227</v>
      </c>
      <c r="I200" s="34" t="s">
        <v>3864</v>
      </c>
      <c r="J200" s="34" t="s">
        <v>207</v>
      </c>
      <c r="K200" s="35" t="s">
        <v>255</v>
      </c>
      <c r="L200" s="34">
        <v>3501</v>
      </c>
      <c r="M200" s="34" t="s">
        <v>34</v>
      </c>
      <c r="N200" s="34" t="s">
        <v>4337</v>
      </c>
      <c r="O200" s="34" t="s">
        <v>468</v>
      </c>
      <c r="Q200" s="52">
        <f t="shared" si="3"/>
        <v>40</v>
      </c>
    </row>
    <row r="201" spans="1:17" x14ac:dyDescent="0.25">
      <c r="A201" s="34" t="s">
        <v>4038</v>
      </c>
      <c r="C201" s="35" t="s">
        <v>4039</v>
      </c>
      <c r="E201" s="50">
        <v>46060</v>
      </c>
      <c r="F201" s="34" t="s">
        <v>3899</v>
      </c>
      <c r="G201" s="34">
        <v>2.97</v>
      </c>
      <c r="H201" s="34" t="s">
        <v>227</v>
      </c>
      <c r="I201" s="34" t="s">
        <v>16</v>
      </c>
      <c r="J201" s="34" t="s">
        <v>55</v>
      </c>
      <c r="K201" s="35" t="s">
        <v>232</v>
      </c>
      <c r="L201" s="34">
        <v>1008</v>
      </c>
      <c r="M201" s="34" t="s">
        <v>34</v>
      </c>
      <c r="N201" s="34" t="s">
        <v>4337</v>
      </c>
      <c r="O201" s="34" t="s">
        <v>468</v>
      </c>
      <c r="Q201" s="52">
        <f t="shared" si="3"/>
        <v>27</v>
      </c>
    </row>
    <row r="202" spans="1:17" x14ac:dyDescent="0.25">
      <c r="A202" s="34" t="s">
        <v>4038</v>
      </c>
      <c r="C202" s="35" t="s">
        <v>4039</v>
      </c>
      <c r="E202" s="50">
        <v>46059</v>
      </c>
      <c r="F202" s="34" t="s">
        <v>3899</v>
      </c>
      <c r="G202" s="34">
        <v>-14.24</v>
      </c>
      <c r="H202" s="34" t="s">
        <v>227</v>
      </c>
      <c r="I202" s="34" t="s">
        <v>16</v>
      </c>
      <c r="J202" s="34" t="s">
        <v>602</v>
      </c>
      <c r="K202" s="35" t="s">
        <v>227</v>
      </c>
      <c r="L202" s="34">
        <v>1008</v>
      </c>
      <c r="M202" s="34" t="s">
        <v>34</v>
      </c>
      <c r="N202" s="34" t="s">
        <v>4337</v>
      </c>
      <c r="O202" s="34" t="s">
        <v>468</v>
      </c>
      <c r="Q202" s="52">
        <f t="shared" si="3"/>
        <v>36</v>
      </c>
    </row>
    <row r="203" spans="1:17" x14ac:dyDescent="0.25">
      <c r="A203" s="34" t="s">
        <v>4038</v>
      </c>
      <c r="C203" s="35" t="s">
        <v>4039</v>
      </c>
      <c r="E203" s="50">
        <v>46059</v>
      </c>
      <c r="F203" s="34" t="s">
        <v>3899</v>
      </c>
      <c r="G203" s="34">
        <v>14.24</v>
      </c>
      <c r="H203" s="34" t="s">
        <v>227</v>
      </c>
      <c r="I203" s="34" t="s">
        <v>16</v>
      </c>
      <c r="J203" s="34" t="s">
        <v>55</v>
      </c>
      <c r="K203" s="35" t="s">
        <v>232</v>
      </c>
      <c r="L203" s="34">
        <v>1008</v>
      </c>
      <c r="M203" s="34" t="s">
        <v>34</v>
      </c>
      <c r="N203" s="34" t="s">
        <v>4337</v>
      </c>
      <c r="O203" s="34" t="s">
        <v>468</v>
      </c>
      <c r="Q203" s="52">
        <f t="shared" si="3"/>
        <v>27</v>
      </c>
    </row>
    <row r="204" spans="1:17" x14ac:dyDescent="0.25">
      <c r="A204" s="34" t="s">
        <v>4038</v>
      </c>
      <c r="C204" s="35" t="s">
        <v>4039</v>
      </c>
      <c r="E204" s="50">
        <v>46058</v>
      </c>
      <c r="F204" s="34" t="s">
        <v>3593</v>
      </c>
      <c r="G204" s="34">
        <v>21.94</v>
      </c>
      <c r="H204" s="34" t="s">
        <v>227</v>
      </c>
      <c r="I204" s="34" t="s">
        <v>21</v>
      </c>
      <c r="J204" s="34" t="s">
        <v>111</v>
      </c>
      <c r="K204" s="35" t="s">
        <v>239</v>
      </c>
      <c r="L204" s="34">
        <v>3500</v>
      </c>
      <c r="M204" s="34" t="s">
        <v>34</v>
      </c>
      <c r="N204" s="34" t="s">
        <v>4337</v>
      </c>
      <c r="O204" s="34" t="s">
        <v>468</v>
      </c>
      <c r="Q204" s="52">
        <f t="shared" si="3"/>
        <v>40</v>
      </c>
    </row>
    <row r="205" spans="1:17" x14ac:dyDescent="0.25">
      <c r="A205" s="34" t="s">
        <v>4038</v>
      </c>
      <c r="C205" s="35" t="s">
        <v>4039</v>
      </c>
      <c r="E205" s="50">
        <v>46058</v>
      </c>
      <c r="F205" s="34" t="s">
        <v>3899</v>
      </c>
      <c r="G205" s="34">
        <v>-24.73</v>
      </c>
      <c r="H205" s="34" t="s">
        <v>227</v>
      </c>
      <c r="I205" s="34" t="s">
        <v>16</v>
      </c>
      <c r="J205" s="34" t="s">
        <v>602</v>
      </c>
      <c r="K205" s="35" t="s">
        <v>227</v>
      </c>
      <c r="L205" s="34">
        <v>1008</v>
      </c>
      <c r="M205" s="34" t="s">
        <v>34</v>
      </c>
      <c r="N205" s="34" t="s">
        <v>4337</v>
      </c>
      <c r="O205" s="34" t="s">
        <v>468</v>
      </c>
      <c r="Q205" s="52">
        <f t="shared" si="3"/>
        <v>36</v>
      </c>
    </row>
    <row r="206" spans="1:17" x14ac:dyDescent="0.25">
      <c r="A206" s="34" t="s">
        <v>4038</v>
      </c>
      <c r="C206" s="35" t="s">
        <v>4039</v>
      </c>
      <c r="E206" s="50">
        <v>46058</v>
      </c>
      <c r="F206" s="34" t="s">
        <v>3899</v>
      </c>
      <c r="G206" s="34">
        <v>24.73</v>
      </c>
      <c r="H206" s="34" t="s">
        <v>227</v>
      </c>
      <c r="I206" s="34" t="s">
        <v>16</v>
      </c>
      <c r="J206" s="34" t="s">
        <v>55</v>
      </c>
      <c r="K206" s="35" t="s">
        <v>232</v>
      </c>
      <c r="L206" s="34">
        <v>1008</v>
      </c>
      <c r="M206" s="34" t="s">
        <v>34</v>
      </c>
      <c r="N206" s="34" t="s">
        <v>4337</v>
      </c>
      <c r="O206" s="34" t="s">
        <v>468</v>
      </c>
      <c r="Q206" s="52">
        <f t="shared" si="3"/>
        <v>27</v>
      </c>
    </row>
    <row r="207" spans="1:17" x14ac:dyDescent="0.25">
      <c r="A207" s="34" t="s">
        <v>4038</v>
      </c>
      <c r="C207" s="35" t="s">
        <v>4039</v>
      </c>
      <c r="E207" s="50">
        <v>46064</v>
      </c>
      <c r="F207" s="34" t="s">
        <v>4043</v>
      </c>
      <c r="G207" s="34">
        <v>37.979999999999997</v>
      </c>
      <c r="H207" s="34" t="s">
        <v>227</v>
      </c>
      <c r="I207" s="34" t="s">
        <v>21</v>
      </c>
      <c r="J207" s="34" t="s">
        <v>111</v>
      </c>
      <c r="K207" s="35" t="s">
        <v>239</v>
      </c>
      <c r="L207" s="34">
        <v>3431</v>
      </c>
      <c r="M207" s="34" t="s">
        <v>34</v>
      </c>
      <c r="N207" s="34" t="s">
        <v>4337</v>
      </c>
      <c r="O207" s="34" t="s">
        <v>468</v>
      </c>
      <c r="Q207" s="52">
        <f t="shared" si="3"/>
        <v>54</v>
      </c>
    </row>
    <row r="208" spans="1:17" x14ac:dyDescent="0.25">
      <c r="A208" s="34" t="s">
        <v>4038</v>
      </c>
      <c r="C208" s="35" t="s">
        <v>4039</v>
      </c>
      <c r="E208" s="50">
        <v>46070</v>
      </c>
      <c r="F208" s="34" t="s">
        <v>4044</v>
      </c>
      <c r="G208" s="34">
        <v>20.149999999999999</v>
      </c>
      <c r="H208" s="34" t="s">
        <v>227</v>
      </c>
      <c r="I208" s="34" t="s">
        <v>16</v>
      </c>
      <c r="J208" s="34" t="s">
        <v>4045</v>
      </c>
      <c r="K208" s="35" t="s">
        <v>1019</v>
      </c>
      <c r="L208" s="34">
        <v>3501</v>
      </c>
      <c r="M208" s="34" t="s">
        <v>34</v>
      </c>
      <c r="N208" s="34" t="s">
        <v>4337</v>
      </c>
      <c r="O208" s="34" t="s">
        <v>468</v>
      </c>
      <c r="Q208" s="52">
        <f t="shared" si="3"/>
        <v>57</v>
      </c>
    </row>
    <row r="209" spans="1:17" x14ac:dyDescent="0.25">
      <c r="A209" s="34" t="s">
        <v>4038</v>
      </c>
      <c r="C209" s="35" t="s">
        <v>4039</v>
      </c>
      <c r="E209" s="50">
        <v>46071</v>
      </c>
      <c r="F209" s="34" t="s">
        <v>4044</v>
      </c>
      <c r="G209" s="34">
        <v>17.260000000000002</v>
      </c>
      <c r="H209" s="34" t="s">
        <v>227</v>
      </c>
      <c r="I209" s="34" t="s">
        <v>16</v>
      </c>
      <c r="J209" s="34" t="s">
        <v>4046</v>
      </c>
      <c r="K209" s="35" t="s">
        <v>4479</v>
      </c>
      <c r="L209" s="34">
        <v>3501</v>
      </c>
      <c r="M209" s="34" t="s">
        <v>34</v>
      </c>
      <c r="N209" s="34" t="s">
        <v>4337</v>
      </c>
      <c r="O209" s="34" t="s">
        <v>468</v>
      </c>
      <c r="Q209" s="52">
        <f t="shared" si="3"/>
        <v>61</v>
      </c>
    </row>
    <row r="210" spans="1:17" x14ac:dyDescent="0.25">
      <c r="A210" s="34" t="s">
        <v>4038</v>
      </c>
      <c r="C210" s="35" t="s">
        <v>4039</v>
      </c>
      <c r="E210" s="50">
        <v>46071</v>
      </c>
      <c r="F210" s="34" t="s">
        <v>4044</v>
      </c>
      <c r="G210" s="34">
        <v>5.35</v>
      </c>
      <c r="H210" s="34" t="s">
        <v>227</v>
      </c>
      <c r="I210" s="34" t="s">
        <v>16</v>
      </c>
      <c r="J210" s="34" t="s">
        <v>4047</v>
      </c>
      <c r="K210" s="35" t="s">
        <v>4450</v>
      </c>
      <c r="L210" s="34">
        <v>3501</v>
      </c>
      <c r="M210" s="34" t="s">
        <v>34</v>
      </c>
      <c r="N210" s="34" t="s">
        <v>4337</v>
      </c>
      <c r="O210" s="34" t="s">
        <v>468</v>
      </c>
      <c r="Q210" s="52">
        <f t="shared" si="3"/>
        <v>66</v>
      </c>
    </row>
    <row r="211" spans="1:17" x14ac:dyDescent="0.25">
      <c r="A211" s="34" t="s">
        <v>4038</v>
      </c>
      <c r="C211" s="35" t="s">
        <v>4039</v>
      </c>
      <c r="E211" s="50">
        <v>46072</v>
      </c>
      <c r="F211" s="34" t="s">
        <v>4044</v>
      </c>
      <c r="G211" s="34">
        <v>57.36</v>
      </c>
      <c r="H211" s="34" t="s">
        <v>227</v>
      </c>
      <c r="I211" s="34" t="s">
        <v>16</v>
      </c>
      <c r="J211" s="34" t="s">
        <v>4048</v>
      </c>
      <c r="K211" s="35" t="s">
        <v>4367</v>
      </c>
      <c r="L211" s="34">
        <v>3501</v>
      </c>
      <c r="M211" s="34" t="s">
        <v>34</v>
      </c>
      <c r="N211" s="34" t="s">
        <v>4337</v>
      </c>
      <c r="O211" s="34" t="s">
        <v>468</v>
      </c>
      <c r="Q211" s="52">
        <f t="shared" si="3"/>
        <v>68</v>
      </c>
    </row>
    <row r="212" spans="1:17" x14ac:dyDescent="0.25">
      <c r="A212" s="34" t="s">
        <v>4038</v>
      </c>
      <c r="C212" s="35" t="s">
        <v>4039</v>
      </c>
      <c r="E212" s="50">
        <v>46070</v>
      </c>
      <c r="F212" s="34" t="s">
        <v>4044</v>
      </c>
      <c r="G212" s="34">
        <v>12.19</v>
      </c>
      <c r="H212" s="34" t="s">
        <v>227</v>
      </c>
      <c r="I212" s="34" t="s">
        <v>16</v>
      </c>
      <c r="J212" s="34" t="s">
        <v>4047</v>
      </c>
      <c r="K212" s="35" t="s">
        <v>4450</v>
      </c>
      <c r="L212" s="34">
        <v>3501</v>
      </c>
      <c r="M212" s="34" t="s">
        <v>34</v>
      </c>
      <c r="N212" s="34" t="s">
        <v>4337</v>
      </c>
      <c r="O212" s="34" t="s">
        <v>468</v>
      </c>
      <c r="Q212" s="52">
        <f t="shared" si="3"/>
        <v>66</v>
      </c>
    </row>
    <row r="213" spans="1:17" x14ac:dyDescent="0.25">
      <c r="A213" s="34" t="s">
        <v>4038</v>
      </c>
      <c r="C213" s="35" t="s">
        <v>4039</v>
      </c>
      <c r="E213" s="50">
        <v>46071</v>
      </c>
      <c r="F213" s="34" t="s">
        <v>4044</v>
      </c>
      <c r="G213" s="34">
        <v>11.27</v>
      </c>
      <c r="H213" s="34" t="s">
        <v>227</v>
      </c>
      <c r="I213" s="34" t="s">
        <v>16</v>
      </c>
      <c r="J213" s="34" t="s">
        <v>4049</v>
      </c>
      <c r="K213" s="35" t="s">
        <v>4341</v>
      </c>
      <c r="L213" s="34">
        <v>3501</v>
      </c>
      <c r="M213" s="34" t="s">
        <v>34</v>
      </c>
      <c r="N213" s="34" t="s">
        <v>4337</v>
      </c>
      <c r="O213" s="34" t="s">
        <v>468</v>
      </c>
      <c r="Q213" s="52">
        <f t="shared" si="3"/>
        <v>66</v>
      </c>
    </row>
    <row r="214" spans="1:17" x14ac:dyDescent="0.25">
      <c r="A214" s="34" t="s">
        <v>4038</v>
      </c>
      <c r="C214" s="35" t="s">
        <v>4039</v>
      </c>
      <c r="E214" s="50">
        <v>46069</v>
      </c>
      <c r="F214" s="34" t="s">
        <v>4050</v>
      </c>
      <c r="G214" s="34">
        <v>2058.66</v>
      </c>
      <c r="H214" s="34" t="s">
        <v>227</v>
      </c>
      <c r="I214" s="34" t="s">
        <v>3594</v>
      </c>
      <c r="J214" s="34" t="s">
        <v>70</v>
      </c>
      <c r="K214" s="35" t="s">
        <v>601</v>
      </c>
      <c r="L214" s="34">
        <v>3431</v>
      </c>
      <c r="M214" s="34" t="s">
        <v>34</v>
      </c>
      <c r="N214" s="34" t="s">
        <v>4337</v>
      </c>
      <c r="O214" s="34" t="s">
        <v>468</v>
      </c>
      <c r="Q214" s="52">
        <f t="shared" si="3"/>
        <v>50</v>
      </c>
    </row>
    <row r="215" spans="1:17" x14ac:dyDescent="0.25">
      <c r="A215" s="34" t="s">
        <v>4038</v>
      </c>
      <c r="C215" s="35" t="s">
        <v>4039</v>
      </c>
      <c r="E215" s="50">
        <v>46067</v>
      </c>
      <c r="F215" s="34" t="s">
        <v>3899</v>
      </c>
      <c r="G215" s="34">
        <v>-2.39</v>
      </c>
      <c r="H215" s="34" t="s">
        <v>227</v>
      </c>
      <c r="I215" s="34" t="s">
        <v>16</v>
      </c>
      <c r="J215" s="34" t="s">
        <v>602</v>
      </c>
      <c r="K215" s="35" t="s">
        <v>227</v>
      </c>
      <c r="L215" s="34">
        <v>1008</v>
      </c>
      <c r="M215" s="34" t="s">
        <v>34</v>
      </c>
      <c r="N215" s="34" t="s">
        <v>4337</v>
      </c>
      <c r="O215" s="34" t="s">
        <v>468</v>
      </c>
      <c r="Q215" s="52">
        <f t="shared" si="3"/>
        <v>36</v>
      </c>
    </row>
    <row r="216" spans="1:17" x14ac:dyDescent="0.25">
      <c r="A216" s="34" t="s">
        <v>4038</v>
      </c>
      <c r="C216" s="35" t="s">
        <v>4039</v>
      </c>
      <c r="E216" s="50">
        <v>46067</v>
      </c>
      <c r="F216" s="34" t="s">
        <v>3899</v>
      </c>
      <c r="G216" s="34">
        <v>2.39</v>
      </c>
      <c r="H216" s="34" t="s">
        <v>227</v>
      </c>
      <c r="I216" s="34" t="s">
        <v>16</v>
      </c>
      <c r="J216" s="34" t="s">
        <v>55</v>
      </c>
      <c r="K216" s="35" t="s">
        <v>232</v>
      </c>
      <c r="L216" s="34">
        <v>1008</v>
      </c>
      <c r="M216" s="34" t="s">
        <v>34</v>
      </c>
      <c r="N216" s="34" t="s">
        <v>4337</v>
      </c>
      <c r="O216" s="34" t="s">
        <v>468</v>
      </c>
      <c r="Q216" s="52">
        <f t="shared" si="3"/>
        <v>27</v>
      </c>
    </row>
    <row r="217" spans="1:17" x14ac:dyDescent="0.25">
      <c r="A217" s="34" t="s">
        <v>4038</v>
      </c>
      <c r="C217" s="35" t="s">
        <v>4039</v>
      </c>
      <c r="E217" s="50">
        <v>46065</v>
      </c>
      <c r="F217" s="34" t="s">
        <v>4051</v>
      </c>
      <c r="G217" s="34">
        <v>21.38</v>
      </c>
      <c r="H217" s="34" t="s">
        <v>227</v>
      </c>
      <c r="I217" s="34" t="s">
        <v>16</v>
      </c>
      <c r="J217" s="34" t="s">
        <v>207</v>
      </c>
      <c r="K217" s="35" t="s">
        <v>255</v>
      </c>
      <c r="L217" s="34">
        <v>3501</v>
      </c>
      <c r="M217" s="34" t="s">
        <v>34</v>
      </c>
      <c r="N217" s="34" t="s">
        <v>4337</v>
      </c>
      <c r="O217" s="34" t="s">
        <v>468</v>
      </c>
      <c r="Q217" s="52">
        <f t="shared" si="3"/>
        <v>47</v>
      </c>
    </row>
    <row r="218" spans="1:17" x14ac:dyDescent="0.25">
      <c r="A218" s="34" t="s">
        <v>4038</v>
      </c>
      <c r="C218" s="35" t="s">
        <v>4039</v>
      </c>
      <c r="E218" s="50">
        <v>46065</v>
      </c>
      <c r="F218" s="34" t="s">
        <v>4051</v>
      </c>
      <c r="G218" s="34">
        <v>22.6</v>
      </c>
      <c r="H218" s="34" t="s">
        <v>227</v>
      </c>
      <c r="I218" s="34" t="s">
        <v>16</v>
      </c>
      <c r="J218" s="34" t="s">
        <v>207</v>
      </c>
      <c r="K218" s="35" t="s">
        <v>255</v>
      </c>
      <c r="L218" s="34">
        <v>3501</v>
      </c>
      <c r="M218" s="34" t="s">
        <v>34</v>
      </c>
      <c r="N218" s="34" t="s">
        <v>4337</v>
      </c>
      <c r="O218" s="34" t="s">
        <v>468</v>
      </c>
      <c r="Q218" s="52">
        <f t="shared" si="3"/>
        <v>47</v>
      </c>
    </row>
    <row r="219" spans="1:17" x14ac:dyDescent="0.25">
      <c r="A219" s="34" t="s">
        <v>4038</v>
      </c>
      <c r="C219" s="35" t="s">
        <v>4039</v>
      </c>
      <c r="E219" s="50">
        <v>46065</v>
      </c>
      <c r="F219" s="34" t="s">
        <v>4052</v>
      </c>
      <c r="G219" s="34">
        <v>158</v>
      </c>
      <c r="H219" s="34" t="s">
        <v>227</v>
      </c>
      <c r="I219" s="34" t="s">
        <v>16</v>
      </c>
      <c r="J219" s="34" t="s">
        <v>936</v>
      </c>
      <c r="K219" s="35" t="s">
        <v>937</v>
      </c>
      <c r="L219" s="34">
        <v>3501</v>
      </c>
      <c r="M219" s="34" t="s">
        <v>34</v>
      </c>
      <c r="N219" s="34" t="s">
        <v>4337</v>
      </c>
      <c r="O219" s="34" t="s">
        <v>468</v>
      </c>
      <c r="Q219" s="52">
        <f t="shared" si="3"/>
        <v>58</v>
      </c>
    </row>
    <row r="220" spans="1:17" x14ac:dyDescent="0.25">
      <c r="A220" s="34" t="s">
        <v>4038</v>
      </c>
      <c r="C220" s="35" t="s">
        <v>4039</v>
      </c>
      <c r="E220" s="50">
        <v>46064</v>
      </c>
      <c r="F220" s="34" t="s">
        <v>4053</v>
      </c>
      <c r="G220" s="34">
        <v>25.98</v>
      </c>
      <c r="H220" s="34" t="s">
        <v>227</v>
      </c>
      <c r="I220" s="34" t="s">
        <v>21</v>
      </c>
      <c r="J220" s="34" t="s">
        <v>111</v>
      </c>
      <c r="K220" s="35" t="s">
        <v>239</v>
      </c>
      <c r="L220" s="34">
        <v>3501</v>
      </c>
      <c r="M220" s="34" t="s">
        <v>34</v>
      </c>
      <c r="N220" s="34" t="s">
        <v>4337</v>
      </c>
      <c r="O220" s="34" t="s">
        <v>468</v>
      </c>
      <c r="Q220" s="52">
        <f t="shared" si="3"/>
        <v>42</v>
      </c>
    </row>
    <row r="221" spans="1:17" x14ac:dyDescent="0.25">
      <c r="A221" s="34" t="s">
        <v>4038</v>
      </c>
      <c r="C221" s="35" t="s">
        <v>4039</v>
      </c>
      <c r="E221" s="50">
        <v>46063</v>
      </c>
      <c r="F221" s="34" t="s">
        <v>4040</v>
      </c>
      <c r="G221" s="34">
        <v>24.38</v>
      </c>
      <c r="H221" s="34" t="s">
        <v>227</v>
      </c>
      <c r="I221" s="34" t="s">
        <v>16</v>
      </c>
      <c r="J221" s="34" t="s">
        <v>4054</v>
      </c>
      <c r="K221" s="35" t="s">
        <v>4503</v>
      </c>
      <c r="L221" s="34">
        <v>3354</v>
      </c>
      <c r="M221" s="34" t="s">
        <v>34</v>
      </c>
      <c r="N221" s="34" t="s">
        <v>4337</v>
      </c>
      <c r="O221" s="34" t="s">
        <v>468</v>
      </c>
      <c r="Q221" s="52">
        <f t="shared" si="3"/>
        <v>48</v>
      </c>
    </row>
    <row r="222" spans="1:17" x14ac:dyDescent="0.25">
      <c r="A222" s="34" t="s">
        <v>4038</v>
      </c>
      <c r="C222" s="35" t="s">
        <v>4039</v>
      </c>
      <c r="E222" s="50">
        <v>46063</v>
      </c>
      <c r="F222" s="34" t="s">
        <v>4040</v>
      </c>
      <c r="G222" s="34">
        <v>96.87</v>
      </c>
      <c r="H222" s="34" t="s">
        <v>227</v>
      </c>
      <c r="I222" s="34" t="s">
        <v>16</v>
      </c>
      <c r="J222" s="34" t="s">
        <v>4055</v>
      </c>
      <c r="K222" s="35" t="s">
        <v>4485</v>
      </c>
      <c r="L222" s="34">
        <v>3354</v>
      </c>
      <c r="M222" s="34" t="s">
        <v>34</v>
      </c>
      <c r="N222" s="34" t="s">
        <v>4337</v>
      </c>
      <c r="O222" s="34" t="s">
        <v>468</v>
      </c>
      <c r="Q222" s="52">
        <f t="shared" si="3"/>
        <v>45</v>
      </c>
    </row>
    <row r="223" spans="1:17" x14ac:dyDescent="0.25">
      <c r="A223" s="34" t="s">
        <v>4038</v>
      </c>
      <c r="C223" s="35" t="s">
        <v>4039</v>
      </c>
      <c r="E223" s="50">
        <v>46072</v>
      </c>
      <c r="F223" s="34" t="s">
        <v>4056</v>
      </c>
      <c r="G223" s="34">
        <v>50.98</v>
      </c>
      <c r="H223" s="34" t="s">
        <v>227</v>
      </c>
      <c r="I223" s="34" t="s">
        <v>21</v>
      </c>
      <c r="J223" s="34" t="s">
        <v>111</v>
      </c>
      <c r="K223" s="35" t="s">
        <v>239</v>
      </c>
      <c r="L223" s="34">
        <v>3501</v>
      </c>
      <c r="M223" s="34" t="s">
        <v>34</v>
      </c>
      <c r="N223" s="34" t="s">
        <v>4337</v>
      </c>
      <c r="O223" s="34" t="s">
        <v>468</v>
      </c>
      <c r="Q223" s="52">
        <f t="shared" si="3"/>
        <v>52</v>
      </c>
    </row>
    <row r="224" spans="1:17" x14ac:dyDescent="0.25">
      <c r="A224" s="34" t="s">
        <v>4038</v>
      </c>
      <c r="C224" s="35" t="s">
        <v>4039</v>
      </c>
      <c r="E224" s="50">
        <v>46071</v>
      </c>
      <c r="F224" s="34" t="s">
        <v>4057</v>
      </c>
      <c r="G224" s="34">
        <v>48.98</v>
      </c>
      <c r="H224" s="34" t="s">
        <v>227</v>
      </c>
      <c r="I224" s="34" t="s">
        <v>21</v>
      </c>
      <c r="J224" s="34" t="s">
        <v>111</v>
      </c>
      <c r="K224" s="35" t="s">
        <v>239</v>
      </c>
      <c r="L224" s="34">
        <v>3501</v>
      </c>
      <c r="M224" s="34" t="s">
        <v>34</v>
      </c>
      <c r="N224" s="34" t="s">
        <v>4337</v>
      </c>
      <c r="O224" s="34" t="s">
        <v>468</v>
      </c>
      <c r="Q224" s="52">
        <f t="shared" si="3"/>
        <v>52</v>
      </c>
    </row>
    <row r="225" spans="1:17" x14ac:dyDescent="0.25">
      <c r="A225" s="34" t="s">
        <v>4038</v>
      </c>
      <c r="C225" s="35" t="s">
        <v>4039</v>
      </c>
      <c r="E225" s="50">
        <v>46070</v>
      </c>
      <c r="F225" s="34" t="s">
        <v>4058</v>
      </c>
      <c r="G225" s="34">
        <v>145</v>
      </c>
      <c r="H225" s="34" t="s">
        <v>227</v>
      </c>
      <c r="I225" s="34" t="s">
        <v>21</v>
      </c>
      <c r="J225" s="34" t="s">
        <v>104</v>
      </c>
      <c r="K225" s="35" t="s">
        <v>1100</v>
      </c>
      <c r="L225" s="34">
        <v>3431</v>
      </c>
      <c r="M225" s="34" t="s">
        <v>34</v>
      </c>
      <c r="N225" s="34" t="s">
        <v>4337</v>
      </c>
      <c r="O225" s="34" t="s">
        <v>468</v>
      </c>
      <c r="Q225" s="52">
        <f t="shared" si="3"/>
        <v>47</v>
      </c>
    </row>
    <row r="226" spans="1:17" x14ac:dyDescent="0.25">
      <c r="A226" s="34" t="s">
        <v>4038</v>
      </c>
      <c r="C226" s="35" t="s">
        <v>4039</v>
      </c>
      <c r="E226" s="50">
        <v>46069</v>
      </c>
      <c r="F226" s="34" t="s">
        <v>4059</v>
      </c>
      <c r="G226" s="34">
        <v>30</v>
      </c>
      <c r="H226" s="34" t="s">
        <v>227</v>
      </c>
      <c r="I226" s="34" t="s">
        <v>3594</v>
      </c>
      <c r="J226" s="34" t="s">
        <v>30</v>
      </c>
      <c r="K226" s="35" t="s">
        <v>790</v>
      </c>
      <c r="L226" s="34">
        <v>3431</v>
      </c>
      <c r="M226" s="34" t="s">
        <v>34</v>
      </c>
      <c r="N226" s="34" t="s">
        <v>4337</v>
      </c>
      <c r="O226" s="34" t="s">
        <v>468</v>
      </c>
      <c r="Q226" s="52">
        <f t="shared" si="3"/>
        <v>56</v>
      </c>
    </row>
    <row r="227" spans="1:17" x14ac:dyDescent="0.25">
      <c r="A227" s="34" t="s">
        <v>4038</v>
      </c>
      <c r="C227" s="35" t="s">
        <v>4039</v>
      </c>
      <c r="E227" s="50">
        <v>46081</v>
      </c>
      <c r="F227" s="34" t="s">
        <v>3899</v>
      </c>
      <c r="G227" s="34">
        <v>16.170000000000002</v>
      </c>
      <c r="H227" s="34" t="s">
        <v>227</v>
      </c>
      <c r="I227" s="34" t="s">
        <v>16</v>
      </c>
      <c r="J227" s="34" t="s">
        <v>55</v>
      </c>
      <c r="K227" s="35" t="s">
        <v>232</v>
      </c>
      <c r="L227" s="34">
        <v>1008</v>
      </c>
      <c r="M227" s="34" t="s">
        <v>34</v>
      </c>
      <c r="N227" s="34" t="s">
        <v>4337</v>
      </c>
      <c r="O227" s="34" t="s">
        <v>468</v>
      </c>
      <c r="Q227" s="52">
        <f t="shared" si="3"/>
        <v>27</v>
      </c>
    </row>
    <row r="228" spans="1:17" x14ac:dyDescent="0.25">
      <c r="A228" s="34" t="s">
        <v>4038</v>
      </c>
      <c r="C228" s="35" t="s">
        <v>4039</v>
      </c>
      <c r="E228" s="50">
        <v>46081</v>
      </c>
      <c r="F228" s="34" t="s">
        <v>3899</v>
      </c>
      <c r="G228" s="34">
        <v>2.39</v>
      </c>
      <c r="H228" s="34" t="s">
        <v>227</v>
      </c>
      <c r="I228" s="34" t="s">
        <v>16</v>
      </c>
      <c r="J228" s="34" t="s">
        <v>55</v>
      </c>
      <c r="K228" s="35" t="s">
        <v>232</v>
      </c>
      <c r="L228" s="34">
        <v>1008</v>
      </c>
      <c r="M228" s="34" t="s">
        <v>34</v>
      </c>
      <c r="N228" s="34" t="s">
        <v>4337</v>
      </c>
      <c r="O228" s="34" t="s">
        <v>468</v>
      </c>
      <c r="Q228" s="52">
        <f t="shared" si="3"/>
        <v>27</v>
      </c>
    </row>
    <row r="229" spans="1:17" x14ac:dyDescent="0.25">
      <c r="A229" s="34" t="s">
        <v>4038</v>
      </c>
      <c r="C229" s="35" t="s">
        <v>4039</v>
      </c>
      <c r="E229" s="50">
        <v>46080</v>
      </c>
      <c r="F229" s="34" t="s">
        <v>4060</v>
      </c>
      <c r="G229" s="34">
        <v>145</v>
      </c>
      <c r="H229" s="34" t="s">
        <v>227</v>
      </c>
      <c r="I229" s="34" t="s">
        <v>21</v>
      </c>
      <c r="J229" s="34" t="s">
        <v>104</v>
      </c>
      <c r="K229" s="35" t="s">
        <v>1100</v>
      </c>
      <c r="L229" s="34">
        <v>1035</v>
      </c>
      <c r="M229" s="34" t="s">
        <v>34</v>
      </c>
      <c r="N229" s="34" t="s">
        <v>4337</v>
      </c>
      <c r="O229" s="34" t="s">
        <v>468</v>
      </c>
      <c r="Q229" s="52">
        <f t="shared" si="3"/>
        <v>37</v>
      </c>
    </row>
    <row r="230" spans="1:17" x14ac:dyDescent="0.25">
      <c r="A230" s="34" t="s">
        <v>4038</v>
      </c>
      <c r="C230" s="35" t="s">
        <v>4039</v>
      </c>
      <c r="E230" s="50">
        <v>46074</v>
      </c>
      <c r="F230" s="34" t="s">
        <v>4061</v>
      </c>
      <c r="G230" s="34">
        <v>145</v>
      </c>
      <c r="H230" s="34" t="s">
        <v>227</v>
      </c>
      <c r="I230" s="34" t="s">
        <v>21</v>
      </c>
      <c r="J230" s="34" t="s">
        <v>104</v>
      </c>
      <c r="K230" s="35" t="s">
        <v>1100</v>
      </c>
      <c r="L230" s="34">
        <v>1035</v>
      </c>
      <c r="M230" s="34" t="s">
        <v>34</v>
      </c>
      <c r="N230" s="34" t="s">
        <v>4337</v>
      </c>
      <c r="O230" s="34" t="s">
        <v>468</v>
      </c>
      <c r="Q230" s="52">
        <f t="shared" si="3"/>
        <v>37</v>
      </c>
    </row>
    <row r="231" spans="1:17" x14ac:dyDescent="0.25">
      <c r="A231" s="34" t="s">
        <v>4038</v>
      </c>
      <c r="C231" s="35" t="s">
        <v>4039</v>
      </c>
      <c r="E231" s="50">
        <v>46073</v>
      </c>
      <c r="F231" s="34" t="s">
        <v>3881</v>
      </c>
      <c r="G231" s="34">
        <v>28.35</v>
      </c>
      <c r="H231" s="34" t="s">
        <v>227</v>
      </c>
      <c r="I231" s="34" t="s">
        <v>16</v>
      </c>
      <c r="J231" s="34" t="s">
        <v>4062</v>
      </c>
      <c r="K231" s="35" t="s">
        <v>4359</v>
      </c>
      <c r="L231" s="34">
        <v>1035</v>
      </c>
      <c r="M231" s="34" t="s">
        <v>34</v>
      </c>
      <c r="N231" s="34" t="s">
        <v>4337</v>
      </c>
      <c r="O231" s="34" t="s">
        <v>468</v>
      </c>
      <c r="Q231" s="52">
        <f t="shared" si="3"/>
        <v>41</v>
      </c>
    </row>
    <row r="232" spans="1:17" x14ac:dyDescent="0.25">
      <c r="A232" s="34" t="s">
        <v>4038</v>
      </c>
      <c r="C232" s="35" t="s">
        <v>4039</v>
      </c>
      <c r="E232" s="50">
        <v>46064</v>
      </c>
      <c r="F232" s="34" t="s">
        <v>4051</v>
      </c>
      <c r="G232" s="34">
        <v>12.81</v>
      </c>
      <c r="H232" s="34" t="s">
        <v>227</v>
      </c>
      <c r="I232" s="34" t="s">
        <v>16</v>
      </c>
      <c r="J232" s="34" t="s">
        <v>1056</v>
      </c>
      <c r="K232" s="35" t="s">
        <v>1057</v>
      </c>
      <c r="L232" s="34">
        <v>3501</v>
      </c>
      <c r="M232" s="34" t="s">
        <v>34</v>
      </c>
      <c r="N232" s="34" t="s">
        <v>4337</v>
      </c>
      <c r="O232" s="34" t="s">
        <v>468</v>
      </c>
      <c r="Q232" s="52">
        <f t="shared" si="3"/>
        <v>48</v>
      </c>
    </row>
    <row r="233" spans="1:17" x14ac:dyDescent="0.25">
      <c r="A233" s="34" t="s">
        <v>4038</v>
      </c>
      <c r="C233" s="35" t="s">
        <v>4039</v>
      </c>
      <c r="E233" s="50">
        <v>46073</v>
      </c>
      <c r="F233" s="34" t="s">
        <v>3881</v>
      </c>
      <c r="G233" s="34">
        <v>5.29</v>
      </c>
      <c r="H233" s="34" t="s">
        <v>227</v>
      </c>
      <c r="I233" s="34" t="s">
        <v>16</v>
      </c>
      <c r="J233" s="34" t="s">
        <v>3600</v>
      </c>
      <c r="K233" s="35" t="s">
        <v>994</v>
      </c>
      <c r="L233" s="34">
        <v>1035</v>
      </c>
      <c r="M233" s="34" t="s">
        <v>34</v>
      </c>
      <c r="N233" s="34" t="s">
        <v>4337</v>
      </c>
      <c r="O233" s="34" t="s">
        <v>468</v>
      </c>
      <c r="Q233" s="52">
        <f t="shared" si="3"/>
        <v>50</v>
      </c>
    </row>
    <row r="234" spans="1:17" x14ac:dyDescent="0.25">
      <c r="A234" s="34" t="s">
        <v>4038</v>
      </c>
      <c r="C234" s="35" t="s">
        <v>4039</v>
      </c>
      <c r="E234" s="50">
        <v>46073</v>
      </c>
      <c r="F234" s="34" t="s">
        <v>3881</v>
      </c>
      <c r="G234" s="34">
        <v>44.61</v>
      </c>
      <c r="H234" s="34" t="s">
        <v>227</v>
      </c>
      <c r="I234" s="34" t="s">
        <v>16</v>
      </c>
      <c r="J234" s="34" t="s">
        <v>4063</v>
      </c>
      <c r="K234" s="35" t="s">
        <v>2239</v>
      </c>
      <c r="L234" s="34">
        <v>1035</v>
      </c>
      <c r="M234" s="34" t="s">
        <v>34</v>
      </c>
      <c r="N234" s="34" t="s">
        <v>4337</v>
      </c>
      <c r="O234" s="34" t="s">
        <v>468</v>
      </c>
      <c r="Q234" s="52">
        <f t="shared" si="3"/>
        <v>38</v>
      </c>
    </row>
    <row r="235" spans="1:17" x14ac:dyDescent="0.25">
      <c r="A235" s="34" t="s">
        <v>4038</v>
      </c>
      <c r="C235" s="35" t="s">
        <v>4039</v>
      </c>
      <c r="E235" s="50">
        <v>46072</v>
      </c>
      <c r="F235" s="34" t="s">
        <v>4064</v>
      </c>
      <c r="G235" s="34">
        <v>145</v>
      </c>
      <c r="H235" s="34" t="s">
        <v>227</v>
      </c>
      <c r="I235" s="34" t="s">
        <v>21</v>
      </c>
      <c r="J235" s="34" t="s">
        <v>104</v>
      </c>
      <c r="K235" s="35" t="s">
        <v>1100</v>
      </c>
      <c r="L235" s="34">
        <v>3501</v>
      </c>
      <c r="M235" s="34" t="s">
        <v>34</v>
      </c>
      <c r="N235" s="34" t="s">
        <v>4337</v>
      </c>
      <c r="O235" s="34" t="s">
        <v>468</v>
      </c>
      <c r="Q235" s="52">
        <f t="shared" si="3"/>
        <v>57</v>
      </c>
    </row>
    <row r="236" spans="1:17" x14ac:dyDescent="0.25">
      <c r="A236" s="34" t="s">
        <v>4038</v>
      </c>
      <c r="C236" s="35" t="s">
        <v>4039</v>
      </c>
      <c r="E236" s="50">
        <v>46072</v>
      </c>
      <c r="F236" s="34" t="s">
        <v>4065</v>
      </c>
      <c r="G236" s="34">
        <v>410.13</v>
      </c>
      <c r="H236" s="34" t="s">
        <v>227</v>
      </c>
      <c r="I236" s="34" t="s">
        <v>3864</v>
      </c>
      <c r="J236" s="34" t="s">
        <v>4066</v>
      </c>
      <c r="K236" s="35" t="s">
        <v>918</v>
      </c>
      <c r="L236" s="34">
        <v>3431</v>
      </c>
      <c r="M236" s="34" t="s">
        <v>34</v>
      </c>
      <c r="N236" s="34" t="s">
        <v>4337</v>
      </c>
      <c r="O236" s="34" t="s">
        <v>468</v>
      </c>
      <c r="Q236" s="52">
        <f t="shared" si="3"/>
        <v>45</v>
      </c>
    </row>
    <row r="237" spans="1:17" x14ac:dyDescent="0.25">
      <c r="A237" s="34" t="s">
        <v>4038</v>
      </c>
      <c r="C237" s="35" t="s">
        <v>4039</v>
      </c>
      <c r="E237" s="50">
        <v>46081</v>
      </c>
      <c r="F237" s="34" t="s">
        <v>3899</v>
      </c>
      <c r="G237" s="34">
        <v>-2.39</v>
      </c>
      <c r="H237" s="34" t="s">
        <v>227</v>
      </c>
      <c r="I237" s="34" t="s">
        <v>16</v>
      </c>
      <c r="J237" s="34" t="s">
        <v>602</v>
      </c>
      <c r="K237" s="35" t="s">
        <v>227</v>
      </c>
      <c r="L237" s="34">
        <v>1008</v>
      </c>
      <c r="M237" s="34" t="s">
        <v>34</v>
      </c>
      <c r="N237" s="34" t="s">
        <v>4337</v>
      </c>
      <c r="O237" s="34" t="s">
        <v>468</v>
      </c>
      <c r="Q237" s="52">
        <f t="shared" si="3"/>
        <v>36</v>
      </c>
    </row>
    <row r="238" spans="1:17" x14ac:dyDescent="0.25">
      <c r="A238" s="34" t="s">
        <v>4038</v>
      </c>
      <c r="C238" s="35" t="s">
        <v>4039</v>
      </c>
      <c r="E238" s="50">
        <v>46081</v>
      </c>
      <c r="F238" s="34" t="s">
        <v>3899</v>
      </c>
      <c r="G238" s="34">
        <v>-16.170000000000002</v>
      </c>
      <c r="H238" s="34" t="s">
        <v>227</v>
      </c>
      <c r="I238" s="34" t="s">
        <v>16</v>
      </c>
      <c r="J238" s="34" t="s">
        <v>602</v>
      </c>
      <c r="K238" s="35" t="s">
        <v>227</v>
      </c>
      <c r="L238" s="34">
        <v>1008</v>
      </c>
      <c r="M238" s="34" t="s">
        <v>34</v>
      </c>
      <c r="N238" s="34" t="s">
        <v>4337</v>
      </c>
      <c r="O238" s="34" t="s">
        <v>468</v>
      </c>
      <c r="Q238" s="52">
        <f t="shared" si="3"/>
        <v>36</v>
      </c>
    </row>
    <row r="239" spans="1:17" x14ac:dyDescent="0.25">
      <c r="A239" s="34" t="s">
        <v>4038</v>
      </c>
      <c r="C239" s="35" t="s">
        <v>4039</v>
      </c>
      <c r="E239" s="50">
        <v>46086</v>
      </c>
      <c r="F239" s="34" t="s">
        <v>3899</v>
      </c>
      <c r="G239" s="34">
        <v>5.73</v>
      </c>
      <c r="H239" s="34" t="s">
        <v>227</v>
      </c>
      <c r="I239" s="34" t="s">
        <v>16</v>
      </c>
      <c r="J239" s="34" t="s">
        <v>55</v>
      </c>
      <c r="K239" s="35" t="s">
        <v>232</v>
      </c>
      <c r="L239" s="34">
        <v>1008</v>
      </c>
      <c r="M239" s="34" t="s">
        <v>34</v>
      </c>
      <c r="N239" s="34" t="s">
        <v>4337</v>
      </c>
      <c r="O239" s="34" t="s">
        <v>468</v>
      </c>
      <c r="Q239" s="52">
        <f t="shared" si="3"/>
        <v>27</v>
      </c>
    </row>
    <row r="240" spans="1:17" x14ac:dyDescent="0.25">
      <c r="A240" s="34" t="s">
        <v>4038</v>
      </c>
      <c r="C240" s="35" t="s">
        <v>4039</v>
      </c>
      <c r="E240" s="50">
        <v>46086</v>
      </c>
      <c r="F240" s="34" t="s">
        <v>3899</v>
      </c>
      <c r="G240" s="34">
        <v>-5.73</v>
      </c>
      <c r="H240" s="34" t="s">
        <v>227</v>
      </c>
      <c r="I240" s="34" t="s">
        <v>16</v>
      </c>
      <c r="J240" s="34" t="s">
        <v>1225</v>
      </c>
      <c r="K240" s="35" t="s">
        <v>227</v>
      </c>
      <c r="L240" s="34">
        <v>1008</v>
      </c>
      <c r="M240" s="34" t="s">
        <v>34</v>
      </c>
      <c r="N240" s="34" t="s">
        <v>4337</v>
      </c>
      <c r="O240" s="34" t="s">
        <v>468</v>
      </c>
      <c r="Q240" s="52">
        <f t="shared" si="3"/>
        <v>36</v>
      </c>
    </row>
    <row r="241" spans="1:17" x14ac:dyDescent="0.25">
      <c r="A241" s="34" t="s">
        <v>4038</v>
      </c>
      <c r="C241" s="35" t="s">
        <v>4039</v>
      </c>
      <c r="E241" s="50">
        <v>46085</v>
      </c>
      <c r="F241" s="34" t="s">
        <v>3899</v>
      </c>
      <c r="G241" s="34">
        <v>-3.43</v>
      </c>
      <c r="H241" s="34" t="s">
        <v>227</v>
      </c>
      <c r="I241" s="34" t="s">
        <v>4500</v>
      </c>
      <c r="J241" s="34" t="s">
        <v>1225</v>
      </c>
      <c r="K241" s="35" t="s">
        <v>227</v>
      </c>
      <c r="L241" s="34">
        <v>1008</v>
      </c>
      <c r="M241" s="34" t="s">
        <v>34</v>
      </c>
      <c r="N241" s="34" t="s">
        <v>4337</v>
      </c>
      <c r="O241" s="34" t="s">
        <v>468</v>
      </c>
      <c r="Q241" s="52">
        <f t="shared" si="3"/>
        <v>36</v>
      </c>
    </row>
    <row r="242" spans="1:17" x14ac:dyDescent="0.25">
      <c r="A242" s="34" t="s">
        <v>4038</v>
      </c>
      <c r="C242" s="35" t="s">
        <v>4039</v>
      </c>
      <c r="E242" s="50">
        <v>46085</v>
      </c>
      <c r="F242" s="34" t="s">
        <v>3899</v>
      </c>
      <c r="G242" s="34">
        <v>3.43</v>
      </c>
      <c r="H242" s="34" t="s">
        <v>227</v>
      </c>
      <c r="I242" s="34" t="s">
        <v>16</v>
      </c>
      <c r="J242" s="34" t="s">
        <v>55</v>
      </c>
      <c r="K242" s="35" t="s">
        <v>232</v>
      </c>
      <c r="L242" s="34">
        <v>1008</v>
      </c>
      <c r="M242" s="34" t="s">
        <v>34</v>
      </c>
      <c r="N242" s="34" t="s">
        <v>4337</v>
      </c>
      <c r="O242" s="34" t="s">
        <v>468</v>
      </c>
      <c r="Q242" s="52">
        <f t="shared" si="3"/>
        <v>27</v>
      </c>
    </row>
    <row r="243" spans="1:17" x14ac:dyDescent="0.25">
      <c r="A243" s="34" t="s">
        <v>4038</v>
      </c>
      <c r="C243" s="35" t="s">
        <v>4039</v>
      </c>
      <c r="E243" s="50">
        <v>46084</v>
      </c>
      <c r="F243" s="34" t="s">
        <v>4067</v>
      </c>
      <c r="G243" s="34">
        <v>1859.68</v>
      </c>
      <c r="H243" s="34" t="s">
        <v>227</v>
      </c>
      <c r="I243" s="34" t="s">
        <v>3864</v>
      </c>
      <c r="J243" s="34" t="s">
        <v>3603</v>
      </c>
      <c r="K243" s="35" t="s">
        <v>3621</v>
      </c>
      <c r="L243" s="34">
        <v>3501</v>
      </c>
      <c r="M243" s="34" t="s">
        <v>34</v>
      </c>
      <c r="N243" s="34" t="s">
        <v>4337</v>
      </c>
      <c r="O243" s="34" t="s">
        <v>468</v>
      </c>
      <c r="Q243" s="52">
        <f t="shared" si="3"/>
        <v>53</v>
      </c>
    </row>
    <row r="244" spans="1:17" x14ac:dyDescent="0.25">
      <c r="A244" s="34" t="s">
        <v>4038</v>
      </c>
      <c r="C244" s="35" t="s">
        <v>4039</v>
      </c>
      <c r="E244" s="50">
        <v>46084</v>
      </c>
      <c r="F244" s="34" t="s">
        <v>4068</v>
      </c>
      <c r="G244" s="34">
        <v>396.1</v>
      </c>
      <c r="H244" s="34" t="s">
        <v>227</v>
      </c>
      <c r="I244" s="34" t="s">
        <v>3594</v>
      </c>
      <c r="J244" s="34" t="s">
        <v>70</v>
      </c>
      <c r="K244" s="35" t="s">
        <v>601</v>
      </c>
      <c r="L244" s="34">
        <v>3501</v>
      </c>
      <c r="M244" s="34" t="s">
        <v>34</v>
      </c>
      <c r="N244" s="34" t="s">
        <v>4337</v>
      </c>
      <c r="O244" s="34" t="s">
        <v>468</v>
      </c>
      <c r="Q244" s="52">
        <f t="shared" si="3"/>
        <v>50</v>
      </c>
    </row>
    <row r="245" spans="1:17" x14ac:dyDescent="0.25">
      <c r="A245" s="34" t="s">
        <v>4038</v>
      </c>
      <c r="C245" s="35" t="s">
        <v>4039</v>
      </c>
      <c r="E245" s="50">
        <v>46084</v>
      </c>
      <c r="F245" s="34" t="s">
        <v>4069</v>
      </c>
      <c r="G245" s="34">
        <v>1181.8</v>
      </c>
      <c r="H245" s="34" t="s">
        <v>227</v>
      </c>
      <c r="I245" s="34" t="s">
        <v>3594</v>
      </c>
      <c r="J245" s="34" t="s">
        <v>47</v>
      </c>
      <c r="K245" s="35" t="s">
        <v>41</v>
      </c>
      <c r="L245" s="34">
        <v>3500</v>
      </c>
      <c r="M245" s="34" t="s">
        <v>34</v>
      </c>
      <c r="N245" s="34" t="s">
        <v>4337</v>
      </c>
      <c r="O245" s="34" t="s">
        <v>468</v>
      </c>
      <c r="Q245" s="52">
        <f t="shared" si="3"/>
        <v>44</v>
      </c>
    </row>
    <row r="246" spans="1:17" x14ac:dyDescent="0.25">
      <c r="A246" s="34" t="s">
        <v>4038</v>
      </c>
      <c r="C246" s="35" t="s">
        <v>4039</v>
      </c>
      <c r="E246" s="50">
        <v>46084</v>
      </c>
      <c r="F246" s="34" t="s">
        <v>4070</v>
      </c>
      <c r="G246" s="34">
        <v>30</v>
      </c>
      <c r="H246" s="34" t="s">
        <v>227</v>
      </c>
      <c r="I246" s="34" t="s">
        <v>3594</v>
      </c>
      <c r="J246" s="34" t="s">
        <v>30</v>
      </c>
      <c r="K246" s="35" t="s">
        <v>790</v>
      </c>
      <c r="L246" s="34">
        <v>3500</v>
      </c>
      <c r="M246" s="34" t="s">
        <v>34</v>
      </c>
      <c r="N246" s="34" t="s">
        <v>4337</v>
      </c>
      <c r="O246" s="34" t="s">
        <v>468</v>
      </c>
      <c r="Q246" s="52">
        <f t="shared" si="3"/>
        <v>53</v>
      </c>
    </row>
    <row r="247" spans="1:17" x14ac:dyDescent="0.25">
      <c r="A247" s="34" t="s">
        <v>4038</v>
      </c>
      <c r="C247" s="35" t="s">
        <v>4039</v>
      </c>
      <c r="E247" s="50">
        <v>46084</v>
      </c>
      <c r="F247" s="34" t="s">
        <v>4071</v>
      </c>
      <c r="G247" s="34">
        <v>503.4</v>
      </c>
      <c r="H247" s="34" t="s">
        <v>227</v>
      </c>
      <c r="I247" s="34" t="s">
        <v>3594</v>
      </c>
      <c r="J247" s="34" t="s">
        <v>47</v>
      </c>
      <c r="K247" s="35" t="s">
        <v>41</v>
      </c>
      <c r="L247" s="34">
        <v>3399</v>
      </c>
      <c r="M247" s="34" t="s">
        <v>34</v>
      </c>
      <c r="N247" s="34" t="s">
        <v>4337</v>
      </c>
      <c r="O247" s="34" t="s">
        <v>468</v>
      </c>
      <c r="Q247" s="52">
        <f t="shared" si="3"/>
        <v>42</v>
      </c>
    </row>
    <row r="248" spans="1:17" x14ac:dyDescent="0.25">
      <c r="A248" s="34" t="s">
        <v>4038</v>
      </c>
      <c r="C248" s="35" t="s">
        <v>4039</v>
      </c>
      <c r="E248" s="50">
        <v>46087</v>
      </c>
      <c r="F248" s="34" t="s">
        <v>3899</v>
      </c>
      <c r="G248" s="34">
        <v>-2.0499999999999998</v>
      </c>
      <c r="H248" s="34" t="s">
        <v>227</v>
      </c>
      <c r="I248" s="34" t="s">
        <v>16</v>
      </c>
      <c r="J248" s="34" t="s">
        <v>1225</v>
      </c>
      <c r="K248" s="35" t="s">
        <v>227</v>
      </c>
      <c r="L248" s="34">
        <v>1008</v>
      </c>
      <c r="M248" s="34" t="s">
        <v>34</v>
      </c>
      <c r="N248" s="34" t="s">
        <v>4337</v>
      </c>
      <c r="O248" s="34" t="s">
        <v>468</v>
      </c>
      <c r="Q248" s="52">
        <f t="shared" si="3"/>
        <v>36</v>
      </c>
    </row>
    <row r="249" spans="1:17" x14ac:dyDescent="0.25">
      <c r="A249" s="34" t="s">
        <v>4038</v>
      </c>
      <c r="C249" s="35" t="s">
        <v>4039</v>
      </c>
      <c r="E249" s="50">
        <v>46087</v>
      </c>
      <c r="F249" s="34" t="s">
        <v>3899</v>
      </c>
      <c r="G249" s="34">
        <v>3.26</v>
      </c>
      <c r="H249" s="34" t="s">
        <v>227</v>
      </c>
      <c r="I249" s="34" t="s">
        <v>16</v>
      </c>
      <c r="J249" s="34" t="s">
        <v>55</v>
      </c>
      <c r="K249" s="35" t="s">
        <v>232</v>
      </c>
      <c r="L249" s="34">
        <v>1008</v>
      </c>
      <c r="M249" s="34" t="s">
        <v>34</v>
      </c>
      <c r="N249" s="34" t="s">
        <v>4337</v>
      </c>
      <c r="O249" s="34" t="s">
        <v>468</v>
      </c>
      <c r="Q249" s="52">
        <f t="shared" si="3"/>
        <v>27</v>
      </c>
    </row>
    <row r="250" spans="1:17" x14ac:dyDescent="0.25">
      <c r="A250" s="34" t="s">
        <v>4038</v>
      </c>
      <c r="C250" s="35" t="s">
        <v>4039</v>
      </c>
      <c r="E250" s="50">
        <v>46084</v>
      </c>
      <c r="F250" s="34" t="s">
        <v>4072</v>
      </c>
      <c r="G250" s="34">
        <v>30</v>
      </c>
      <c r="H250" s="34" t="s">
        <v>227</v>
      </c>
      <c r="I250" s="34" t="s">
        <v>3594</v>
      </c>
      <c r="J250" s="34" t="s">
        <v>30</v>
      </c>
      <c r="K250" s="35" t="s">
        <v>790</v>
      </c>
      <c r="L250" s="34">
        <v>3501</v>
      </c>
      <c r="M250" s="34" t="s">
        <v>34</v>
      </c>
      <c r="N250" s="34" t="s">
        <v>4337</v>
      </c>
      <c r="O250" s="34" t="s">
        <v>468</v>
      </c>
      <c r="Q250" s="52">
        <f t="shared" si="3"/>
        <v>60</v>
      </c>
    </row>
    <row r="251" spans="1:17" x14ac:dyDescent="0.25">
      <c r="A251" s="34" t="s">
        <v>4038</v>
      </c>
      <c r="C251" s="35" t="s">
        <v>4039</v>
      </c>
      <c r="E251" s="50">
        <v>46084</v>
      </c>
      <c r="F251" s="34" t="s">
        <v>4073</v>
      </c>
      <c r="G251" s="34">
        <v>30</v>
      </c>
      <c r="H251" s="34" t="s">
        <v>227</v>
      </c>
      <c r="I251" s="34" t="s">
        <v>3594</v>
      </c>
      <c r="J251" s="34" t="s">
        <v>30</v>
      </c>
      <c r="K251" s="35" t="s">
        <v>790</v>
      </c>
      <c r="L251" s="34">
        <v>3399</v>
      </c>
      <c r="M251" s="34" t="s">
        <v>34</v>
      </c>
      <c r="N251" s="34" t="s">
        <v>4337</v>
      </c>
      <c r="O251" s="34" t="s">
        <v>468</v>
      </c>
      <c r="Q251" s="52">
        <f t="shared" si="3"/>
        <v>55</v>
      </c>
    </row>
    <row r="252" spans="1:17" x14ac:dyDescent="0.25">
      <c r="A252" s="34" t="s">
        <v>4038</v>
      </c>
      <c r="C252" s="35" t="s">
        <v>4039</v>
      </c>
      <c r="E252" s="50">
        <v>46064</v>
      </c>
      <c r="F252" s="34" t="s">
        <v>4051</v>
      </c>
      <c r="G252" s="34">
        <v>45</v>
      </c>
      <c r="H252" s="34" t="s">
        <v>227</v>
      </c>
      <c r="I252" s="34" t="s">
        <v>16</v>
      </c>
      <c r="J252" s="34" t="s">
        <v>4074</v>
      </c>
      <c r="K252" s="35" t="s">
        <v>784</v>
      </c>
      <c r="L252" s="34">
        <v>3501</v>
      </c>
      <c r="M252" s="34" t="s">
        <v>34</v>
      </c>
      <c r="N252" s="34" t="s">
        <v>4337</v>
      </c>
      <c r="O252" s="34" t="s">
        <v>468</v>
      </c>
      <c r="Q252" s="52">
        <f t="shared" si="3"/>
        <v>51</v>
      </c>
    </row>
    <row r="253" spans="1:17" x14ac:dyDescent="0.25">
      <c r="A253" s="34" t="s">
        <v>4038</v>
      </c>
      <c r="C253" s="35" t="s">
        <v>4039</v>
      </c>
      <c r="E253" s="50">
        <v>46084</v>
      </c>
      <c r="F253" s="34" t="s">
        <v>4075</v>
      </c>
      <c r="G253" s="34">
        <v>490.04</v>
      </c>
      <c r="H253" s="34" t="s">
        <v>227</v>
      </c>
      <c r="I253" s="34" t="s">
        <v>3864</v>
      </c>
      <c r="J253" s="34" t="s">
        <v>4076</v>
      </c>
      <c r="K253" s="35" t="s">
        <v>826</v>
      </c>
      <c r="L253" s="34">
        <v>3399</v>
      </c>
      <c r="M253" s="34" t="s">
        <v>34</v>
      </c>
      <c r="N253" s="34" t="s">
        <v>4337</v>
      </c>
      <c r="O253" s="34" t="s">
        <v>468</v>
      </c>
      <c r="Q253" s="52">
        <f t="shared" si="3"/>
        <v>47</v>
      </c>
    </row>
    <row r="254" spans="1:17" x14ac:dyDescent="0.25">
      <c r="A254" s="34" t="s">
        <v>4038</v>
      </c>
      <c r="C254" s="35" t="s">
        <v>4039</v>
      </c>
      <c r="E254" s="50">
        <v>46081</v>
      </c>
      <c r="F254" s="34" t="s">
        <v>4077</v>
      </c>
      <c r="G254" s="34">
        <v>884.43</v>
      </c>
      <c r="H254" s="34" t="s">
        <v>227</v>
      </c>
      <c r="I254" s="34" t="s">
        <v>3864</v>
      </c>
      <c r="J254" s="34" t="s">
        <v>825</v>
      </c>
      <c r="K254" s="35" t="s">
        <v>826</v>
      </c>
      <c r="L254" s="34">
        <v>3500</v>
      </c>
      <c r="M254" s="34" t="s">
        <v>34</v>
      </c>
      <c r="N254" s="34" t="s">
        <v>4337</v>
      </c>
      <c r="O254" s="34" t="s">
        <v>468</v>
      </c>
      <c r="Q254" s="52">
        <f t="shared" si="3"/>
        <v>45</v>
      </c>
    </row>
    <row r="255" spans="1:17" x14ac:dyDescent="0.25">
      <c r="A255" s="34" t="s">
        <v>4078</v>
      </c>
      <c r="B255" s="34" t="s">
        <v>4079</v>
      </c>
      <c r="C255" s="35" t="s">
        <v>4080</v>
      </c>
      <c r="E255" s="50">
        <v>46065</v>
      </c>
      <c r="F255" s="34" t="s">
        <v>4781</v>
      </c>
      <c r="G255" s="34">
        <v>2420</v>
      </c>
      <c r="H255" s="34" t="s">
        <v>227</v>
      </c>
      <c r="I255" s="34" t="s">
        <v>4082</v>
      </c>
      <c r="J255" s="34" t="s">
        <v>2794</v>
      </c>
      <c r="K255" s="35" t="s">
        <v>2795</v>
      </c>
      <c r="L255" s="34">
        <v>6001</v>
      </c>
      <c r="M255" s="34" t="s">
        <v>3836</v>
      </c>
      <c r="N255" s="34" t="s">
        <v>4337</v>
      </c>
      <c r="O255" s="34" t="s">
        <v>524</v>
      </c>
      <c r="Q255" s="52">
        <f t="shared" si="3"/>
        <v>60</v>
      </c>
    </row>
    <row r="256" spans="1:17" x14ac:dyDescent="0.25">
      <c r="A256" s="34" t="s">
        <v>4078</v>
      </c>
      <c r="B256" s="34" t="s">
        <v>4079</v>
      </c>
      <c r="C256" s="35" t="s">
        <v>4080</v>
      </c>
      <c r="E256" s="50">
        <v>46059</v>
      </c>
      <c r="F256" s="34" t="s">
        <v>4083</v>
      </c>
      <c r="G256" s="34">
        <v>103.99</v>
      </c>
      <c r="H256" s="34" t="s">
        <v>227</v>
      </c>
      <c r="I256" s="34" t="s">
        <v>21</v>
      </c>
      <c r="J256" s="34" t="s">
        <v>111</v>
      </c>
      <c r="K256" s="35" t="s">
        <v>239</v>
      </c>
      <c r="L256" s="34">
        <v>6001</v>
      </c>
      <c r="M256" s="34" t="s">
        <v>3836</v>
      </c>
      <c r="N256" s="34" t="s">
        <v>4337</v>
      </c>
      <c r="O256" s="34" t="s">
        <v>524</v>
      </c>
      <c r="Q256" s="52">
        <f t="shared" si="3"/>
        <v>42</v>
      </c>
    </row>
    <row r="257" spans="1:17" x14ac:dyDescent="0.25">
      <c r="A257" s="34" t="s">
        <v>4078</v>
      </c>
      <c r="B257" s="34" t="s">
        <v>4079</v>
      </c>
      <c r="C257" s="35" t="s">
        <v>4080</v>
      </c>
      <c r="E257" s="50">
        <v>46058</v>
      </c>
      <c r="F257" s="34" t="s">
        <v>4084</v>
      </c>
      <c r="G257" s="34">
        <v>-1176.96</v>
      </c>
      <c r="H257" s="34" t="s">
        <v>227</v>
      </c>
      <c r="I257" s="34" t="s">
        <v>3594</v>
      </c>
      <c r="J257" s="34" t="s">
        <v>70</v>
      </c>
      <c r="K257" s="35" t="s">
        <v>601</v>
      </c>
      <c r="L257" s="34">
        <v>1035</v>
      </c>
      <c r="M257" s="34" t="s">
        <v>3836</v>
      </c>
      <c r="N257" s="34" t="s">
        <v>4337</v>
      </c>
      <c r="O257" s="34" t="s">
        <v>524</v>
      </c>
      <c r="Q257" s="52">
        <f t="shared" si="3"/>
        <v>43</v>
      </c>
    </row>
    <row r="258" spans="1:17" x14ac:dyDescent="0.25">
      <c r="A258" s="34" t="s">
        <v>4078</v>
      </c>
      <c r="B258" s="34" t="s">
        <v>4079</v>
      </c>
      <c r="C258" s="35" t="s">
        <v>4080</v>
      </c>
      <c r="E258" s="50">
        <v>46057</v>
      </c>
      <c r="F258" s="34" t="s">
        <v>4085</v>
      </c>
      <c r="G258" s="34">
        <v>124.51</v>
      </c>
      <c r="H258" s="34" t="s">
        <v>227</v>
      </c>
      <c r="I258" s="34" t="s">
        <v>16</v>
      </c>
      <c r="J258" s="34" t="s">
        <v>54</v>
      </c>
      <c r="K258" s="35" t="s">
        <v>231</v>
      </c>
      <c r="L258" s="34">
        <v>6001</v>
      </c>
      <c r="M258" s="34" t="s">
        <v>3836</v>
      </c>
      <c r="N258" s="34" t="s">
        <v>4337</v>
      </c>
      <c r="O258" s="34" t="s">
        <v>524</v>
      </c>
      <c r="Q258" s="52">
        <f t="shared" si="3"/>
        <v>46</v>
      </c>
    </row>
    <row r="259" spans="1:17" x14ac:dyDescent="0.25">
      <c r="A259" s="34" t="s">
        <v>4078</v>
      </c>
      <c r="B259" s="34" t="s">
        <v>4079</v>
      </c>
      <c r="C259" s="35" t="s">
        <v>4080</v>
      </c>
      <c r="E259" s="50">
        <v>46059</v>
      </c>
      <c r="F259" s="34" t="s">
        <v>4086</v>
      </c>
      <c r="G259" s="34">
        <v>41.93</v>
      </c>
      <c r="H259" s="34" t="s">
        <v>227</v>
      </c>
      <c r="I259" s="34" t="s">
        <v>16</v>
      </c>
      <c r="J259" s="34" t="s">
        <v>173</v>
      </c>
      <c r="K259" s="35" t="s">
        <v>979</v>
      </c>
      <c r="L259" s="34">
        <v>6001</v>
      </c>
      <c r="M259" s="34" t="s">
        <v>3836</v>
      </c>
      <c r="N259" s="34" t="s">
        <v>4337</v>
      </c>
      <c r="O259" s="34" t="s">
        <v>524</v>
      </c>
      <c r="Q259" s="52">
        <f t="shared" ref="Q259:Q322" si="4">LEN(F259&amp;K259)+12</f>
        <v>28</v>
      </c>
    </row>
    <row r="260" spans="1:17" x14ac:dyDescent="0.25">
      <c r="A260" s="34" t="s">
        <v>4078</v>
      </c>
      <c r="B260" s="34" t="s">
        <v>4079</v>
      </c>
      <c r="C260" s="35" t="s">
        <v>4080</v>
      </c>
      <c r="E260" s="50">
        <v>46059</v>
      </c>
      <c r="F260" s="34" t="s">
        <v>4087</v>
      </c>
      <c r="G260" s="34">
        <v>482.15</v>
      </c>
      <c r="H260" s="34" t="s">
        <v>227</v>
      </c>
      <c r="I260" s="34" t="s">
        <v>3864</v>
      </c>
      <c r="J260" s="34" t="s">
        <v>173</v>
      </c>
      <c r="K260" s="35" t="s">
        <v>979</v>
      </c>
      <c r="L260" s="34">
        <v>6001</v>
      </c>
      <c r="M260" s="34" t="s">
        <v>3836</v>
      </c>
      <c r="N260" s="34" t="s">
        <v>4337</v>
      </c>
      <c r="O260" s="34" t="s">
        <v>524</v>
      </c>
      <c r="Q260" s="52">
        <f t="shared" si="4"/>
        <v>41</v>
      </c>
    </row>
    <row r="261" spans="1:17" x14ac:dyDescent="0.25">
      <c r="A261" s="34" t="s">
        <v>4088</v>
      </c>
      <c r="C261" s="35" t="s">
        <v>4089</v>
      </c>
      <c r="E261" s="50">
        <v>46086</v>
      </c>
      <c r="F261" s="34" t="s">
        <v>4090</v>
      </c>
      <c r="G261" s="34">
        <v>173.98</v>
      </c>
      <c r="H261" s="34" t="s">
        <v>227</v>
      </c>
      <c r="I261" s="34" t="s">
        <v>21</v>
      </c>
      <c r="J261" s="34" t="s">
        <v>22</v>
      </c>
      <c r="K261" s="35" t="s">
        <v>239</v>
      </c>
      <c r="L261" s="34">
        <v>1001</v>
      </c>
      <c r="M261" s="34" t="s">
        <v>4091</v>
      </c>
      <c r="N261" s="34" t="s">
        <v>4337</v>
      </c>
      <c r="O261" s="34" t="s">
        <v>433</v>
      </c>
      <c r="Q261" s="52">
        <f t="shared" si="4"/>
        <v>47</v>
      </c>
    </row>
    <row r="262" spans="1:17" x14ac:dyDescent="0.25">
      <c r="A262" s="34" t="s">
        <v>4088</v>
      </c>
      <c r="C262" s="35" t="s">
        <v>4089</v>
      </c>
      <c r="E262" s="50">
        <v>46079</v>
      </c>
      <c r="F262" s="34" t="s">
        <v>4092</v>
      </c>
      <c r="G262" s="34">
        <v>52.26</v>
      </c>
      <c r="H262" s="34" t="s">
        <v>227</v>
      </c>
      <c r="I262" s="34" t="s">
        <v>4093</v>
      </c>
      <c r="J262" s="34" t="s">
        <v>935</v>
      </c>
      <c r="K262" s="35" t="s">
        <v>934</v>
      </c>
      <c r="L262" s="34">
        <v>1008</v>
      </c>
      <c r="M262" s="34" t="s">
        <v>4091</v>
      </c>
      <c r="N262" s="34" t="s">
        <v>4337</v>
      </c>
      <c r="O262" s="34" t="s">
        <v>433</v>
      </c>
      <c r="Q262" s="52">
        <f t="shared" si="4"/>
        <v>54</v>
      </c>
    </row>
    <row r="263" spans="1:17" x14ac:dyDescent="0.25">
      <c r="A263" s="34" t="s">
        <v>4088</v>
      </c>
      <c r="C263" s="35" t="s">
        <v>4089</v>
      </c>
      <c r="E263" s="50">
        <v>46066</v>
      </c>
      <c r="F263" s="34" t="s">
        <v>4094</v>
      </c>
      <c r="G263" s="34">
        <v>4.51</v>
      </c>
      <c r="H263" s="34" t="s">
        <v>227</v>
      </c>
      <c r="I263" s="34" t="s">
        <v>21</v>
      </c>
      <c r="J263" s="34" t="s">
        <v>22</v>
      </c>
      <c r="K263" s="35" t="s">
        <v>239</v>
      </c>
      <c r="L263" s="34">
        <v>1001</v>
      </c>
      <c r="M263" s="34" t="s">
        <v>4091</v>
      </c>
      <c r="N263" s="34" t="s">
        <v>4337</v>
      </c>
      <c r="O263" s="34" t="s">
        <v>433</v>
      </c>
      <c r="Q263" s="52">
        <f t="shared" si="4"/>
        <v>45</v>
      </c>
    </row>
    <row r="264" spans="1:17" x14ac:dyDescent="0.25">
      <c r="A264" s="34" t="s">
        <v>4088</v>
      </c>
      <c r="C264" s="35" t="s">
        <v>4089</v>
      </c>
      <c r="E264" s="50">
        <v>46066</v>
      </c>
      <c r="F264" s="34" t="s">
        <v>3593</v>
      </c>
      <c r="G264" s="34">
        <v>45.16</v>
      </c>
      <c r="H264" s="34" t="s">
        <v>227</v>
      </c>
      <c r="I264" s="34" t="s">
        <v>21</v>
      </c>
      <c r="J264" s="34" t="s">
        <v>22</v>
      </c>
      <c r="K264" s="35" t="s">
        <v>239</v>
      </c>
      <c r="L264" s="34">
        <v>1001</v>
      </c>
      <c r="M264" s="34" t="s">
        <v>4091</v>
      </c>
      <c r="N264" s="34" t="s">
        <v>4337</v>
      </c>
      <c r="O264" s="34" t="s">
        <v>433</v>
      </c>
      <c r="Q264" s="52">
        <f t="shared" si="4"/>
        <v>40</v>
      </c>
    </row>
    <row r="265" spans="1:17" x14ac:dyDescent="0.25">
      <c r="A265" s="34" t="s">
        <v>4095</v>
      </c>
      <c r="C265" s="35" t="s">
        <v>4096</v>
      </c>
      <c r="E265" s="50">
        <v>46060</v>
      </c>
      <c r="F265" s="34" t="s">
        <v>4097</v>
      </c>
      <c r="G265" s="34">
        <v>8.61</v>
      </c>
      <c r="H265" s="34" t="s">
        <v>227</v>
      </c>
      <c r="I265" s="34" t="s">
        <v>16</v>
      </c>
      <c r="J265" s="34" t="s">
        <v>4098</v>
      </c>
      <c r="K265" s="35" t="s">
        <v>4430</v>
      </c>
      <c r="L265" s="34">
        <v>6450</v>
      </c>
      <c r="M265" s="34" t="s">
        <v>3836</v>
      </c>
      <c r="N265" s="34" t="s">
        <v>4337</v>
      </c>
      <c r="O265" s="34" t="s">
        <v>543</v>
      </c>
      <c r="Q265" s="52">
        <f t="shared" si="4"/>
        <v>51</v>
      </c>
    </row>
    <row r="266" spans="1:17" x14ac:dyDescent="0.25">
      <c r="A266" s="34" t="s">
        <v>4095</v>
      </c>
      <c r="C266" s="35" t="s">
        <v>4096</v>
      </c>
      <c r="E266" s="50">
        <v>46060</v>
      </c>
      <c r="F266" s="34" t="s">
        <v>4099</v>
      </c>
      <c r="G266" s="34">
        <v>22.35</v>
      </c>
      <c r="H266" s="34" t="s">
        <v>227</v>
      </c>
      <c r="I266" s="34" t="s">
        <v>21</v>
      </c>
      <c r="J266" s="34" t="s">
        <v>2554</v>
      </c>
      <c r="K266" s="35" t="s">
        <v>2584</v>
      </c>
      <c r="L266" s="34">
        <v>6450</v>
      </c>
      <c r="M266" s="34" t="s">
        <v>3836</v>
      </c>
      <c r="N266" s="34" t="s">
        <v>4337</v>
      </c>
      <c r="O266" s="34" t="s">
        <v>543</v>
      </c>
      <c r="Q266" s="52">
        <f t="shared" si="4"/>
        <v>52</v>
      </c>
    </row>
    <row r="267" spans="1:17" x14ac:dyDescent="0.25">
      <c r="A267" s="34" t="s">
        <v>4095</v>
      </c>
      <c r="C267" s="35" t="s">
        <v>4096</v>
      </c>
      <c r="E267" s="50">
        <v>46060</v>
      </c>
      <c r="F267" s="34" t="s">
        <v>4100</v>
      </c>
      <c r="G267" s="34">
        <v>32.229999999999997</v>
      </c>
      <c r="H267" s="34" t="s">
        <v>227</v>
      </c>
      <c r="I267" s="34" t="s">
        <v>21</v>
      </c>
      <c r="J267" s="34" t="s">
        <v>3605</v>
      </c>
      <c r="K267" s="35" t="s">
        <v>2584</v>
      </c>
      <c r="L267" s="34">
        <v>6450</v>
      </c>
      <c r="M267" s="34" t="s">
        <v>3836</v>
      </c>
      <c r="N267" s="34" t="s">
        <v>4337</v>
      </c>
      <c r="O267" s="34" t="s">
        <v>543</v>
      </c>
      <c r="Q267" s="52">
        <f t="shared" si="4"/>
        <v>49</v>
      </c>
    </row>
    <row r="268" spans="1:17" x14ac:dyDescent="0.25">
      <c r="A268" s="34" t="s">
        <v>4095</v>
      </c>
      <c r="C268" s="35" t="s">
        <v>4096</v>
      </c>
      <c r="E268" s="50">
        <v>46059</v>
      </c>
      <c r="F268" s="34" t="s">
        <v>4101</v>
      </c>
      <c r="G268" s="34">
        <v>22.58</v>
      </c>
      <c r="H268" s="34" t="s">
        <v>227</v>
      </c>
      <c r="I268" s="34" t="s">
        <v>21</v>
      </c>
      <c r="J268" s="34" t="s">
        <v>2554</v>
      </c>
      <c r="K268" s="35" t="s">
        <v>2584</v>
      </c>
      <c r="L268" s="34">
        <v>6450</v>
      </c>
      <c r="M268" s="34" t="s">
        <v>3836</v>
      </c>
      <c r="N268" s="34" t="s">
        <v>4337</v>
      </c>
      <c r="O268" s="34" t="s">
        <v>543</v>
      </c>
      <c r="Q268" s="52">
        <f t="shared" si="4"/>
        <v>52</v>
      </c>
    </row>
    <row r="269" spans="1:17" x14ac:dyDescent="0.25">
      <c r="A269" s="34" t="s">
        <v>4095</v>
      </c>
      <c r="C269" s="35" t="s">
        <v>4096</v>
      </c>
      <c r="E269" s="50">
        <v>46055</v>
      </c>
      <c r="F269" s="34" t="s">
        <v>4102</v>
      </c>
      <c r="G269" s="34">
        <v>36.36</v>
      </c>
      <c r="H269" s="34" t="s">
        <v>227</v>
      </c>
      <c r="I269" s="34" t="s">
        <v>16</v>
      </c>
      <c r="J269" s="34" t="s">
        <v>1196</v>
      </c>
      <c r="K269" s="35" t="s">
        <v>918</v>
      </c>
      <c r="L269" s="34">
        <v>6371</v>
      </c>
      <c r="M269" s="34" t="s">
        <v>3836</v>
      </c>
      <c r="N269" s="34" t="s">
        <v>4337</v>
      </c>
      <c r="O269" s="34" t="s">
        <v>543</v>
      </c>
      <c r="Q269" s="52">
        <f t="shared" si="4"/>
        <v>46</v>
      </c>
    </row>
    <row r="270" spans="1:17" x14ac:dyDescent="0.25">
      <c r="A270" s="34" t="s">
        <v>4095</v>
      </c>
      <c r="C270" s="35" t="s">
        <v>4096</v>
      </c>
      <c r="E270" s="50">
        <v>46055</v>
      </c>
      <c r="F270" s="34" t="s">
        <v>4104</v>
      </c>
      <c r="G270" s="34">
        <v>5.95</v>
      </c>
      <c r="H270" s="34" t="s">
        <v>227</v>
      </c>
      <c r="I270" s="34" t="s">
        <v>4500</v>
      </c>
      <c r="J270" s="34" t="s">
        <v>1196</v>
      </c>
      <c r="K270" s="35" t="s">
        <v>918</v>
      </c>
      <c r="L270" s="34">
        <v>6371</v>
      </c>
      <c r="M270" s="34" t="s">
        <v>3836</v>
      </c>
      <c r="N270" s="34" t="s">
        <v>4337</v>
      </c>
      <c r="O270" s="34" t="s">
        <v>543</v>
      </c>
      <c r="Q270" s="52">
        <f t="shared" si="4"/>
        <v>42</v>
      </c>
    </row>
    <row r="271" spans="1:17" x14ac:dyDescent="0.25">
      <c r="A271" s="34" t="s">
        <v>4095</v>
      </c>
      <c r="C271" s="35" t="s">
        <v>4096</v>
      </c>
      <c r="E271" s="50">
        <v>46056</v>
      </c>
      <c r="F271" s="34" t="s">
        <v>4104</v>
      </c>
      <c r="G271" s="34">
        <v>5.95</v>
      </c>
      <c r="H271" s="34" t="s">
        <v>227</v>
      </c>
      <c r="I271" s="34" t="s">
        <v>4500</v>
      </c>
      <c r="J271" s="34" t="s">
        <v>1196</v>
      </c>
      <c r="K271" s="35" t="s">
        <v>918</v>
      </c>
      <c r="L271" s="34">
        <v>6371</v>
      </c>
      <c r="M271" s="34" t="s">
        <v>3836</v>
      </c>
      <c r="N271" s="34" t="s">
        <v>4337</v>
      </c>
      <c r="O271" s="34" t="s">
        <v>543</v>
      </c>
      <c r="Q271" s="52">
        <f t="shared" si="4"/>
        <v>42</v>
      </c>
    </row>
    <row r="272" spans="1:17" x14ac:dyDescent="0.25">
      <c r="A272" s="34" t="s">
        <v>4095</v>
      </c>
      <c r="C272" s="35" t="s">
        <v>4096</v>
      </c>
      <c r="E272" s="50">
        <v>46057</v>
      </c>
      <c r="F272" s="34" t="s">
        <v>4105</v>
      </c>
      <c r="G272" s="34">
        <v>580.04999999999995</v>
      </c>
      <c r="H272" s="34" t="s">
        <v>227</v>
      </c>
      <c r="I272" s="34" t="s">
        <v>3864</v>
      </c>
      <c r="J272" s="34" t="s">
        <v>1196</v>
      </c>
      <c r="K272" s="35" t="s">
        <v>918</v>
      </c>
      <c r="L272" s="34">
        <v>6371</v>
      </c>
      <c r="M272" s="34" t="s">
        <v>3836</v>
      </c>
      <c r="N272" s="34" t="s">
        <v>4337</v>
      </c>
      <c r="O272" s="34" t="s">
        <v>543</v>
      </c>
      <c r="Q272" s="52">
        <f t="shared" si="4"/>
        <v>42</v>
      </c>
    </row>
    <row r="273" spans="1:17" x14ac:dyDescent="0.25">
      <c r="A273" s="34" t="s">
        <v>4095</v>
      </c>
      <c r="C273" s="35" t="s">
        <v>4096</v>
      </c>
      <c r="E273" s="50">
        <v>46058</v>
      </c>
      <c r="F273" s="34" t="s">
        <v>4106</v>
      </c>
      <c r="G273" s="34">
        <v>124.78</v>
      </c>
      <c r="H273" s="34" t="s">
        <v>227</v>
      </c>
      <c r="I273" s="34" t="s">
        <v>16</v>
      </c>
      <c r="J273" s="34" t="s">
        <v>2556</v>
      </c>
      <c r="K273" s="35" t="s">
        <v>2602</v>
      </c>
      <c r="L273" s="34">
        <v>6450</v>
      </c>
      <c r="M273" s="34" t="s">
        <v>3836</v>
      </c>
      <c r="N273" s="34" t="s">
        <v>4337</v>
      </c>
      <c r="O273" s="34" t="s">
        <v>543</v>
      </c>
      <c r="Q273" s="52">
        <f t="shared" si="4"/>
        <v>59</v>
      </c>
    </row>
    <row r="274" spans="1:17" x14ac:dyDescent="0.25">
      <c r="A274" s="34" t="s">
        <v>4095</v>
      </c>
      <c r="C274" s="35" t="s">
        <v>4096</v>
      </c>
      <c r="E274" s="50">
        <v>46059</v>
      </c>
      <c r="F274" s="34" t="s">
        <v>4107</v>
      </c>
      <c r="G274" s="34">
        <v>41.59</v>
      </c>
      <c r="H274" s="34" t="s">
        <v>227</v>
      </c>
      <c r="I274" s="34" t="s">
        <v>16</v>
      </c>
      <c r="J274" s="34" t="s">
        <v>2556</v>
      </c>
      <c r="K274" s="35" t="s">
        <v>2602</v>
      </c>
      <c r="L274" s="34">
        <v>6450</v>
      </c>
      <c r="M274" s="34" t="s">
        <v>3836</v>
      </c>
      <c r="N274" s="34" t="s">
        <v>4337</v>
      </c>
      <c r="O274" s="34" t="s">
        <v>543</v>
      </c>
      <c r="Q274" s="52">
        <f t="shared" si="4"/>
        <v>59</v>
      </c>
    </row>
    <row r="275" spans="1:17" x14ac:dyDescent="0.25">
      <c r="A275" s="34" t="s">
        <v>4095</v>
      </c>
      <c r="C275" s="35" t="s">
        <v>4096</v>
      </c>
      <c r="E275" s="50">
        <v>46061</v>
      </c>
      <c r="F275" s="34" t="s">
        <v>4782</v>
      </c>
      <c r="G275" s="34">
        <v>230</v>
      </c>
      <c r="H275" s="34" t="s">
        <v>227</v>
      </c>
      <c r="I275" s="34" t="s">
        <v>3594</v>
      </c>
      <c r="J275" s="34" t="s">
        <v>93</v>
      </c>
      <c r="K275" s="35" t="s">
        <v>29</v>
      </c>
      <c r="L275" s="34">
        <v>1035</v>
      </c>
      <c r="M275" s="34" t="s">
        <v>3836</v>
      </c>
      <c r="N275" s="34" t="s">
        <v>4337</v>
      </c>
      <c r="O275" s="34" t="s">
        <v>543</v>
      </c>
      <c r="Q275" s="52">
        <f t="shared" si="4"/>
        <v>63</v>
      </c>
    </row>
    <row r="276" spans="1:17" x14ac:dyDescent="0.25">
      <c r="A276" s="34" t="s">
        <v>4095</v>
      </c>
      <c r="C276" s="35" t="s">
        <v>4096</v>
      </c>
      <c r="E276" s="50">
        <v>46061</v>
      </c>
      <c r="F276" s="34" t="s">
        <v>4782</v>
      </c>
      <c r="G276" s="34">
        <v>-851.3</v>
      </c>
      <c r="H276" s="34" t="s">
        <v>227</v>
      </c>
      <c r="I276" s="34" t="s">
        <v>3594</v>
      </c>
      <c r="J276" s="34" t="s">
        <v>93</v>
      </c>
      <c r="K276" s="35" t="s">
        <v>29</v>
      </c>
      <c r="L276" s="34">
        <v>1035</v>
      </c>
      <c r="M276" s="34" t="s">
        <v>3836</v>
      </c>
      <c r="N276" s="34" t="s">
        <v>4337</v>
      </c>
      <c r="O276" s="34" t="s">
        <v>543</v>
      </c>
      <c r="Q276" s="52">
        <f t="shared" si="4"/>
        <v>63</v>
      </c>
    </row>
    <row r="277" spans="1:17" x14ac:dyDescent="0.25">
      <c r="A277" s="34" t="s">
        <v>4095</v>
      </c>
      <c r="C277" s="35" t="s">
        <v>4096</v>
      </c>
      <c r="E277" s="50">
        <v>46063</v>
      </c>
      <c r="F277" s="34" t="s">
        <v>4105</v>
      </c>
      <c r="G277" s="34">
        <v>144.08000000000001</v>
      </c>
      <c r="H277" s="34" t="s">
        <v>227</v>
      </c>
      <c r="I277" s="34" t="s">
        <v>3864</v>
      </c>
      <c r="J277" s="34" t="s">
        <v>4109</v>
      </c>
      <c r="K277" s="35" t="s">
        <v>1058</v>
      </c>
      <c r="L277" s="34">
        <v>6371</v>
      </c>
      <c r="M277" s="34" t="s">
        <v>3836</v>
      </c>
      <c r="N277" s="34" t="s">
        <v>4337</v>
      </c>
      <c r="O277" s="34" t="s">
        <v>543</v>
      </c>
      <c r="Q277" s="52">
        <f t="shared" si="4"/>
        <v>42</v>
      </c>
    </row>
    <row r="278" spans="1:17" x14ac:dyDescent="0.25">
      <c r="A278" s="34" t="s">
        <v>4095</v>
      </c>
      <c r="C278" s="35" t="s">
        <v>4096</v>
      </c>
      <c r="E278" s="50">
        <v>46065</v>
      </c>
      <c r="F278" s="34" t="s">
        <v>4110</v>
      </c>
      <c r="G278" s="34">
        <v>35.31</v>
      </c>
      <c r="H278" s="34" t="s">
        <v>227</v>
      </c>
      <c r="I278" s="34" t="s">
        <v>16</v>
      </c>
      <c r="J278" s="34" t="s">
        <v>4111</v>
      </c>
      <c r="K278" s="35" t="s">
        <v>4488</v>
      </c>
      <c r="L278" s="34">
        <v>6001</v>
      </c>
      <c r="M278" s="34" t="s">
        <v>3836</v>
      </c>
      <c r="N278" s="34" t="s">
        <v>4337</v>
      </c>
      <c r="O278" s="34" t="s">
        <v>543</v>
      </c>
      <c r="Q278" s="52">
        <f t="shared" si="4"/>
        <v>42</v>
      </c>
    </row>
    <row r="279" spans="1:17" x14ac:dyDescent="0.25">
      <c r="A279" s="34" t="s">
        <v>4095</v>
      </c>
      <c r="C279" s="35" t="s">
        <v>4096</v>
      </c>
      <c r="E279" s="50">
        <v>46071</v>
      </c>
      <c r="F279" s="34" t="s">
        <v>4783</v>
      </c>
      <c r="G279" s="34">
        <v>164.09</v>
      </c>
      <c r="H279" s="34" t="s">
        <v>227</v>
      </c>
      <c r="I279" s="34" t="s">
        <v>21</v>
      </c>
      <c r="J279" s="34" t="s">
        <v>111</v>
      </c>
      <c r="K279" s="35" t="s">
        <v>239</v>
      </c>
      <c r="L279" s="34">
        <v>1035</v>
      </c>
      <c r="M279" s="34" t="s">
        <v>3836</v>
      </c>
      <c r="N279" s="34" t="s">
        <v>4337</v>
      </c>
      <c r="O279" s="34" t="s">
        <v>543</v>
      </c>
      <c r="Q279" s="52">
        <f t="shared" si="4"/>
        <v>45</v>
      </c>
    </row>
    <row r="280" spans="1:17" x14ac:dyDescent="0.25">
      <c r="A280" s="34" t="s">
        <v>4095</v>
      </c>
      <c r="C280" s="35" t="s">
        <v>4096</v>
      </c>
      <c r="E280" s="50">
        <v>46071</v>
      </c>
      <c r="F280" s="34" t="s">
        <v>4783</v>
      </c>
      <c r="G280" s="34">
        <v>10</v>
      </c>
      <c r="H280" s="34" t="s">
        <v>227</v>
      </c>
      <c r="I280" s="34" t="s">
        <v>21</v>
      </c>
      <c r="J280" s="34" t="s">
        <v>111</v>
      </c>
      <c r="K280" s="35" t="s">
        <v>239</v>
      </c>
      <c r="L280" s="34">
        <v>1035</v>
      </c>
      <c r="M280" s="34" t="s">
        <v>3836</v>
      </c>
      <c r="N280" s="34" t="s">
        <v>4337</v>
      </c>
      <c r="O280" s="34" t="s">
        <v>543</v>
      </c>
      <c r="Q280" s="52">
        <f t="shared" si="4"/>
        <v>45</v>
      </c>
    </row>
    <row r="281" spans="1:17" x14ac:dyDescent="0.25">
      <c r="A281" s="34" t="s">
        <v>4095</v>
      </c>
      <c r="C281" s="35" t="s">
        <v>4096</v>
      </c>
      <c r="E281" s="50">
        <v>46076</v>
      </c>
      <c r="F281" s="34" t="s">
        <v>4784</v>
      </c>
      <c r="G281" s="34">
        <v>37.130000000000003</v>
      </c>
      <c r="H281" s="34" t="s">
        <v>227</v>
      </c>
      <c r="I281" s="34" t="s">
        <v>16</v>
      </c>
      <c r="J281" s="34" t="s">
        <v>4114</v>
      </c>
      <c r="K281" s="35" t="s">
        <v>4425</v>
      </c>
      <c r="L281" s="34">
        <v>1035</v>
      </c>
      <c r="M281" s="34" t="s">
        <v>3836</v>
      </c>
      <c r="N281" s="34" t="s">
        <v>4337</v>
      </c>
      <c r="O281" s="34" t="s">
        <v>543</v>
      </c>
      <c r="Q281" s="52">
        <f t="shared" si="4"/>
        <v>56</v>
      </c>
    </row>
    <row r="282" spans="1:17" x14ac:dyDescent="0.25">
      <c r="A282" s="34" t="s">
        <v>4095</v>
      </c>
      <c r="C282" s="35" t="s">
        <v>4096</v>
      </c>
      <c r="E282" s="50">
        <v>46075</v>
      </c>
      <c r="F282" s="34" t="s">
        <v>4785</v>
      </c>
      <c r="G282" s="34">
        <v>10</v>
      </c>
      <c r="H282" s="34" t="s">
        <v>227</v>
      </c>
      <c r="I282" s="34" t="s">
        <v>21</v>
      </c>
      <c r="J282" s="34" t="s">
        <v>111</v>
      </c>
      <c r="K282" s="35" t="s">
        <v>239</v>
      </c>
      <c r="L282" s="34">
        <v>1035</v>
      </c>
      <c r="M282" s="34" t="s">
        <v>3836</v>
      </c>
      <c r="N282" s="34" t="s">
        <v>4337</v>
      </c>
      <c r="O282" s="34" t="s">
        <v>543</v>
      </c>
      <c r="Q282" s="52">
        <f t="shared" si="4"/>
        <v>45</v>
      </c>
    </row>
    <row r="283" spans="1:17" x14ac:dyDescent="0.25">
      <c r="A283" s="34" t="s">
        <v>4095</v>
      </c>
      <c r="C283" s="35" t="s">
        <v>4096</v>
      </c>
      <c r="E283" s="50">
        <v>46075</v>
      </c>
      <c r="F283" s="34" t="s">
        <v>4785</v>
      </c>
      <c r="G283" s="34">
        <v>110.99</v>
      </c>
      <c r="H283" s="34" t="s">
        <v>227</v>
      </c>
      <c r="I283" s="34" t="s">
        <v>21</v>
      </c>
      <c r="J283" s="34" t="s">
        <v>111</v>
      </c>
      <c r="K283" s="35" t="s">
        <v>239</v>
      </c>
      <c r="L283" s="34">
        <v>1035</v>
      </c>
      <c r="M283" s="34" t="s">
        <v>3836</v>
      </c>
      <c r="N283" s="34" t="s">
        <v>4337</v>
      </c>
      <c r="O283" s="34" t="s">
        <v>543</v>
      </c>
      <c r="Q283" s="52">
        <f t="shared" si="4"/>
        <v>45</v>
      </c>
    </row>
    <row r="284" spans="1:17" x14ac:dyDescent="0.25">
      <c r="A284" s="34" t="s">
        <v>4095</v>
      </c>
      <c r="C284" s="35" t="s">
        <v>4096</v>
      </c>
      <c r="E284" s="50">
        <v>46080</v>
      </c>
      <c r="F284" s="34" t="s">
        <v>4783</v>
      </c>
      <c r="G284" s="34">
        <v>131.49</v>
      </c>
      <c r="H284" s="34" t="s">
        <v>227</v>
      </c>
      <c r="I284" s="34" t="s">
        <v>21</v>
      </c>
      <c r="J284" s="34" t="s">
        <v>111</v>
      </c>
      <c r="K284" s="35" t="s">
        <v>239</v>
      </c>
      <c r="L284" s="34">
        <v>1035</v>
      </c>
      <c r="M284" s="34" t="s">
        <v>3836</v>
      </c>
      <c r="N284" s="34" t="s">
        <v>4337</v>
      </c>
      <c r="O284" s="34" t="s">
        <v>543</v>
      </c>
      <c r="Q284" s="52">
        <f t="shared" si="4"/>
        <v>45</v>
      </c>
    </row>
    <row r="285" spans="1:17" x14ac:dyDescent="0.25">
      <c r="A285" s="34" t="s">
        <v>4095</v>
      </c>
      <c r="C285" s="35" t="s">
        <v>4096</v>
      </c>
      <c r="E285" s="50">
        <v>46080</v>
      </c>
      <c r="F285" s="34" t="s">
        <v>4783</v>
      </c>
      <c r="G285" s="34">
        <v>10</v>
      </c>
      <c r="H285" s="34" t="s">
        <v>227</v>
      </c>
      <c r="I285" s="34" t="s">
        <v>21</v>
      </c>
      <c r="J285" s="34" t="s">
        <v>111</v>
      </c>
      <c r="K285" s="35" t="s">
        <v>239</v>
      </c>
      <c r="L285" s="34">
        <v>1035</v>
      </c>
      <c r="M285" s="34" t="s">
        <v>3836</v>
      </c>
      <c r="N285" s="34" t="s">
        <v>4337</v>
      </c>
      <c r="O285" s="34" t="s">
        <v>543</v>
      </c>
      <c r="Q285" s="52">
        <f t="shared" si="4"/>
        <v>45</v>
      </c>
    </row>
    <row r="286" spans="1:17" x14ac:dyDescent="0.25">
      <c r="A286" s="34" t="s">
        <v>4095</v>
      </c>
      <c r="C286" s="35" t="s">
        <v>4096</v>
      </c>
      <c r="E286" s="50">
        <v>46079</v>
      </c>
      <c r="F286" s="34" t="s">
        <v>4784</v>
      </c>
      <c r="G286" s="34">
        <v>3.28</v>
      </c>
      <c r="H286" s="34" t="s">
        <v>227</v>
      </c>
      <c r="I286" s="34" t="s">
        <v>16</v>
      </c>
      <c r="J286" s="34" t="s">
        <v>4116</v>
      </c>
      <c r="K286" s="35" t="s">
        <v>4460</v>
      </c>
      <c r="L286" s="34">
        <v>1035</v>
      </c>
      <c r="M286" s="34" t="s">
        <v>3836</v>
      </c>
      <c r="N286" s="34" t="s">
        <v>4337</v>
      </c>
      <c r="O286" s="34" t="s">
        <v>543</v>
      </c>
      <c r="Q286" s="52">
        <f t="shared" si="4"/>
        <v>46</v>
      </c>
    </row>
    <row r="287" spans="1:17" x14ac:dyDescent="0.25">
      <c r="A287" s="34" t="s">
        <v>4095</v>
      </c>
      <c r="C287" s="35" t="s">
        <v>4096</v>
      </c>
      <c r="E287" s="50">
        <v>46079</v>
      </c>
      <c r="F287" s="34" t="s">
        <v>4784</v>
      </c>
      <c r="G287" s="34">
        <v>19.54</v>
      </c>
      <c r="H287" s="34" t="s">
        <v>227</v>
      </c>
      <c r="I287" s="34" t="s">
        <v>16</v>
      </c>
      <c r="J287" s="34" t="s">
        <v>4117</v>
      </c>
      <c r="K287" s="35" t="s">
        <v>992</v>
      </c>
      <c r="L287" s="34">
        <v>1035</v>
      </c>
      <c r="M287" s="34" t="s">
        <v>3836</v>
      </c>
      <c r="N287" s="34" t="s">
        <v>4337</v>
      </c>
      <c r="O287" s="34" t="s">
        <v>543</v>
      </c>
      <c r="Q287" s="52">
        <f t="shared" si="4"/>
        <v>53</v>
      </c>
    </row>
    <row r="288" spans="1:17" x14ac:dyDescent="0.25">
      <c r="A288" s="34" t="s">
        <v>4118</v>
      </c>
      <c r="C288" s="35" t="s">
        <v>4119</v>
      </c>
      <c r="E288" s="50">
        <v>46058</v>
      </c>
      <c r="F288" s="34" t="s">
        <v>4120</v>
      </c>
      <c r="G288" s="34">
        <v>-1043.48</v>
      </c>
      <c r="H288" s="34" t="s">
        <v>227</v>
      </c>
      <c r="I288" s="34" t="s">
        <v>3594</v>
      </c>
      <c r="J288" s="34" t="s">
        <v>47</v>
      </c>
      <c r="K288" s="35" t="s">
        <v>41</v>
      </c>
      <c r="L288" s="34">
        <v>1035</v>
      </c>
      <c r="M288" s="34" t="s">
        <v>3836</v>
      </c>
      <c r="N288" s="34" t="s">
        <v>4337</v>
      </c>
      <c r="O288" s="34" t="s">
        <v>530</v>
      </c>
      <c r="Q288" s="52">
        <f t="shared" si="4"/>
        <v>60</v>
      </c>
    </row>
    <row r="289" spans="1:17" x14ac:dyDescent="0.25">
      <c r="A289" s="34" t="s">
        <v>4118</v>
      </c>
      <c r="C289" s="35" t="s">
        <v>4119</v>
      </c>
      <c r="E289" s="50">
        <v>46058</v>
      </c>
      <c r="F289" s="34" t="s">
        <v>4121</v>
      </c>
      <c r="G289" s="34">
        <v>-1652.16</v>
      </c>
      <c r="H289" s="34" t="s">
        <v>227</v>
      </c>
      <c r="I289" s="34" t="s">
        <v>3594</v>
      </c>
      <c r="J289" s="34" t="s">
        <v>32</v>
      </c>
      <c r="K289" s="35" t="s">
        <v>29</v>
      </c>
      <c r="L289" s="34">
        <v>1035</v>
      </c>
      <c r="M289" s="34" t="s">
        <v>3836</v>
      </c>
      <c r="N289" s="34" t="s">
        <v>4337</v>
      </c>
      <c r="O289" s="34" t="s">
        <v>530</v>
      </c>
      <c r="Q289" s="52">
        <f t="shared" si="4"/>
        <v>61</v>
      </c>
    </row>
    <row r="290" spans="1:17" x14ac:dyDescent="0.25">
      <c r="A290" s="34" t="s">
        <v>4118</v>
      </c>
      <c r="C290" s="35" t="s">
        <v>4119</v>
      </c>
      <c r="E290" s="50">
        <v>46059</v>
      </c>
      <c r="F290" s="34" t="s">
        <v>3899</v>
      </c>
      <c r="G290" s="34">
        <v>7.06</v>
      </c>
      <c r="H290" s="34" t="s">
        <v>227</v>
      </c>
      <c r="I290" s="34" t="s">
        <v>16</v>
      </c>
      <c r="J290" s="34" t="s">
        <v>55</v>
      </c>
      <c r="K290" s="35" t="s">
        <v>232</v>
      </c>
      <c r="L290" s="34">
        <v>1008</v>
      </c>
      <c r="M290" s="34" t="s">
        <v>3836</v>
      </c>
      <c r="N290" s="34" t="s">
        <v>4337</v>
      </c>
      <c r="O290" s="34" t="s">
        <v>530</v>
      </c>
      <c r="Q290" s="52">
        <f t="shared" si="4"/>
        <v>27</v>
      </c>
    </row>
    <row r="291" spans="1:17" x14ac:dyDescent="0.25">
      <c r="A291" s="34" t="s">
        <v>4118</v>
      </c>
      <c r="C291" s="35" t="s">
        <v>4119</v>
      </c>
      <c r="E291" s="50">
        <v>46058</v>
      </c>
      <c r="F291" s="34" t="s">
        <v>3899</v>
      </c>
      <c r="G291" s="34">
        <v>2.37</v>
      </c>
      <c r="H291" s="34" t="s">
        <v>227</v>
      </c>
      <c r="I291" s="34" t="s">
        <v>16</v>
      </c>
      <c r="J291" s="34" t="s">
        <v>55</v>
      </c>
      <c r="K291" s="35" t="s">
        <v>232</v>
      </c>
      <c r="L291" s="34">
        <v>1008</v>
      </c>
      <c r="M291" s="34" t="s">
        <v>3836</v>
      </c>
      <c r="N291" s="34" t="s">
        <v>4337</v>
      </c>
      <c r="O291" s="34" t="s">
        <v>530</v>
      </c>
      <c r="Q291" s="52">
        <f t="shared" si="4"/>
        <v>27</v>
      </c>
    </row>
    <row r="292" spans="1:17" x14ac:dyDescent="0.25">
      <c r="A292" s="34" t="s">
        <v>4118</v>
      </c>
      <c r="C292" s="35" t="s">
        <v>4119</v>
      </c>
      <c r="E292" s="50">
        <v>46076</v>
      </c>
      <c r="F292" s="34" t="s">
        <v>4122</v>
      </c>
      <c r="G292" s="34">
        <v>-1908.49</v>
      </c>
      <c r="H292" s="34" t="s">
        <v>227</v>
      </c>
      <c r="I292" s="34" t="s">
        <v>3594</v>
      </c>
      <c r="J292" s="34" t="s">
        <v>47</v>
      </c>
      <c r="K292" s="35" t="s">
        <v>41</v>
      </c>
      <c r="L292" s="34">
        <v>1035</v>
      </c>
      <c r="M292" s="34" t="s">
        <v>3836</v>
      </c>
      <c r="N292" s="34" t="s">
        <v>4337</v>
      </c>
      <c r="O292" s="34" t="s">
        <v>530</v>
      </c>
      <c r="Q292" s="52">
        <f t="shared" si="4"/>
        <v>51</v>
      </c>
    </row>
    <row r="293" spans="1:17" x14ac:dyDescent="0.25">
      <c r="A293" s="34" t="s">
        <v>4118</v>
      </c>
      <c r="C293" s="35" t="s">
        <v>4119</v>
      </c>
      <c r="E293" s="50">
        <v>46075</v>
      </c>
      <c r="F293" s="34" t="s">
        <v>4123</v>
      </c>
      <c r="G293" s="34">
        <v>30</v>
      </c>
      <c r="H293" s="34" t="s">
        <v>227</v>
      </c>
      <c r="I293" s="34" t="s">
        <v>3594</v>
      </c>
      <c r="J293" s="34" t="s">
        <v>30</v>
      </c>
      <c r="K293" s="35" t="s">
        <v>790</v>
      </c>
      <c r="L293" s="34">
        <v>1035</v>
      </c>
      <c r="M293" s="34" t="s">
        <v>3836</v>
      </c>
      <c r="N293" s="34" t="s">
        <v>4337</v>
      </c>
      <c r="O293" s="34" t="s">
        <v>530</v>
      </c>
      <c r="Q293" s="52">
        <f t="shared" si="4"/>
        <v>65</v>
      </c>
    </row>
    <row r="294" spans="1:17" x14ac:dyDescent="0.25">
      <c r="A294" s="34" t="s">
        <v>4118</v>
      </c>
      <c r="C294" s="35" t="s">
        <v>4119</v>
      </c>
      <c r="E294" s="50">
        <v>46072</v>
      </c>
      <c r="F294" s="34" t="s">
        <v>4124</v>
      </c>
      <c r="G294" s="34">
        <v>21.78</v>
      </c>
      <c r="H294" s="34" t="s">
        <v>227</v>
      </c>
      <c r="I294" s="34" t="s">
        <v>4093</v>
      </c>
      <c r="J294" s="34" t="s">
        <v>4125</v>
      </c>
      <c r="K294" s="35" t="s">
        <v>854</v>
      </c>
      <c r="L294" s="34">
        <v>6001</v>
      </c>
      <c r="M294" s="34" t="s">
        <v>3836</v>
      </c>
      <c r="N294" s="34" t="s">
        <v>4337</v>
      </c>
      <c r="O294" s="34" t="s">
        <v>530</v>
      </c>
      <c r="Q294" s="52">
        <f t="shared" si="4"/>
        <v>48</v>
      </c>
    </row>
    <row r="295" spans="1:17" x14ac:dyDescent="0.25">
      <c r="A295" s="34" t="s">
        <v>4118</v>
      </c>
      <c r="C295" s="35" t="s">
        <v>4119</v>
      </c>
      <c r="E295" s="50">
        <v>46071</v>
      </c>
      <c r="F295" s="34" t="s">
        <v>4124</v>
      </c>
      <c r="G295" s="34">
        <v>43.55</v>
      </c>
      <c r="H295" s="34" t="s">
        <v>227</v>
      </c>
      <c r="I295" s="34" t="s">
        <v>4093</v>
      </c>
      <c r="J295" s="34" t="s">
        <v>4125</v>
      </c>
      <c r="K295" s="35" t="s">
        <v>854</v>
      </c>
      <c r="L295" s="34">
        <v>6001</v>
      </c>
      <c r="M295" s="34" t="s">
        <v>3836</v>
      </c>
      <c r="N295" s="34" t="s">
        <v>4337</v>
      </c>
      <c r="O295" s="34" t="s">
        <v>530</v>
      </c>
      <c r="Q295" s="52">
        <f t="shared" si="4"/>
        <v>48</v>
      </c>
    </row>
    <row r="296" spans="1:17" x14ac:dyDescent="0.25">
      <c r="A296" s="34" t="s">
        <v>4118</v>
      </c>
      <c r="C296" s="35" t="s">
        <v>4119</v>
      </c>
      <c r="E296" s="50">
        <v>46067</v>
      </c>
      <c r="F296" s="34" t="s">
        <v>4124</v>
      </c>
      <c r="G296" s="34">
        <v>10.89</v>
      </c>
      <c r="H296" s="34" t="s">
        <v>227</v>
      </c>
      <c r="I296" s="34" t="s">
        <v>4093</v>
      </c>
      <c r="J296" s="34" t="s">
        <v>4125</v>
      </c>
      <c r="K296" s="35" t="s">
        <v>854</v>
      </c>
      <c r="L296" s="34">
        <v>6001</v>
      </c>
      <c r="M296" s="34" t="s">
        <v>3836</v>
      </c>
      <c r="N296" s="34" t="s">
        <v>4337</v>
      </c>
      <c r="O296" s="34" t="s">
        <v>530</v>
      </c>
      <c r="Q296" s="52">
        <f t="shared" si="4"/>
        <v>48</v>
      </c>
    </row>
    <row r="297" spans="1:17" x14ac:dyDescent="0.25">
      <c r="A297" s="34" t="s">
        <v>4126</v>
      </c>
      <c r="B297" s="34" t="s">
        <v>4127</v>
      </c>
      <c r="C297" s="35" t="s">
        <v>4128</v>
      </c>
      <c r="E297" s="50">
        <v>46062</v>
      </c>
      <c r="F297" s="34" t="s">
        <v>4129</v>
      </c>
      <c r="G297" s="34">
        <v>45</v>
      </c>
      <c r="H297" s="34" t="s">
        <v>227</v>
      </c>
      <c r="I297" s="34" t="s">
        <v>3843</v>
      </c>
      <c r="J297" s="34" t="s">
        <v>30</v>
      </c>
      <c r="K297" s="35" t="s">
        <v>790</v>
      </c>
      <c r="L297" s="34">
        <v>6006</v>
      </c>
      <c r="M297" s="34" t="s">
        <v>3836</v>
      </c>
      <c r="N297" s="34" t="s">
        <v>4337</v>
      </c>
      <c r="O297" s="34" t="s">
        <v>156</v>
      </c>
      <c r="Q297" s="52">
        <f t="shared" si="4"/>
        <v>57</v>
      </c>
    </row>
    <row r="298" spans="1:17" x14ac:dyDescent="0.25">
      <c r="A298" s="34" t="s">
        <v>4126</v>
      </c>
      <c r="B298" s="34" t="s">
        <v>4127</v>
      </c>
      <c r="C298" s="35" t="s">
        <v>4128</v>
      </c>
      <c r="E298" s="50">
        <v>46062</v>
      </c>
      <c r="F298" s="34" t="s">
        <v>4130</v>
      </c>
      <c r="G298" s="34">
        <v>496.1</v>
      </c>
      <c r="H298" s="34" t="s">
        <v>227</v>
      </c>
      <c r="I298" s="34" t="s">
        <v>3843</v>
      </c>
      <c r="J298" s="34" t="s">
        <v>2340</v>
      </c>
      <c r="K298" s="35" t="s">
        <v>2341</v>
      </c>
      <c r="L298" s="34">
        <v>6006</v>
      </c>
      <c r="M298" s="34" t="s">
        <v>3836</v>
      </c>
      <c r="N298" s="34" t="s">
        <v>4337</v>
      </c>
      <c r="O298" s="34" t="s">
        <v>156</v>
      </c>
      <c r="Q298" s="53">
        <f t="shared" si="4"/>
        <v>71</v>
      </c>
    </row>
    <row r="299" spans="1:17" x14ac:dyDescent="0.25">
      <c r="A299" s="34" t="s">
        <v>4126</v>
      </c>
      <c r="B299" s="34" t="s">
        <v>4127</v>
      </c>
      <c r="C299" s="35" t="s">
        <v>4128</v>
      </c>
      <c r="E299" s="50">
        <v>46075</v>
      </c>
      <c r="F299" s="34" t="s">
        <v>3921</v>
      </c>
      <c r="G299" s="34">
        <v>8</v>
      </c>
      <c r="H299" s="34" t="s">
        <v>227</v>
      </c>
      <c r="I299" s="34" t="s">
        <v>3922</v>
      </c>
      <c r="J299" s="34" t="s">
        <v>93</v>
      </c>
      <c r="K299" s="35" t="s">
        <v>29</v>
      </c>
      <c r="L299" s="34">
        <v>6006</v>
      </c>
      <c r="M299" s="34" t="s">
        <v>3836</v>
      </c>
      <c r="N299" s="34" t="s">
        <v>4337</v>
      </c>
      <c r="O299" s="34" t="s">
        <v>156</v>
      </c>
      <c r="Q299" s="52">
        <f t="shared" si="4"/>
        <v>31</v>
      </c>
    </row>
    <row r="300" spans="1:17" x14ac:dyDescent="0.25">
      <c r="A300" s="34" t="s">
        <v>4126</v>
      </c>
      <c r="B300" s="34" t="s">
        <v>4127</v>
      </c>
      <c r="C300" s="35" t="s">
        <v>4128</v>
      </c>
      <c r="E300" s="50">
        <v>46075</v>
      </c>
      <c r="F300" s="34" t="s">
        <v>4131</v>
      </c>
      <c r="G300" s="34">
        <v>13.06</v>
      </c>
      <c r="H300" s="34" t="s">
        <v>227</v>
      </c>
      <c r="I300" s="34" t="s">
        <v>16</v>
      </c>
      <c r="J300" s="34" t="s">
        <v>4132</v>
      </c>
      <c r="K300" s="35" t="s">
        <v>4360</v>
      </c>
      <c r="L300" s="34">
        <v>1035</v>
      </c>
      <c r="M300" s="34" t="s">
        <v>3836</v>
      </c>
      <c r="N300" s="34" t="s">
        <v>4337</v>
      </c>
      <c r="O300" s="34" t="s">
        <v>156</v>
      </c>
      <c r="Q300" s="52">
        <f t="shared" si="4"/>
        <v>55</v>
      </c>
    </row>
    <row r="301" spans="1:17" x14ac:dyDescent="0.25">
      <c r="A301" s="34" t="s">
        <v>4126</v>
      </c>
      <c r="B301" s="34" t="s">
        <v>4127</v>
      </c>
      <c r="C301" s="35" t="s">
        <v>4128</v>
      </c>
      <c r="E301" s="50">
        <v>46081</v>
      </c>
      <c r="F301" s="34" t="s">
        <v>3899</v>
      </c>
      <c r="G301" s="34">
        <v>14.95</v>
      </c>
      <c r="H301" s="34" t="s">
        <v>227</v>
      </c>
      <c r="I301" s="34" t="s">
        <v>4500</v>
      </c>
      <c r="J301" s="34" t="s">
        <v>3611</v>
      </c>
      <c r="K301" s="35" t="s">
        <v>3614</v>
      </c>
      <c r="L301" s="34">
        <v>1008</v>
      </c>
      <c r="M301" s="34" t="s">
        <v>3836</v>
      </c>
      <c r="N301" s="34" t="s">
        <v>4337</v>
      </c>
      <c r="O301" s="34" t="s">
        <v>156</v>
      </c>
      <c r="Q301" s="52">
        <f t="shared" si="4"/>
        <v>27</v>
      </c>
    </row>
    <row r="302" spans="1:17" x14ac:dyDescent="0.25">
      <c r="A302" s="34" t="s">
        <v>3906</v>
      </c>
      <c r="B302" s="34" t="s">
        <v>4133</v>
      </c>
      <c r="C302" s="35" t="s">
        <v>4134</v>
      </c>
      <c r="E302" s="50">
        <v>46083</v>
      </c>
      <c r="F302" s="34" t="s">
        <v>4135</v>
      </c>
      <c r="G302" s="34">
        <v>210.29</v>
      </c>
      <c r="H302" s="34" t="s">
        <v>227</v>
      </c>
      <c r="I302" s="34" t="s">
        <v>16</v>
      </c>
      <c r="J302" s="34" t="s">
        <v>4136</v>
      </c>
      <c r="K302" s="35" t="s">
        <v>4411</v>
      </c>
      <c r="L302" s="34">
        <v>1016</v>
      </c>
      <c r="M302" s="34" t="s">
        <v>4137</v>
      </c>
      <c r="N302" s="34" t="s">
        <v>4337</v>
      </c>
      <c r="O302" s="34" t="s">
        <v>425</v>
      </c>
      <c r="Q302" s="52">
        <f t="shared" si="4"/>
        <v>53</v>
      </c>
    </row>
    <row r="303" spans="1:17" x14ac:dyDescent="0.25">
      <c r="A303" s="34" t="s">
        <v>3906</v>
      </c>
      <c r="B303" s="34" t="s">
        <v>4133</v>
      </c>
      <c r="C303" s="35" t="s">
        <v>4134</v>
      </c>
      <c r="E303" s="50">
        <v>46079</v>
      </c>
      <c r="F303" s="34" t="s">
        <v>4138</v>
      </c>
      <c r="G303" s="34">
        <v>3.8</v>
      </c>
      <c r="H303" s="34" t="s">
        <v>227</v>
      </c>
      <c r="I303" s="34" t="s">
        <v>16</v>
      </c>
      <c r="J303" s="34" t="s">
        <v>4139</v>
      </c>
      <c r="K303" s="35" t="s">
        <v>4458</v>
      </c>
      <c r="L303" s="34">
        <v>1035</v>
      </c>
      <c r="M303" s="34" t="s">
        <v>4137</v>
      </c>
      <c r="N303" s="34" t="s">
        <v>4337</v>
      </c>
      <c r="O303" s="34" t="s">
        <v>425</v>
      </c>
      <c r="Q303" s="52">
        <f t="shared" si="4"/>
        <v>53</v>
      </c>
    </row>
    <row r="304" spans="1:17" x14ac:dyDescent="0.25">
      <c r="A304" s="34" t="s">
        <v>3906</v>
      </c>
      <c r="B304" s="34" t="s">
        <v>4133</v>
      </c>
      <c r="C304" s="35" t="s">
        <v>4134</v>
      </c>
      <c r="E304" s="50">
        <v>46079</v>
      </c>
      <c r="F304" s="34" t="s">
        <v>4138</v>
      </c>
      <c r="G304" s="34">
        <v>3.34</v>
      </c>
      <c r="H304" s="34" t="s">
        <v>227</v>
      </c>
      <c r="I304" s="34" t="s">
        <v>16</v>
      </c>
      <c r="J304" s="34" t="s">
        <v>4140</v>
      </c>
      <c r="K304" s="35" t="s">
        <v>4351</v>
      </c>
      <c r="L304" s="34">
        <v>1035</v>
      </c>
      <c r="M304" s="34" t="s">
        <v>4137</v>
      </c>
      <c r="N304" s="34" t="s">
        <v>4337</v>
      </c>
      <c r="O304" s="34" t="s">
        <v>425</v>
      </c>
      <c r="Q304" s="52">
        <f t="shared" si="4"/>
        <v>61</v>
      </c>
    </row>
    <row r="305" spans="1:17" x14ac:dyDescent="0.25">
      <c r="A305" s="34" t="s">
        <v>3906</v>
      </c>
      <c r="B305" s="34" t="s">
        <v>4133</v>
      </c>
      <c r="C305" s="35" t="s">
        <v>4134</v>
      </c>
      <c r="E305" s="50">
        <v>46079</v>
      </c>
      <c r="F305" s="34" t="s">
        <v>4138</v>
      </c>
      <c r="G305" s="34">
        <v>21.35</v>
      </c>
      <c r="H305" s="34" t="s">
        <v>227</v>
      </c>
      <c r="I305" s="34" t="s">
        <v>16</v>
      </c>
      <c r="J305" s="34" t="s">
        <v>4141</v>
      </c>
      <c r="K305" s="35" t="s">
        <v>917</v>
      </c>
      <c r="L305" s="34">
        <v>1001</v>
      </c>
      <c r="M305" s="34" t="s">
        <v>4137</v>
      </c>
      <c r="N305" s="34" t="s">
        <v>4337</v>
      </c>
      <c r="O305" s="34" t="s">
        <v>425</v>
      </c>
      <c r="Q305" s="52">
        <f t="shared" si="4"/>
        <v>60</v>
      </c>
    </row>
    <row r="306" spans="1:17" x14ac:dyDescent="0.25">
      <c r="A306" s="34" t="s">
        <v>3906</v>
      </c>
      <c r="B306" s="34" t="s">
        <v>4133</v>
      </c>
      <c r="C306" s="35" t="s">
        <v>4134</v>
      </c>
      <c r="E306" s="50">
        <v>46077</v>
      </c>
      <c r="F306" s="34" t="s">
        <v>4138</v>
      </c>
      <c r="G306" s="34">
        <v>14</v>
      </c>
      <c r="H306" s="34" t="s">
        <v>227</v>
      </c>
      <c r="I306" s="34" t="s">
        <v>16</v>
      </c>
      <c r="J306" s="34" t="s">
        <v>4142</v>
      </c>
      <c r="K306" s="35" t="s">
        <v>4391</v>
      </c>
      <c r="L306" s="34">
        <v>1035</v>
      </c>
      <c r="M306" s="34" t="s">
        <v>4137</v>
      </c>
      <c r="N306" s="34" t="s">
        <v>4337</v>
      </c>
      <c r="O306" s="34" t="s">
        <v>425</v>
      </c>
      <c r="Q306" s="52">
        <f t="shared" si="4"/>
        <v>51</v>
      </c>
    </row>
    <row r="307" spans="1:17" x14ac:dyDescent="0.25">
      <c r="A307" s="34" t="s">
        <v>3906</v>
      </c>
      <c r="B307" s="34" t="s">
        <v>4133</v>
      </c>
      <c r="C307" s="35" t="s">
        <v>4134</v>
      </c>
      <c r="E307" s="50">
        <v>46076</v>
      </c>
      <c r="F307" s="34" t="s">
        <v>4143</v>
      </c>
      <c r="G307" s="34">
        <v>161.97999999999999</v>
      </c>
      <c r="H307" s="34" t="s">
        <v>227</v>
      </c>
      <c r="I307" s="34" t="s">
        <v>21</v>
      </c>
      <c r="J307" s="34" t="s">
        <v>111</v>
      </c>
      <c r="K307" s="35" t="s">
        <v>239</v>
      </c>
      <c r="L307" s="34">
        <v>1035</v>
      </c>
      <c r="M307" s="34" t="s">
        <v>4137</v>
      </c>
      <c r="N307" s="34" t="s">
        <v>4337</v>
      </c>
      <c r="O307" s="34" t="s">
        <v>425</v>
      </c>
      <c r="Q307" s="52">
        <f t="shared" si="4"/>
        <v>47</v>
      </c>
    </row>
    <row r="308" spans="1:17" x14ac:dyDescent="0.25">
      <c r="A308" s="34" t="s">
        <v>3906</v>
      </c>
      <c r="B308" s="34" t="s">
        <v>4133</v>
      </c>
      <c r="C308" s="35" t="s">
        <v>4134</v>
      </c>
      <c r="E308" s="50">
        <v>46076</v>
      </c>
      <c r="F308" s="34" t="s">
        <v>4144</v>
      </c>
      <c r="G308" s="34">
        <v>-1308.49</v>
      </c>
      <c r="H308" s="34" t="s">
        <v>227</v>
      </c>
      <c r="I308" s="34" t="s">
        <v>3594</v>
      </c>
      <c r="J308" s="34" t="s">
        <v>47</v>
      </c>
      <c r="K308" s="35" t="s">
        <v>41</v>
      </c>
      <c r="L308" s="34">
        <v>1035</v>
      </c>
      <c r="M308" s="34" t="s">
        <v>4137</v>
      </c>
      <c r="N308" s="34" t="s">
        <v>4337</v>
      </c>
      <c r="O308" s="34" t="s">
        <v>425</v>
      </c>
      <c r="Q308" s="52">
        <f t="shared" si="4"/>
        <v>45</v>
      </c>
    </row>
    <row r="309" spans="1:17" x14ac:dyDescent="0.25">
      <c r="A309" s="34" t="s">
        <v>3906</v>
      </c>
      <c r="B309" s="34" t="s">
        <v>4133</v>
      </c>
      <c r="C309" s="35" t="s">
        <v>4134</v>
      </c>
      <c r="E309" s="50">
        <v>46076</v>
      </c>
      <c r="F309" s="34" t="s">
        <v>4138</v>
      </c>
      <c r="G309" s="34">
        <v>35.1</v>
      </c>
      <c r="H309" s="34" t="s">
        <v>227</v>
      </c>
      <c r="I309" s="34" t="s">
        <v>16</v>
      </c>
      <c r="J309" s="34" t="s">
        <v>3884</v>
      </c>
      <c r="K309" s="35" t="s">
        <v>4375</v>
      </c>
      <c r="L309" s="34">
        <v>1035</v>
      </c>
      <c r="M309" s="34" t="s">
        <v>4137</v>
      </c>
      <c r="N309" s="34" t="s">
        <v>4337</v>
      </c>
      <c r="O309" s="34" t="s">
        <v>425</v>
      </c>
      <c r="Q309" s="52">
        <f t="shared" si="4"/>
        <v>63</v>
      </c>
    </row>
    <row r="310" spans="1:17" x14ac:dyDescent="0.25">
      <c r="A310" s="34" t="s">
        <v>3906</v>
      </c>
      <c r="B310" s="34" t="s">
        <v>4133</v>
      </c>
      <c r="C310" s="35" t="s">
        <v>4134</v>
      </c>
      <c r="E310" s="50">
        <v>46075</v>
      </c>
      <c r="F310" s="34" t="s">
        <v>4138</v>
      </c>
      <c r="G310" s="34">
        <v>3.8</v>
      </c>
      <c r="H310" s="34" t="s">
        <v>227</v>
      </c>
      <c r="I310" s="34" t="s">
        <v>16</v>
      </c>
      <c r="J310" s="34" t="s">
        <v>4145</v>
      </c>
      <c r="K310" s="35" t="s">
        <v>249</v>
      </c>
      <c r="L310" s="34">
        <v>1035</v>
      </c>
      <c r="M310" s="34" t="s">
        <v>4137</v>
      </c>
      <c r="N310" s="34" t="s">
        <v>4337</v>
      </c>
      <c r="O310" s="34" t="s">
        <v>425</v>
      </c>
      <c r="Q310" s="52">
        <f t="shared" si="4"/>
        <v>46</v>
      </c>
    </row>
    <row r="311" spans="1:17" x14ac:dyDescent="0.25">
      <c r="A311" s="34" t="s">
        <v>3906</v>
      </c>
      <c r="B311" s="34" t="s">
        <v>4133</v>
      </c>
      <c r="C311" s="35" t="s">
        <v>4134</v>
      </c>
      <c r="E311" s="50">
        <v>46075</v>
      </c>
      <c r="F311" s="34" t="s">
        <v>4138</v>
      </c>
      <c r="G311" s="34">
        <v>42.38</v>
      </c>
      <c r="H311" s="34" t="s">
        <v>227</v>
      </c>
      <c r="I311" s="34" t="s">
        <v>16</v>
      </c>
      <c r="J311" s="34" t="s">
        <v>4146</v>
      </c>
      <c r="K311" s="35" t="s">
        <v>2761</v>
      </c>
      <c r="L311" s="34">
        <v>1035</v>
      </c>
      <c r="M311" s="34" t="s">
        <v>4137</v>
      </c>
      <c r="N311" s="34" t="s">
        <v>4337</v>
      </c>
      <c r="O311" s="34" t="s">
        <v>425</v>
      </c>
      <c r="Q311" s="52">
        <f t="shared" si="4"/>
        <v>56</v>
      </c>
    </row>
    <row r="312" spans="1:17" x14ac:dyDescent="0.25">
      <c r="A312" s="34" t="s">
        <v>3906</v>
      </c>
      <c r="B312" s="34" t="s">
        <v>4133</v>
      </c>
      <c r="C312" s="35" t="s">
        <v>4134</v>
      </c>
      <c r="E312" s="50">
        <v>46075</v>
      </c>
      <c r="F312" s="34" t="s">
        <v>4138</v>
      </c>
      <c r="G312" s="34">
        <v>14.06</v>
      </c>
      <c r="H312" s="34" t="s">
        <v>227</v>
      </c>
      <c r="I312" s="34" t="s">
        <v>16</v>
      </c>
      <c r="J312" s="34" t="s">
        <v>4132</v>
      </c>
      <c r="K312" s="35" t="s">
        <v>4360</v>
      </c>
      <c r="L312" s="34">
        <v>1035</v>
      </c>
      <c r="M312" s="34" t="s">
        <v>4137</v>
      </c>
      <c r="N312" s="34" t="s">
        <v>4337</v>
      </c>
      <c r="O312" s="34" t="s">
        <v>425</v>
      </c>
      <c r="Q312" s="52">
        <f t="shared" si="4"/>
        <v>60</v>
      </c>
    </row>
    <row r="313" spans="1:17" x14ac:dyDescent="0.25">
      <c r="A313" s="34" t="s">
        <v>3906</v>
      </c>
      <c r="B313" s="34" t="s">
        <v>4133</v>
      </c>
      <c r="C313" s="35" t="s">
        <v>4134</v>
      </c>
      <c r="E313" s="50">
        <v>46074</v>
      </c>
      <c r="F313" s="34" t="s">
        <v>4147</v>
      </c>
      <c r="G313" s="34">
        <v>31.55</v>
      </c>
      <c r="H313" s="34" t="s">
        <v>227</v>
      </c>
      <c r="I313" s="34" t="s">
        <v>3843</v>
      </c>
      <c r="J313" s="34" t="s">
        <v>594</v>
      </c>
      <c r="K313" s="35" t="s">
        <v>595</v>
      </c>
      <c r="L313" s="34">
        <v>1035</v>
      </c>
      <c r="M313" s="34" t="s">
        <v>4137</v>
      </c>
      <c r="N313" s="34" t="s">
        <v>4337</v>
      </c>
      <c r="O313" s="34" t="s">
        <v>425</v>
      </c>
      <c r="Q313" s="52">
        <f t="shared" si="4"/>
        <v>51</v>
      </c>
    </row>
    <row r="314" spans="1:17" x14ac:dyDescent="0.25">
      <c r="A314" s="34" t="s">
        <v>3906</v>
      </c>
      <c r="B314" s="34" t="s">
        <v>4133</v>
      </c>
      <c r="C314" s="35" t="s">
        <v>4134</v>
      </c>
      <c r="E314" s="50">
        <v>46074</v>
      </c>
      <c r="F314" s="34" t="s">
        <v>4148</v>
      </c>
      <c r="G314" s="34">
        <v>467.41</v>
      </c>
      <c r="H314" s="34" t="s">
        <v>227</v>
      </c>
      <c r="I314" s="34" t="s">
        <v>3594</v>
      </c>
      <c r="J314" s="34" t="s">
        <v>852</v>
      </c>
      <c r="K314" s="35" t="s">
        <v>119</v>
      </c>
      <c r="L314" s="34">
        <v>1035</v>
      </c>
      <c r="M314" s="34" t="s">
        <v>4137</v>
      </c>
      <c r="N314" s="34" t="s">
        <v>4337</v>
      </c>
      <c r="O314" s="34" t="s">
        <v>425</v>
      </c>
      <c r="Q314" s="52">
        <f t="shared" si="4"/>
        <v>44</v>
      </c>
    </row>
    <row r="315" spans="1:17" x14ac:dyDescent="0.25">
      <c r="A315" s="34" t="s">
        <v>3906</v>
      </c>
      <c r="B315" s="34" t="s">
        <v>4133</v>
      </c>
      <c r="C315" s="35" t="s">
        <v>4134</v>
      </c>
      <c r="E315" s="50">
        <v>46072</v>
      </c>
      <c r="F315" s="34" t="s">
        <v>4149</v>
      </c>
      <c r="G315" s="34">
        <v>75.849999999999994</v>
      </c>
      <c r="H315" s="34" t="s">
        <v>227</v>
      </c>
      <c r="I315" s="34" t="s">
        <v>3922</v>
      </c>
      <c r="J315" s="34" t="s">
        <v>65</v>
      </c>
      <c r="K315" s="35" t="s">
        <v>886</v>
      </c>
      <c r="L315" s="34">
        <v>1001</v>
      </c>
      <c r="M315" s="34" t="s">
        <v>4137</v>
      </c>
      <c r="N315" s="34" t="s">
        <v>4337</v>
      </c>
      <c r="O315" s="34" t="s">
        <v>425</v>
      </c>
      <c r="Q315" s="52">
        <f t="shared" si="4"/>
        <v>50</v>
      </c>
    </row>
    <row r="316" spans="1:17" x14ac:dyDescent="0.25">
      <c r="A316" s="34" t="s">
        <v>3906</v>
      </c>
      <c r="B316" s="34" t="s">
        <v>4133</v>
      </c>
      <c r="C316" s="35" t="s">
        <v>4134</v>
      </c>
      <c r="E316" s="50">
        <v>46066</v>
      </c>
      <c r="F316" s="34" t="s">
        <v>4150</v>
      </c>
      <c r="G316" s="34">
        <v>11.11</v>
      </c>
      <c r="H316" s="34" t="s">
        <v>227</v>
      </c>
      <c r="I316" s="34" t="s">
        <v>16</v>
      </c>
      <c r="J316" s="34" t="s">
        <v>4151</v>
      </c>
      <c r="K316" s="35" t="s">
        <v>2972</v>
      </c>
      <c r="L316" s="34">
        <v>1016</v>
      </c>
      <c r="M316" s="34" t="s">
        <v>4137</v>
      </c>
      <c r="N316" s="34" t="s">
        <v>4337</v>
      </c>
      <c r="O316" s="34" t="s">
        <v>425</v>
      </c>
      <c r="Q316" s="52">
        <f t="shared" si="4"/>
        <v>50</v>
      </c>
    </row>
    <row r="317" spans="1:17" x14ac:dyDescent="0.25">
      <c r="A317" s="34" t="s">
        <v>3906</v>
      </c>
      <c r="B317" s="34" t="s">
        <v>4133</v>
      </c>
      <c r="C317" s="35" t="s">
        <v>4134</v>
      </c>
      <c r="E317" s="50">
        <v>46066</v>
      </c>
      <c r="F317" s="34" t="s">
        <v>4152</v>
      </c>
      <c r="G317" s="34">
        <v>15</v>
      </c>
      <c r="H317" s="34" t="s">
        <v>227</v>
      </c>
      <c r="I317" s="34" t="s">
        <v>3843</v>
      </c>
      <c r="J317" s="34" t="s">
        <v>4153</v>
      </c>
      <c r="K317" s="35" t="s">
        <v>4368</v>
      </c>
      <c r="L317" s="34">
        <v>1016</v>
      </c>
      <c r="M317" s="34" t="s">
        <v>4137</v>
      </c>
      <c r="N317" s="34" t="s">
        <v>4337</v>
      </c>
      <c r="O317" s="34" t="s">
        <v>425</v>
      </c>
      <c r="Q317" s="52">
        <f t="shared" si="4"/>
        <v>53</v>
      </c>
    </row>
    <row r="318" spans="1:17" x14ac:dyDescent="0.25">
      <c r="A318" s="34" t="s">
        <v>3906</v>
      </c>
      <c r="B318" s="34" t="s">
        <v>4133</v>
      </c>
      <c r="C318" s="35" t="s">
        <v>4134</v>
      </c>
      <c r="E318" s="50">
        <v>46065</v>
      </c>
      <c r="F318" s="34" t="s">
        <v>4150</v>
      </c>
      <c r="G318" s="34">
        <v>2.84</v>
      </c>
      <c r="H318" s="34" t="s">
        <v>227</v>
      </c>
      <c r="I318" s="34" t="s">
        <v>16</v>
      </c>
      <c r="J318" s="34" t="s">
        <v>4154</v>
      </c>
      <c r="K318" s="35" t="s">
        <v>742</v>
      </c>
      <c r="L318" s="34">
        <v>1016</v>
      </c>
      <c r="M318" s="34" t="s">
        <v>4137</v>
      </c>
      <c r="N318" s="34" t="s">
        <v>4337</v>
      </c>
      <c r="O318" s="34" t="s">
        <v>425</v>
      </c>
      <c r="Q318" s="52">
        <f t="shared" si="4"/>
        <v>55</v>
      </c>
    </row>
    <row r="319" spans="1:17" x14ac:dyDescent="0.25">
      <c r="A319" s="34" t="s">
        <v>3906</v>
      </c>
      <c r="B319" s="34" t="s">
        <v>4133</v>
      </c>
      <c r="C319" s="35" t="s">
        <v>4134</v>
      </c>
      <c r="E319" s="50">
        <v>46065</v>
      </c>
      <c r="F319" s="34" t="s">
        <v>4150</v>
      </c>
      <c r="G319" s="34">
        <v>37.25</v>
      </c>
      <c r="H319" s="34" t="s">
        <v>227</v>
      </c>
      <c r="I319" s="34" t="s">
        <v>16</v>
      </c>
      <c r="J319" s="34" t="s">
        <v>4155</v>
      </c>
      <c r="K319" s="35" t="s">
        <v>4394</v>
      </c>
      <c r="L319" s="34">
        <v>1016</v>
      </c>
      <c r="M319" s="34" t="s">
        <v>4137</v>
      </c>
      <c r="N319" s="34" t="s">
        <v>4337</v>
      </c>
      <c r="O319" s="34" t="s">
        <v>425</v>
      </c>
      <c r="Q319" s="52">
        <f t="shared" si="4"/>
        <v>53</v>
      </c>
    </row>
    <row r="320" spans="1:17" x14ac:dyDescent="0.25">
      <c r="A320" s="34" t="s">
        <v>3906</v>
      </c>
      <c r="B320" s="34" t="s">
        <v>4133</v>
      </c>
      <c r="C320" s="35" t="s">
        <v>4134</v>
      </c>
      <c r="E320" s="50">
        <v>46065</v>
      </c>
      <c r="F320" s="34" t="s">
        <v>4152</v>
      </c>
      <c r="G320" s="34">
        <v>34</v>
      </c>
      <c r="H320" s="34" t="s">
        <v>227</v>
      </c>
      <c r="I320" s="34" t="s">
        <v>3843</v>
      </c>
      <c r="J320" s="34" t="s">
        <v>4155</v>
      </c>
      <c r="K320" s="35" t="s">
        <v>4394</v>
      </c>
      <c r="L320" s="34">
        <v>1016</v>
      </c>
      <c r="M320" s="34" t="s">
        <v>4137</v>
      </c>
      <c r="N320" s="34" t="s">
        <v>4337</v>
      </c>
      <c r="O320" s="34" t="s">
        <v>425</v>
      </c>
      <c r="Q320" s="52">
        <f t="shared" si="4"/>
        <v>49</v>
      </c>
    </row>
    <row r="321" spans="1:17" x14ac:dyDescent="0.25">
      <c r="A321" s="34" t="s">
        <v>4156</v>
      </c>
      <c r="B321" s="34" t="s">
        <v>4157</v>
      </c>
      <c r="C321" s="35" t="s">
        <v>4158</v>
      </c>
      <c r="E321" s="50">
        <v>46071</v>
      </c>
      <c r="F321" s="34" t="s">
        <v>4786</v>
      </c>
      <c r="G321" s="34">
        <v>-2097.29</v>
      </c>
      <c r="H321" s="34" t="s">
        <v>227</v>
      </c>
      <c r="I321" s="34" t="s">
        <v>3594</v>
      </c>
      <c r="J321" s="34" t="s">
        <v>32</v>
      </c>
      <c r="K321" s="35" t="s">
        <v>29</v>
      </c>
      <c r="L321" s="34">
        <v>1035</v>
      </c>
      <c r="M321" s="34" t="s">
        <v>4160</v>
      </c>
      <c r="N321" s="34" t="s">
        <v>4337</v>
      </c>
      <c r="O321" s="34" t="s">
        <v>267</v>
      </c>
      <c r="Q321" s="52">
        <f t="shared" si="4"/>
        <v>53</v>
      </c>
    </row>
    <row r="322" spans="1:17" x14ac:dyDescent="0.25">
      <c r="A322" s="34" t="s">
        <v>4161</v>
      </c>
      <c r="B322" s="34" t="s">
        <v>4162</v>
      </c>
      <c r="C322" s="35" t="s">
        <v>4163</v>
      </c>
      <c r="E322" s="50">
        <v>46079</v>
      </c>
      <c r="F322" s="34" t="s">
        <v>4164</v>
      </c>
      <c r="G322" s="34">
        <v>1469.2</v>
      </c>
      <c r="H322" s="34" t="s">
        <v>227</v>
      </c>
      <c r="I322" s="34" t="s">
        <v>3594</v>
      </c>
      <c r="J322" s="34" t="s">
        <v>41</v>
      </c>
      <c r="K322" s="35" t="s">
        <v>41</v>
      </c>
      <c r="L322" s="34">
        <v>4253</v>
      </c>
      <c r="M322" s="34" t="s">
        <v>3855</v>
      </c>
      <c r="N322" s="34" t="s">
        <v>4337</v>
      </c>
      <c r="O322" s="34" t="s">
        <v>289</v>
      </c>
      <c r="Q322" s="52">
        <f t="shared" si="4"/>
        <v>44</v>
      </c>
    </row>
    <row r="323" spans="1:17" x14ac:dyDescent="0.25">
      <c r="A323" s="34" t="s">
        <v>4161</v>
      </c>
      <c r="B323" s="34" t="s">
        <v>4162</v>
      </c>
      <c r="C323" s="35" t="s">
        <v>4163</v>
      </c>
      <c r="E323" s="50">
        <v>46079</v>
      </c>
      <c r="F323" s="34" t="s">
        <v>4165</v>
      </c>
      <c r="G323" s="34">
        <v>1059.2</v>
      </c>
      <c r="H323" s="34" t="s">
        <v>227</v>
      </c>
      <c r="I323" s="34" t="s">
        <v>3594</v>
      </c>
      <c r="J323" s="34" t="s">
        <v>41</v>
      </c>
      <c r="K323" s="35" t="s">
        <v>41</v>
      </c>
      <c r="L323" s="34">
        <v>4253</v>
      </c>
      <c r="M323" s="34" t="s">
        <v>3855</v>
      </c>
      <c r="N323" s="34" t="s">
        <v>4337</v>
      </c>
      <c r="O323" s="34" t="s">
        <v>289</v>
      </c>
      <c r="Q323" s="52">
        <f t="shared" ref="Q323:Q386" si="5">LEN(F323&amp;K323)+12</f>
        <v>44</v>
      </c>
    </row>
    <row r="324" spans="1:17" x14ac:dyDescent="0.25">
      <c r="A324" s="34" t="s">
        <v>4161</v>
      </c>
      <c r="B324" s="34" t="s">
        <v>4162</v>
      </c>
      <c r="C324" s="35" t="s">
        <v>4163</v>
      </c>
      <c r="E324" s="50">
        <v>46079</v>
      </c>
      <c r="F324" s="34" t="s">
        <v>4166</v>
      </c>
      <c r="G324" s="34">
        <v>14.93</v>
      </c>
      <c r="H324" s="34" t="s">
        <v>227</v>
      </c>
      <c r="I324" s="34" t="s">
        <v>16</v>
      </c>
      <c r="J324" s="34" t="s">
        <v>4167</v>
      </c>
      <c r="K324" s="35" t="s">
        <v>2586</v>
      </c>
      <c r="L324" s="34">
        <v>1035</v>
      </c>
      <c r="M324" s="34" t="s">
        <v>3855</v>
      </c>
      <c r="N324" s="34" t="s">
        <v>4337</v>
      </c>
      <c r="O324" s="34" t="s">
        <v>289</v>
      </c>
      <c r="Q324" s="52">
        <f t="shared" si="5"/>
        <v>34</v>
      </c>
    </row>
    <row r="325" spans="1:17" x14ac:dyDescent="0.25">
      <c r="A325" s="34" t="s">
        <v>4161</v>
      </c>
      <c r="B325" s="34" t="s">
        <v>4162</v>
      </c>
      <c r="C325" s="35" t="s">
        <v>4163</v>
      </c>
      <c r="E325" s="50">
        <v>46079</v>
      </c>
      <c r="F325" s="34" t="s">
        <v>4168</v>
      </c>
      <c r="G325" s="34">
        <v>8</v>
      </c>
      <c r="H325" s="34" t="s">
        <v>227</v>
      </c>
      <c r="I325" s="34" t="s">
        <v>3594</v>
      </c>
      <c r="J325" s="34" t="s">
        <v>30</v>
      </c>
      <c r="K325" s="35" t="s">
        <v>790</v>
      </c>
      <c r="L325" s="34">
        <v>4253</v>
      </c>
      <c r="M325" s="34" t="s">
        <v>3855</v>
      </c>
      <c r="N325" s="34" t="s">
        <v>4337</v>
      </c>
      <c r="O325" s="34" t="s">
        <v>289</v>
      </c>
      <c r="Q325" s="52">
        <f t="shared" si="5"/>
        <v>53</v>
      </c>
    </row>
    <row r="326" spans="1:17" x14ac:dyDescent="0.25">
      <c r="A326" s="34" t="s">
        <v>4161</v>
      </c>
      <c r="B326" s="34" t="s">
        <v>4162</v>
      </c>
      <c r="C326" s="35" t="s">
        <v>4163</v>
      </c>
      <c r="E326" s="50">
        <v>46079</v>
      </c>
      <c r="F326" s="34" t="s">
        <v>4169</v>
      </c>
      <c r="G326" s="34">
        <v>62</v>
      </c>
      <c r="H326" s="34" t="s">
        <v>227</v>
      </c>
      <c r="I326" s="34" t="s">
        <v>3843</v>
      </c>
      <c r="J326" s="34" t="s">
        <v>1578</v>
      </c>
      <c r="K326" s="35" t="s">
        <v>1579</v>
      </c>
      <c r="L326" s="34">
        <v>1035</v>
      </c>
      <c r="M326" s="34" t="s">
        <v>3855</v>
      </c>
      <c r="N326" s="34" t="s">
        <v>4337</v>
      </c>
      <c r="O326" s="34" t="s">
        <v>289</v>
      </c>
      <c r="Q326" s="52">
        <f t="shared" si="5"/>
        <v>50</v>
      </c>
    </row>
    <row r="327" spans="1:17" x14ac:dyDescent="0.25">
      <c r="A327" s="34" t="s">
        <v>4161</v>
      </c>
      <c r="B327" s="34" t="s">
        <v>4162</v>
      </c>
      <c r="C327" s="35" t="s">
        <v>4163</v>
      </c>
      <c r="E327" s="50">
        <v>46079</v>
      </c>
      <c r="F327" s="34" t="s">
        <v>4170</v>
      </c>
      <c r="G327" s="34">
        <v>23</v>
      </c>
      <c r="H327" s="34" t="s">
        <v>227</v>
      </c>
      <c r="I327" s="34" t="s">
        <v>3594</v>
      </c>
      <c r="J327" s="34" t="s">
        <v>30</v>
      </c>
      <c r="K327" s="35" t="s">
        <v>790</v>
      </c>
      <c r="L327" s="34">
        <v>4253</v>
      </c>
      <c r="M327" s="34" t="s">
        <v>3855</v>
      </c>
      <c r="N327" s="34" t="s">
        <v>4337</v>
      </c>
      <c r="O327" s="34" t="s">
        <v>289</v>
      </c>
      <c r="Q327" s="52">
        <f t="shared" si="5"/>
        <v>53</v>
      </c>
    </row>
    <row r="328" spans="1:17" x14ac:dyDescent="0.25">
      <c r="A328" s="34" t="s">
        <v>4161</v>
      </c>
      <c r="B328" s="34" t="s">
        <v>4162</v>
      </c>
      <c r="C328" s="35" t="s">
        <v>4163</v>
      </c>
      <c r="E328" s="50">
        <v>46078</v>
      </c>
      <c r="F328" s="34" t="s">
        <v>4171</v>
      </c>
      <c r="G328" s="34">
        <v>-984.41</v>
      </c>
      <c r="H328" s="34" t="s">
        <v>227</v>
      </c>
      <c r="I328" s="34" t="s">
        <v>3594</v>
      </c>
      <c r="J328" s="34" t="s">
        <v>47</v>
      </c>
      <c r="K328" s="35" t="s">
        <v>41</v>
      </c>
      <c r="L328" s="34">
        <v>1035</v>
      </c>
      <c r="M328" s="34" t="s">
        <v>3855</v>
      </c>
      <c r="N328" s="34" t="s">
        <v>4337</v>
      </c>
      <c r="O328" s="34" t="s">
        <v>289</v>
      </c>
      <c r="Q328" s="52">
        <f t="shared" si="5"/>
        <v>31</v>
      </c>
    </row>
    <row r="329" spans="1:17" x14ac:dyDescent="0.25">
      <c r="A329" s="34" t="s">
        <v>4161</v>
      </c>
      <c r="B329" s="34" t="s">
        <v>4162</v>
      </c>
      <c r="C329" s="35" t="s">
        <v>4163</v>
      </c>
      <c r="E329" s="50">
        <v>46076</v>
      </c>
      <c r="F329" s="34" t="s">
        <v>4166</v>
      </c>
      <c r="G329" s="34">
        <v>19.739999999999998</v>
      </c>
      <c r="H329" s="34" t="s">
        <v>227</v>
      </c>
      <c r="I329" s="34" t="s">
        <v>16</v>
      </c>
      <c r="J329" s="34" t="s">
        <v>1469</v>
      </c>
      <c r="K329" s="35" t="s">
        <v>1470</v>
      </c>
      <c r="L329" s="34">
        <v>1035</v>
      </c>
      <c r="M329" s="34" t="s">
        <v>3855</v>
      </c>
      <c r="N329" s="34" t="s">
        <v>4337</v>
      </c>
      <c r="O329" s="34" t="s">
        <v>289</v>
      </c>
      <c r="Q329" s="52">
        <f t="shared" si="5"/>
        <v>40</v>
      </c>
    </row>
    <row r="330" spans="1:17" x14ac:dyDescent="0.25">
      <c r="A330" s="34" t="s">
        <v>4161</v>
      </c>
      <c r="B330" s="34" t="s">
        <v>4162</v>
      </c>
      <c r="C330" s="35" t="s">
        <v>4163</v>
      </c>
      <c r="E330" s="50">
        <v>46075</v>
      </c>
      <c r="F330" s="34" t="s">
        <v>4172</v>
      </c>
      <c r="G330" s="34">
        <v>984.41</v>
      </c>
      <c r="H330" s="34" t="s">
        <v>227</v>
      </c>
      <c r="I330" s="34" t="s">
        <v>3594</v>
      </c>
      <c r="J330" s="34" t="s">
        <v>41</v>
      </c>
      <c r="K330" s="35" t="s">
        <v>41</v>
      </c>
      <c r="L330" s="34">
        <v>1035</v>
      </c>
      <c r="M330" s="34" t="s">
        <v>3855</v>
      </c>
      <c r="N330" s="34" t="s">
        <v>4337</v>
      </c>
      <c r="O330" s="34" t="s">
        <v>289</v>
      </c>
      <c r="Q330" s="52">
        <f t="shared" si="5"/>
        <v>24</v>
      </c>
    </row>
    <row r="331" spans="1:17" x14ac:dyDescent="0.25">
      <c r="A331" s="34" t="s">
        <v>4161</v>
      </c>
      <c r="B331" s="34" t="s">
        <v>4162</v>
      </c>
      <c r="C331" s="35" t="s">
        <v>4163</v>
      </c>
      <c r="E331" s="50">
        <v>46075</v>
      </c>
      <c r="F331" s="34" t="s">
        <v>4173</v>
      </c>
      <c r="G331" s="34">
        <v>8</v>
      </c>
      <c r="H331" s="34" t="s">
        <v>227</v>
      </c>
      <c r="I331" s="34" t="s">
        <v>3594</v>
      </c>
      <c r="J331" s="34" t="s">
        <v>30</v>
      </c>
      <c r="K331" s="35" t="s">
        <v>790</v>
      </c>
      <c r="L331" s="34">
        <v>1035</v>
      </c>
      <c r="M331" s="34" t="s">
        <v>3855</v>
      </c>
      <c r="N331" s="34" t="s">
        <v>4337</v>
      </c>
      <c r="O331" s="34" t="s">
        <v>289</v>
      </c>
      <c r="Q331" s="52">
        <f t="shared" si="5"/>
        <v>33</v>
      </c>
    </row>
    <row r="332" spans="1:17" x14ac:dyDescent="0.25">
      <c r="A332" s="34" t="s">
        <v>3905</v>
      </c>
      <c r="B332" s="34" t="s">
        <v>4174</v>
      </c>
      <c r="C332" s="35" t="s">
        <v>4175</v>
      </c>
      <c r="E332" s="50">
        <v>46074</v>
      </c>
      <c r="F332" s="34" t="s">
        <v>3912</v>
      </c>
      <c r="G332" s="34">
        <v>-293.08999999999997</v>
      </c>
      <c r="H332" s="34" t="s">
        <v>227</v>
      </c>
      <c r="I332" s="34" t="s">
        <v>3594</v>
      </c>
      <c r="J332" s="34" t="s">
        <v>852</v>
      </c>
      <c r="K332" s="35" t="s">
        <v>119</v>
      </c>
      <c r="L332" s="34">
        <v>1035</v>
      </c>
      <c r="M332" s="34" t="s">
        <v>3909</v>
      </c>
      <c r="N332" s="34" t="s">
        <v>4337</v>
      </c>
      <c r="O332" s="34" t="s">
        <v>455</v>
      </c>
      <c r="Q332" s="52">
        <f t="shared" si="5"/>
        <v>38</v>
      </c>
    </row>
    <row r="333" spans="1:17" x14ac:dyDescent="0.25">
      <c r="A333" s="34" t="s">
        <v>3905</v>
      </c>
      <c r="B333" s="34" t="s">
        <v>4174</v>
      </c>
      <c r="C333" s="35" t="s">
        <v>4175</v>
      </c>
      <c r="E333" s="50">
        <v>46075</v>
      </c>
      <c r="F333" s="34" t="s">
        <v>3912</v>
      </c>
      <c r="G333" s="34">
        <v>-1638.49</v>
      </c>
      <c r="H333" s="34" t="s">
        <v>227</v>
      </c>
      <c r="I333" s="34" t="s">
        <v>3594</v>
      </c>
      <c r="J333" s="34" t="s">
        <v>47</v>
      </c>
      <c r="K333" s="35" t="s">
        <v>41</v>
      </c>
      <c r="L333" s="34">
        <v>1035</v>
      </c>
      <c r="M333" s="34" t="s">
        <v>3909</v>
      </c>
      <c r="N333" s="34" t="s">
        <v>4337</v>
      </c>
      <c r="O333" s="34" t="s">
        <v>455</v>
      </c>
      <c r="Q333" s="52">
        <f t="shared" si="5"/>
        <v>36</v>
      </c>
    </row>
    <row r="334" spans="1:17" x14ac:dyDescent="0.25">
      <c r="A334" s="34" t="s">
        <v>3905</v>
      </c>
      <c r="B334" s="34" t="s">
        <v>4174</v>
      </c>
      <c r="C334" s="35" t="s">
        <v>4175</v>
      </c>
      <c r="E334" s="50">
        <v>46077</v>
      </c>
      <c r="F334" s="34" t="s">
        <v>3912</v>
      </c>
      <c r="G334" s="34">
        <v>-83</v>
      </c>
      <c r="H334" s="34" t="s">
        <v>227</v>
      </c>
      <c r="I334" s="34" t="s">
        <v>3594</v>
      </c>
      <c r="J334" s="34" t="s">
        <v>852</v>
      </c>
      <c r="K334" s="35" t="s">
        <v>119</v>
      </c>
      <c r="L334" s="34">
        <v>1035</v>
      </c>
      <c r="M334" s="34" t="s">
        <v>3909</v>
      </c>
      <c r="N334" s="34" t="s">
        <v>4337</v>
      </c>
      <c r="O334" s="34" t="s">
        <v>455</v>
      </c>
      <c r="Q334" s="52">
        <f t="shared" si="5"/>
        <v>38</v>
      </c>
    </row>
    <row r="335" spans="1:17" x14ac:dyDescent="0.25">
      <c r="A335" s="34" t="s">
        <v>3851</v>
      </c>
      <c r="B335" s="34" t="s">
        <v>4177</v>
      </c>
      <c r="C335" s="35" t="s">
        <v>4178</v>
      </c>
      <c r="E335" s="50">
        <v>46058</v>
      </c>
      <c r="F335" s="34" t="s">
        <v>4179</v>
      </c>
      <c r="G335" s="34">
        <v>291.23</v>
      </c>
      <c r="H335" s="34" t="s">
        <v>227</v>
      </c>
      <c r="I335" s="34" t="s">
        <v>3864</v>
      </c>
      <c r="J335" s="34" t="s">
        <v>4180</v>
      </c>
      <c r="K335" s="35" t="s">
        <v>4406</v>
      </c>
      <c r="L335" s="34">
        <v>6454</v>
      </c>
      <c r="M335" s="34" t="s">
        <v>3836</v>
      </c>
      <c r="N335" s="34" t="s">
        <v>4337</v>
      </c>
      <c r="O335" s="34" t="s">
        <v>528</v>
      </c>
      <c r="Q335" s="52">
        <f t="shared" si="5"/>
        <v>70</v>
      </c>
    </row>
    <row r="336" spans="1:17" x14ac:dyDescent="0.25">
      <c r="A336" s="34" t="s">
        <v>3851</v>
      </c>
      <c r="B336" s="34" t="s">
        <v>4177</v>
      </c>
      <c r="C336" s="35" t="s">
        <v>4178</v>
      </c>
      <c r="E336" s="50">
        <v>46058</v>
      </c>
      <c r="F336" s="34" t="s">
        <v>4181</v>
      </c>
      <c r="G336" s="34">
        <v>1216.3599999999999</v>
      </c>
      <c r="H336" s="34" t="s">
        <v>227</v>
      </c>
      <c r="I336" s="34" t="s">
        <v>3864</v>
      </c>
      <c r="J336" s="34" t="s">
        <v>4180</v>
      </c>
      <c r="K336" s="35" t="s">
        <v>4406</v>
      </c>
      <c r="L336" s="34">
        <v>6454</v>
      </c>
      <c r="M336" s="34" t="s">
        <v>3836</v>
      </c>
      <c r="N336" s="34" t="s">
        <v>4337</v>
      </c>
      <c r="O336" s="34" t="s">
        <v>528</v>
      </c>
      <c r="Q336" s="52">
        <f t="shared" si="5"/>
        <v>58</v>
      </c>
    </row>
    <row r="337" spans="1:17" x14ac:dyDescent="0.25">
      <c r="A337" s="34" t="s">
        <v>3851</v>
      </c>
      <c r="B337" s="34" t="s">
        <v>4177</v>
      </c>
      <c r="C337" s="35" t="s">
        <v>4178</v>
      </c>
      <c r="E337" s="50">
        <v>46058</v>
      </c>
      <c r="F337" s="34" t="s">
        <v>4182</v>
      </c>
      <c r="G337" s="34">
        <v>291.23</v>
      </c>
      <c r="H337" s="34" t="s">
        <v>227</v>
      </c>
      <c r="I337" s="34" t="s">
        <v>3864</v>
      </c>
      <c r="J337" s="34" t="s">
        <v>4180</v>
      </c>
      <c r="K337" s="35" t="s">
        <v>4406</v>
      </c>
      <c r="L337" s="34">
        <v>6454</v>
      </c>
      <c r="M337" s="34" t="s">
        <v>3836</v>
      </c>
      <c r="N337" s="34" t="s">
        <v>4337</v>
      </c>
      <c r="O337" s="34" t="s">
        <v>528</v>
      </c>
      <c r="Q337" s="52">
        <f t="shared" si="5"/>
        <v>68</v>
      </c>
    </row>
    <row r="338" spans="1:17" x14ac:dyDescent="0.25">
      <c r="A338" s="34" t="s">
        <v>3851</v>
      </c>
      <c r="B338" s="34" t="s">
        <v>4177</v>
      </c>
      <c r="C338" s="35" t="s">
        <v>4178</v>
      </c>
      <c r="E338" s="50">
        <v>46085</v>
      </c>
      <c r="F338" s="34" t="s">
        <v>4183</v>
      </c>
      <c r="G338" s="34">
        <v>744.5</v>
      </c>
      <c r="H338" s="34" t="s">
        <v>227</v>
      </c>
      <c r="I338" s="34" t="s">
        <v>3864</v>
      </c>
      <c r="J338" s="34" t="s">
        <v>3688</v>
      </c>
      <c r="K338" s="35" t="s">
        <v>3798</v>
      </c>
      <c r="L338" s="34">
        <v>4246</v>
      </c>
      <c r="M338" s="34" t="s">
        <v>3855</v>
      </c>
      <c r="N338" s="34" t="s">
        <v>4337</v>
      </c>
      <c r="O338" s="34" t="s">
        <v>528</v>
      </c>
      <c r="Q338" s="52">
        <f t="shared" si="5"/>
        <v>63</v>
      </c>
    </row>
    <row r="339" spans="1:17" x14ac:dyDescent="0.25">
      <c r="A339" s="34" t="s">
        <v>3851</v>
      </c>
      <c r="B339" s="34" t="s">
        <v>4177</v>
      </c>
      <c r="C339" s="35" t="s">
        <v>4178</v>
      </c>
      <c r="E339" s="50">
        <v>46086</v>
      </c>
      <c r="F339" s="34" t="s">
        <v>4184</v>
      </c>
      <c r="G339" s="34">
        <v>83.9</v>
      </c>
      <c r="H339" s="34" t="s">
        <v>227</v>
      </c>
      <c r="I339" s="34" t="s">
        <v>21</v>
      </c>
      <c r="J339" s="34" t="s">
        <v>111</v>
      </c>
      <c r="K339" s="35" t="s">
        <v>239</v>
      </c>
      <c r="L339" s="34">
        <v>4246</v>
      </c>
      <c r="M339" s="34" t="s">
        <v>3855</v>
      </c>
      <c r="N339" s="34" t="s">
        <v>4337</v>
      </c>
      <c r="O339" s="34" t="s">
        <v>528</v>
      </c>
      <c r="Q339" s="52">
        <f t="shared" si="5"/>
        <v>42</v>
      </c>
    </row>
    <row r="340" spans="1:17" x14ac:dyDescent="0.25">
      <c r="A340" s="34" t="s">
        <v>3851</v>
      </c>
      <c r="B340" s="34" t="s">
        <v>4177</v>
      </c>
      <c r="C340" s="35" t="s">
        <v>4178</v>
      </c>
      <c r="E340" s="50">
        <v>46085</v>
      </c>
      <c r="F340" s="34" t="s">
        <v>4185</v>
      </c>
      <c r="G340" s="34">
        <v>48.94</v>
      </c>
      <c r="H340" s="34" t="s">
        <v>227</v>
      </c>
      <c r="I340" s="34" t="s">
        <v>21</v>
      </c>
      <c r="J340" s="34" t="s">
        <v>111</v>
      </c>
      <c r="K340" s="35" t="s">
        <v>239</v>
      </c>
      <c r="L340" s="34">
        <v>4246</v>
      </c>
      <c r="M340" s="34" t="s">
        <v>3836</v>
      </c>
      <c r="N340" s="34" t="s">
        <v>4337</v>
      </c>
      <c r="O340" s="34" t="s">
        <v>528</v>
      </c>
      <c r="Q340" s="52">
        <f t="shared" si="5"/>
        <v>49</v>
      </c>
    </row>
    <row r="341" spans="1:17" x14ac:dyDescent="0.25">
      <c r="A341" s="34" t="s">
        <v>3851</v>
      </c>
      <c r="B341" s="34" t="s">
        <v>4177</v>
      </c>
      <c r="C341" s="35" t="s">
        <v>4178</v>
      </c>
      <c r="E341" s="50">
        <v>46084</v>
      </c>
      <c r="F341" s="34" t="s">
        <v>4186</v>
      </c>
      <c r="G341" s="34">
        <v>88.17</v>
      </c>
      <c r="H341" s="34" t="s">
        <v>227</v>
      </c>
      <c r="I341" s="34" t="s">
        <v>21</v>
      </c>
      <c r="J341" s="34" t="s">
        <v>111</v>
      </c>
      <c r="K341" s="35" t="s">
        <v>239</v>
      </c>
      <c r="L341" s="34">
        <v>4246</v>
      </c>
      <c r="M341" s="34" t="s">
        <v>3855</v>
      </c>
      <c r="N341" s="34" t="s">
        <v>4337</v>
      </c>
      <c r="O341" s="34" t="s">
        <v>528</v>
      </c>
      <c r="Q341" s="52">
        <f t="shared" si="5"/>
        <v>42</v>
      </c>
    </row>
    <row r="342" spans="1:17" x14ac:dyDescent="0.25">
      <c r="A342" s="34" t="s">
        <v>3851</v>
      </c>
      <c r="B342" s="34" t="s">
        <v>4177</v>
      </c>
      <c r="C342" s="35" t="s">
        <v>4178</v>
      </c>
      <c r="E342" s="50">
        <v>46084</v>
      </c>
      <c r="F342" s="34" t="s">
        <v>4187</v>
      </c>
      <c r="G342" s="34">
        <v>50.99</v>
      </c>
      <c r="H342" s="34" t="s">
        <v>227</v>
      </c>
      <c r="I342" s="34" t="s">
        <v>21</v>
      </c>
      <c r="J342" s="34" t="s">
        <v>111</v>
      </c>
      <c r="K342" s="35" t="s">
        <v>239</v>
      </c>
      <c r="L342" s="34">
        <v>4246</v>
      </c>
      <c r="M342" s="34" t="s">
        <v>3855</v>
      </c>
      <c r="N342" s="34" t="s">
        <v>4337</v>
      </c>
      <c r="O342" s="34" t="s">
        <v>528</v>
      </c>
      <c r="Q342" s="52">
        <f t="shared" si="5"/>
        <v>41</v>
      </c>
    </row>
    <row r="343" spans="1:17" x14ac:dyDescent="0.25">
      <c r="A343" s="34" t="s">
        <v>3851</v>
      </c>
      <c r="B343" s="34" t="s">
        <v>4177</v>
      </c>
      <c r="C343" s="35" t="s">
        <v>4178</v>
      </c>
      <c r="E343" s="50">
        <v>46079</v>
      </c>
      <c r="F343" s="34" t="s">
        <v>4188</v>
      </c>
      <c r="G343" s="34">
        <v>38.979999999999997</v>
      </c>
      <c r="H343" s="34" t="s">
        <v>227</v>
      </c>
      <c r="I343" s="34" t="s">
        <v>21</v>
      </c>
      <c r="J343" s="34" t="s">
        <v>111</v>
      </c>
      <c r="K343" s="35" t="s">
        <v>239</v>
      </c>
      <c r="L343" s="34">
        <v>1035</v>
      </c>
      <c r="M343" s="34" t="s">
        <v>3836</v>
      </c>
      <c r="N343" s="34" t="s">
        <v>4337</v>
      </c>
      <c r="O343" s="34" t="s">
        <v>528</v>
      </c>
      <c r="Q343" s="52">
        <f t="shared" si="5"/>
        <v>42</v>
      </c>
    </row>
    <row r="344" spans="1:17" x14ac:dyDescent="0.25">
      <c r="A344" s="34" t="s">
        <v>3851</v>
      </c>
      <c r="B344" s="34" t="s">
        <v>4177</v>
      </c>
      <c r="C344" s="35" t="s">
        <v>4178</v>
      </c>
      <c r="E344" s="50">
        <v>46076</v>
      </c>
      <c r="F344" s="34" t="s">
        <v>4189</v>
      </c>
      <c r="G344" s="34">
        <v>26.98</v>
      </c>
      <c r="H344" s="34" t="s">
        <v>227</v>
      </c>
      <c r="I344" s="34" t="s">
        <v>21</v>
      </c>
      <c r="J344" s="34" t="s">
        <v>111</v>
      </c>
      <c r="K344" s="35" t="s">
        <v>239</v>
      </c>
      <c r="L344" s="34">
        <v>1035</v>
      </c>
      <c r="M344" s="34" t="s">
        <v>3836</v>
      </c>
      <c r="N344" s="34" t="s">
        <v>4337</v>
      </c>
      <c r="O344" s="34" t="s">
        <v>528</v>
      </c>
      <c r="Q344" s="52">
        <f t="shared" si="5"/>
        <v>45</v>
      </c>
    </row>
    <row r="345" spans="1:17" x14ac:dyDescent="0.25">
      <c r="A345" s="34" t="s">
        <v>3851</v>
      </c>
      <c r="B345" s="34" t="s">
        <v>4177</v>
      </c>
      <c r="C345" s="35" t="s">
        <v>4178</v>
      </c>
      <c r="E345" s="50">
        <v>46059</v>
      </c>
      <c r="F345" s="34" t="s">
        <v>4190</v>
      </c>
      <c r="G345" s="34">
        <v>50.97</v>
      </c>
      <c r="H345" s="34" t="s">
        <v>227</v>
      </c>
      <c r="I345" s="34" t="s">
        <v>21</v>
      </c>
      <c r="J345" s="34" t="s">
        <v>111</v>
      </c>
      <c r="K345" s="35" t="s">
        <v>239</v>
      </c>
      <c r="L345" s="34">
        <v>6454</v>
      </c>
      <c r="M345" s="34" t="s">
        <v>3836</v>
      </c>
      <c r="N345" s="34" t="s">
        <v>4337</v>
      </c>
      <c r="O345" s="34" t="s">
        <v>528</v>
      </c>
      <c r="Q345" s="52">
        <f t="shared" si="5"/>
        <v>50</v>
      </c>
    </row>
    <row r="346" spans="1:17" x14ac:dyDescent="0.25">
      <c r="A346" s="34" t="s">
        <v>3851</v>
      </c>
      <c r="B346" s="34" t="s">
        <v>4177</v>
      </c>
      <c r="C346" s="35" t="s">
        <v>4178</v>
      </c>
      <c r="E346" s="50">
        <v>46059</v>
      </c>
      <c r="F346" s="34" t="s">
        <v>4191</v>
      </c>
      <c r="G346" s="34">
        <v>104.07</v>
      </c>
      <c r="H346" s="34" t="s">
        <v>227</v>
      </c>
      <c r="I346" s="34" t="s">
        <v>21</v>
      </c>
      <c r="J346" s="34" t="s">
        <v>111</v>
      </c>
      <c r="K346" s="35" t="s">
        <v>239</v>
      </c>
      <c r="L346" s="34">
        <v>6454</v>
      </c>
      <c r="M346" s="34" t="s">
        <v>3836</v>
      </c>
      <c r="N346" s="34" t="s">
        <v>4337</v>
      </c>
      <c r="O346" s="34" t="s">
        <v>528</v>
      </c>
      <c r="Q346" s="52">
        <f t="shared" si="5"/>
        <v>57</v>
      </c>
    </row>
    <row r="347" spans="1:17" x14ac:dyDescent="0.25">
      <c r="A347" s="34" t="s">
        <v>3851</v>
      </c>
      <c r="B347" s="34" t="s">
        <v>4177</v>
      </c>
      <c r="C347" s="35" t="s">
        <v>4178</v>
      </c>
      <c r="E347" s="50">
        <v>46063</v>
      </c>
      <c r="F347" s="34" t="s">
        <v>4192</v>
      </c>
      <c r="G347" s="34">
        <v>30</v>
      </c>
      <c r="H347" s="34" t="s">
        <v>227</v>
      </c>
      <c r="I347" s="34" t="s">
        <v>3843</v>
      </c>
      <c r="J347" s="34" t="s">
        <v>30</v>
      </c>
      <c r="K347" s="35" t="s">
        <v>790</v>
      </c>
      <c r="L347" s="34">
        <v>1035</v>
      </c>
      <c r="M347" s="34" t="s">
        <v>3836</v>
      </c>
      <c r="N347" s="34" t="s">
        <v>4337</v>
      </c>
      <c r="O347" s="34" t="s">
        <v>528</v>
      </c>
      <c r="Q347" s="52">
        <f t="shared" si="5"/>
        <v>51</v>
      </c>
    </row>
    <row r="348" spans="1:17" x14ac:dyDescent="0.25">
      <c r="A348" s="34" t="s">
        <v>3851</v>
      </c>
      <c r="B348" s="34" t="s">
        <v>4177</v>
      </c>
      <c r="C348" s="35" t="s">
        <v>4178</v>
      </c>
      <c r="E348" s="50">
        <v>46063</v>
      </c>
      <c r="F348" s="34" t="s">
        <v>4193</v>
      </c>
      <c r="G348" s="34">
        <v>30</v>
      </c>
      <c r="H348" s="34" t="s">
        <v>227</v>
      </c>
      <c r="I348" s="34" t="s">
        <v>3843</v>
      </c>
      <c r="J348" s="34" t="s">
        <v>30</v>
      </c>
      <c r="K348" s="35" t="s">
        <v>790</v>
      </c>
      <c r="L348" s="34">
        <v>4246</v>
      </c>
      <c r="M348" s="34" t="s">
        <v>3855</v>
      </c>
      <c r="N348" s="34" t="s">
        <v>4337</v>
      </c>
      <c r="O348" s="34" t="s">
        <v>528</v>
      </c>
      <c r="Q348" s="52">
        <f t="shared" si="5"/>
        <v>50</v>
      </c>
    </row>
    <row r="349" spans="1:17" x14ac:dyDescent="0.25">
      <c r="A349" s="34" t="s">
        <v>3851</v>
      </c>
      <c r="B349" s="34" t="s">
        <v>4177</v>
      </c>
      <c r="C349" s="35" t="s">
        <v>4178</v>
      </c>
      <c r="E349" s="50">
        <v>46077</v>
      </c>
      <c r="F349" s="34" t="s">
        <v>4192</v>
      </c>
      <c r="G349" s="34">
        <v>30</v>
      </c>
      <c r="H349" s="34" t="s">
        <v>227</v>
      </c>
      <c r="I349" s="34" t="s">
        <v>3843</v>
      </c>
      <c r="J349" s="34" t="s">
        <v>30</v>
      </c>
      <c r="K349" s="35" t="s">
        <v>790</v>
      </c>
      <c r="L349" s="34">
        <v>1035</v>
      </c>
      <c r="M349" s="34" t="s">
        <v>3836</v>
      </c>
      <c r="N349" s="34" t="s">
        <v>4337</v>
      </c>
      <c r="O349" s="34" t="s">
        <v>528</v>
      </c>
      <c r="Q349" s="52">
        <f t="shared" si="5"/>
        <v>51</v>
      </c>
    </row>
    <row r="350" spans="1:17" x14ac:dyDescent="0.25">
      <c r="A350" s="34" t="s">
        <v>3851</v>
      </c>
      <c r="B350" s="34" t="s">
        <v>4177</v>
      </c>
      <c r="C350" s="35" t="s">
        <v>4178</v>
      </c>
      <c r="E350" s="50">
        <v>46078</v>
      </c>
      <c r="F350" s="34" t="s">
        <v>4194</v>
      </c>
      <c r="G350" s="34">
        <v>30</v>
      </c>
      <c r="H350" s="34" t="s">
        <v>227</v>
      </c>
      <c r="I350" s="34" t="s">
        <v>3843</v>
      </c>
      <c r="J350" s="34" t="s">
        <v>30</v>
      </c>
      <c r="K350" s="35" t="s">
        <v>790</v>
      </c>
      <c r="L350" s="34">
        <v>4246</v>
      </c>
      <c r="M350" s="34" t="s">
        <v>3836</v>
      </c>
      <c r="N350" s="34" t="s">
        <v>4337</v>
      </c>
      <c r="O350" s="34" t="s">
        <v>528</v>
      </c>
      <c r="Q350" s="52">
        <f t="shared" si="5"/>
        <v>59</v>
      </c>
    </row>
    <row r="351" spans="1:17" x14ac:dyDescent="0.25">
      <c r="A351" s="34" t="s">
        <v>3851</v>
      </c>
      <c r="B351" s="34" t="s">
        <v>4177</v>
      </c>
      <c r="C351" s="35" t="s">
        <v>4178</v>
      </c>
      <c r="E351" s="50">
        <v>46078</v>
      </c>
      <c r="F351" s="34" t="s">
        <v>4195</v>
      </c>
      <c r="G351" s="34">
        <v>-50.6</v>
      </c>
      <c r="H351" s="34" t="s">
        <v>227</v>
      </c>
      <c r="I351" s="34" t="s">
        <v>3594</v>
      </c>
      <c r="J351" s="34" t="s">
        <v>32</v>
      </c>
      <c r="K351" s="35" t="s">
        <v>29</v>
      </c>
      <c r="L351" s="34">
        <v>4246</v>
      </c>
      <c r="M351" s="34" t="s">
        <v>3855</v>
      </c>
      <c r="N351" s="34" t="s">
        <v>4337</v>
      </c>
      <c r="O351" s="34" t="s">
        <v>528</v>
      </c>
      <c r="Q351" s="52">
        <f t="shared" si="5"/>
        <v>49</v>
      </c>
    </row>
    <row r="352" spans="1:17" x14ac:dyDescent="0.25">
      <c r="A352" s="34" t="s">
        <v>3851</v>
      </c>
      <c r="B352" s="34" t="s">
        <v>4177</v>
      </c>
      <c r="C352" s="35" t="s">
        <v>4178</v>
      </c>
      <c r="E352" s="50">
        <v>46063</v>
      </c>
      <c r="F352" s="34" t="s">
        <v>4196</v>
      </c>
      <c r="G352" s="34">
        <v>1518.68</v>
      </c>
      <c r="H352" s="34" t="s">
        <v>227</v>
      </c>
      <c r="I352" s="34" t="s">
        <v>3594</v>
      </c>
      <c r="J352" s="34" t="s">
        <v>32</v>
      </c>
      <c r="K352" s="35" t="s">
        <v>29</v>
      </c>
      <c r="L352" s="34">
        <v>1035</v>
      </c>
      <c r="M352" s="34" t="s">
        <v>3836</v>
      </c>
      <c r="N352" s="34" t="s">
        <v>4337</v>
      </c>
      <c r="O352" s="34" t="s">
        <v>528</v>
      </c>
      <c r="Q352" s="52">
        <f t="shared" si="5"/>
        <v>52</v>
      </c>
    </row>
    <row r="353" spans="1:17" x14ac:dyDescent="0.25">
      <c r="A353" s="34" t="s">
        <v>3851</v>
      </c>
      <c r="B353" s="34" t="s">
        <v>4177</v>
      </c>
      <c r="C353" s="35" t="s">
        <v>4178</v>
      </c>
      <c r="E353" s="50">
        <v>46063</v>
      </c>
      <c r="F353" s="34" t="s">
        <v>4197</v>
      </c>
      <c r="G353" s="34">
        <v>878.37</v>
      </c>
      <c r="H353" s="34" t="s">
        <v>227</v>
      </c>
      <c r="I353" s="34" t="s">
        <v>3594</v>
      </c>
      <c r="J353" s="34" t="s">
        <v>32</v>
      </c>
      <c r="K353" s="35" t="s">
        <v>29</v>
      </c>
      <c r="L353" s="34">
        <v>4246</v>
      </c>
      <c r="M353" s="34" t="s">
        <v>3855</v>
      </c>
      <c r="N353" s="34" t="s">
        <v>4337</v>
      </c>
      <c r="O353" s="34" t="s">
        <v>528</v>
      </c>
      <c r="Q353" s="52">
        <f t="shared" si="5"/>
        <v>42</v>
      </c>
    </row>
    <row r="354" spans="1:17" x14ac:dyDescent="0.25">
      <c r="A354" s="34" t="s">
        <v>3851</v>
      </c>
      <c r="B354" s="34" t="s">
        <v>4177</v>
      </c>
      <c r="C354" s="35" t="s">
        <v>4178</v>
      </c>
      <c r="E354" s="50">
        <v>46076</v>
      </c>
      <c r="F354" s="34" t="s">
        <v>4198</v>
      </c>
      <c r="G354" s="34">
        <v>27.08</v>
      </c>
      <c r="H354" s="34" t="s">
        <v>227</v>
      </c>
      <c r="I354" s="34" t="s">
        <v>16</v>
      </c>
      <c r="J354" s="34" t="s">
        <v>3884</v>
      </c>
      <c r="K354" s="35" t="s">
        <v>4375</v>
      </c>
      <c r="L354" s="34">
        <v>1035</v>
      </c>
      <c r="M354" s="34" t="s">
        <v>3836</v>
      </c>
      <c r="N354" s="34" t="s">
        <v>4337</v>
      </c>
      <c r="O354" s="34" t="s">
        <v>528</v>
      </c>
      <c r="Q354" s="52">
        <f t="shared" si="5"/>
        <v>63</v>
      </c>
    </row>
    <row r="355" spans="1:17" x14ac:dyDescent="0.25">
      <c r="A355" s="34" t="s">
        <v>3851</v>
      </c>
      <c r="B355" s="34" t="s">
        <v>4177</v>
      </c>
      <c r="C355" s="35" t="s">
        <v>4178</v>
      </c>
      <c r="E355" s="50">
        <v>46075</v>
      </c>
      <c r="F355" s="34" t="s">
        <v>4199</v>
      </c>
      <c r="G355" s="34">
        <v>435.3</v>
      </c>
      <c r="H355" s="34" t="s">
        <v>227</v>
      </c>
      <c r="I355" s="34" t="s">
        <v>16</v>
      </c>
      <c r="J355" s="34" t="s">
        <v>4200</v>
      </c>
      <c r="K355" s="35" t="s">
        <v>4490</v>
      </c>
      <c r="L355" s="34">
        <v>6001</v>
      </c>
      <c r="M355" s="34" t="s">
        <v>3836</v>
      </c>
      <c r="N355" s="34" t="s">
        <v>4337</v>
      </c>
      <c r="O355" s="34" t="s">
        <v>528</v>
      </c>
      <c r="Q355" s="52">
        <f t="shared" si="5"/>
        <v>59</v>
      </c>
    </row>
    <row r="356" spans="1:17" x14ac:dyDescent="0.25">
      <c r="A356" s="34" t="s">
        <v>3851</v>
      </c>
      <c r="B356" s="34" t="s">
        <v>4177</v>
      </c>
      <c r="C356" s="35" t="s">
        <v>4178</v>
      </c>
      <c r="E356" s="50">
        <v>46083</v>
      </c>
      <c r="F356" s="34" t="s">
        <v>3899</v>
      </c>
      <c r="G356" s="34">
        <v>19.079999999999998</v>
      </c>
      <c r="H356" s="34" t="s">
        <v>227</v>
      </c>
      <c r="I356" s="34" t="s">
        <v>3843</v>
      </c>
      <c r="J356" s="34" t="s">
        <v>1580</v>
      </c>
      <c r="K356" s="35" t="s">
        <v>1581</v>
      </c>
      <c r="L356" s="34">
        <v>1008</v>
      </c>
      <c r="M356" s="34" t="s">
        <v>3836</v>
      </c>
      <c r="N356" s="34" t="s">
        <v>4337</v>
      </c>
      <c r="O356" s="34" t="s">
        <v>528</v>
      </c>
      <c r="Q356" s="52">
        <f t="shared" si="5"/>
        <v>28</v>
      </c>
    </row>
    <row r="357" spans="1:17" x14ac:dyDescent="0.25">
      <c r="A357" s="34" t="s">
        <v>3851</v>
      </c>
      <c r="B357" s="34" t="s">
        <v>4177</v>
      </c>
      <c r="C357" s="35" t="s">
        <v>4178</v>
      </c>
      <c r="E357" s="50">
        <v>46079</v>
      </c>
      <c r="F357" s="34" t="s">
        <v>3921</v>
      </c>
      <c r="G357" s="34">
        <v>8</v>
      </c>
      <c r="H357" s="34" t="s">
        <v>227</v>
      </c>
      <c r="I357" s="34" t="s">
        <v>3922</v>
      </c>
      <c r="J357" s="34" t="s">
        <v>93</v>
      </c>
      <c r="K357" s="35" t="s">
        <v>29</v>
      </c>
      <c r="L357" s="34">
        <v>6001</v>
      </c>
      <c r="M357" s="34" t="s">
        <v>3836</v>
      </c>
      <c r="N357" s="34" t="s">
        <v>4337</v>
      </c>
      <c r="O357" s="34" t="s">
        <v>528</v>
      </c>
      <c r="Q357" s="52">
        <f t="shared" si="5"/>
        <v>31</v>
      </c>
    </row>
    <row r="358" spans="1:17" x14ac:dyDescent="0.25">
      <c r="A358" s="34" t="s">
        <v>3851</v>
      </c>
      <c r="B358" s="34" t="s">
        <v>4177</v>
      </c>
      <c r="C358" s="35" t="s">
        <v>4178</v>
      </c>
      <c r="E358" s="50">
        <v>46085</v>
      </c>
      <c r="F358" s="34" t="s">
        <v>4201</v>
      </c>
      <c r="G358" s="34">
        <v>151.5</v>
      </c>
      <c r="H358" s="34" t="s">
        <v>227</v>
      </c>
      <c r="I358" s="34" t="s">
        <v>3843</v>
      </c>
      <c r="J358" s="34" t="s">
        <v>120</v>
      </c>
      <c r="K358" s="35" t="s">
        <v>604</v>
      </c>
      <c r="L358" s="34" t="s">
        <v>4202</v>
      </c>
      <c r="M358" s="34" t="s">
        <v>3836</v>
      </c>
      <c r="N358" s="34" t="s">
        <v>4337</v>
      </c>
      <c r="O358" s="34" t="s">
        <v>528</v>
      </c>
      <c r="Q358" s="52">
        <f t="shared" si="5"/>
        <v>61</v>
      </c>
    </row>
    <row r="359" spans="1:17" x14ac:dyDescent="0.25">
      <c r="A359" s="34" t="s">
        <v>3851</v>
      </c>
      <c r="B359" s="34" t="s">
        <v>4177</v>
      </c>
      <c r="C359" s="35" t="s">
        <v>4178</v>
      </c>
      <c r="E359" s="50">
        <v>46085</v>
      </c>
      <c r="F359" s="34" t="s">
        <v>4203</v>
      </c>
      <c r="G359" s="34">
        <v>151.5</v>
      </c>
      <c r="H359" s="34" t="s">
        <v>227</v>
      </c>
      <c r="I359" s="34" t="s">
        <v>3843</v>
      </c>
      <c r="J359" s="34" t="s">
        <v>120</v>
      </c>
      <c r="K359" s="35" t="s">
        <v>604</v>
      </c>
      <c r="L359" s="34">
        <v>6454</v>
      </c>
      <c r="M359" s="34" t="s">
        <v>3836</v>
      </c>
      <c r="N359" s="34" t="s">
        <v>4337</v>
      </c>
      <c r="O359" s="34" t="s">
        <v>528</v>
      </c>
      <c r="Q359" s="52">
        <f t="shared" si="5"/>
        <v>51</v>
      </c>
    </row>
    <row r="360" spans="1:17" x14ac:dyDescent="0.25">
      <c r="A360" s="34" t="s">
        <v>3851</v>
      </c>
      <c r="B360" s="34" t="s">
        <v>4177</v>
      </c>
      <c r="C360" s="35" t="s">
        <v>4178</v>
      </c>
      <c r="E360" s="50">
        <v>46085</v>
      </c>
      <c r="F360" s="34" t="s">
        <v>4204</v>
      </c>
      <c r="G360" s="34">
        <v>-19.5</v>
      </c>
      <c r="H360" s="34" t="s">
        <v>227</v>
      </c>
      <c r="I360" s="34" t="s">
        <v>3843</v>
      </c>
      <c r="J360" s="34" t="s">
        <v>103</v>
      </c>
      <c r="K360" s="35" t="s">
        <v>604</v>
      </c>
      <c r="L360" s="34" t="s">
        <v>4202</v>
      </c>
      <c r="M360" s="34" t="s">
        <v>3836</v>
      </c>
      <c r="N360" s="34" t="s">
        <v>4337</v>
      </c>
      <c r="O360" s="34" t="s">
        <v>528</v>
      </c>
      <c r="Q360" s="52">
        <f t="shared" si="5"/>
        <v>68</v>
      </c>
    </row>
    <row r="361" spans="1:17" x14ac:dyDescent="0.25">
      <c r="A361" s="34" t="s">
        <v>3851</v>
      </c>
      <c r="B361" s="34" t="s">
        <v>4177</v>
      </c>
      <c r="C361" s="35" t="s">
        <v>4178</v>
      </c>
      <c r="E361" s="50">
        <v>46085</v>
      </c>
      <c r="F361" s="34" t="s">
        <v>4205</v>
      </c>
      <c r="G361" s="34">
        <v>-19.5</v>
      </c>
      <c r="H361" s="34" t="s">
        <v>227</v>
      </c>
      <c r="I361" s="34" t="s">
        <v>3843</v>
      </c>
      <c r="J361" s="34" t="s">
        <v>103</v>
      </c>
      <c r="K361" s="35" t="s">
        <v>604</v>
      </c>
      <c r="L361" s="34">
        <v>6454</v>
      </c>
      <c r="M361" s="34" t="s">
        <v>3836</v>
      </c>
      <c r="N361" s="34" t="s">
        <v>4337</v>
      </c>
      <c r="O361" s="34" t="s">
        <v>528</v>
      </c>
      <c r="Q361" s="52">
        <f t="shared" si="5"/>
        <v>58</v>
      </c>
    </row>
    <row r="362" spans="1:17" x14ac:dyDescent="0.25">
      <c r="A362" s="34" t="s">
        <v>3851</v>
      </c>
      <c r="B362" s="34" t="s">
        <v>4177</v>
      </c>
      <c r="C362" s="35" t="s">
        <v>4178</v>
      </c>
      <c r="E362" s="50">
        <v>46085</v>
      </c>
      <c r="F362" s="34" t="s">
        <v>4206</v>
      </c>
      <c r="G362" s="34">
        <v>15</v>
      </c>
      <c r="H362" s="34" t="s">
        <v>227</v>
      </c>
      <c r="I362" s="34" t="s">
        <v>3843</v>
      </c>
      <c r="J362" s="34" t="s">
        <v>30</v>
      </c>
      <c r="K362" s="35" t="s">
        <v>790</v>
      </c>
      <c r="L362" s="34" t="s">
        <v>4202</v>
      </c>
      <c r="M362" s="34" t="s">
        <v>3836</v>
      </c>
      <c r="N362" s="34" t="s">
        <v>4337</v>
      </c>
      <c r="O362" s="34" t="s">
        <v>528</v>
      </c>
      <c r="Q362" s="52">
        <f t="shared" si="5"/>
        <v>69</v>
      </c>
    </row>
    <row r="363" spans="1:17" x14ac:dyDescent="0.25">
      <c r="A363" s="34" t="s">
        <v>3851</v>
      </c>
      <c r="B363" s="34" t="s">
        <v>4177</v>
      </c>
      <c r="C363" s="35" t="s">
        <v>4178</v>
      </c>
      <c r="E363" s="50">
        <v>46085</v>
      </c>
      <c r="F363" s="34" t="s">
        <v>4207</v>
      </c>
      <c r="G363" s="34">
        <v>15</v>
      </c>
      <c r="H363" s="34" t="s">
        <v>227</v>
      </c>
      <c r="I363" s="34" t="s">
        <v>3843</v>
      </c>
      <c r="J363" s="34" t="s">
        <v>30</v>
      </c>
      <c r="K363" s="35" t="s">
        <v>790</v>
      </c>
      <c r="L363" s="34">
        <v>6454</v>
      </c>
      <c r="M363" s="34" t="s">
        <v>3836</v>
      </c>
      <c r="N363" s="34" t="s">
        <v>4337</v>
      </c>
      <c r="O363" s="34" t="s">
        <v>528</v>
      </c>
      <c r="Q363" s="52">
        <f t="shared" si="5"/>
        <v>59</v>
      </c>
    </row>
    <row r="364" spans="1:17" x14ac:dyDescent="0.25">
      <c r="A364" s="34" t="s">
        <v>3851</v>
      </c>
      <c r="B364" s="34" t="s">
        <v>4177</v>
      </c>
      <c r="C364" s="35" t="s">
        <v>4178</v>
      </c>
      <c r="E364" s="50">
        <v>46063</v>
      </c>
      <c r="F364" s="34" t="s">
        <v>4208</v>
      </c>
      <c r="G364" s="34">
        <v>238.25</v>
      </c>
      <c r="H364" s="34" t="s">
        <v>227</v>
      </c>
      <c r="I364" s="34" t="s">
        <v>3594</v>
      </c>
      <c r="J364" s="34" t="s">
        <v>47</v>
      </c>
      <c r="K364" s="35" t="s">
        <v>41</v>
      </c>
      <c r="L364" s="34">
        <v>4246</v>
      </c>
      <c r="M364" s="34" t="s">
        <v>3855</v>
      </c>
      <c r="N364" s="34" t="s">
        <v>4337</v>
      </c>
      <c r="O364" s="34" t="s">
        <v>528</v>
      </c>
      <c r="Q364" s="52">
        <f t="shared" si="5"/>
        <v>41</v>
      </c>
    </row>
    <row r="365" spans="1:17" x14ac:dyDescent="0.25">
      <c r="A365" s="34" t="s">
        <v>3851</v>
      </c>
      <c r="B365" s="34" t="s">
        <v>4177</v>
      </c>
      <c r="C365" s="35" t="s">
        <v>4178</v>
      </c>
      <c r="E365" s="50">
        <v>46063</v>
      </c>
      <c r="F365" s="34" t="s">
        <v>4209</v>
      </c>
      <c r="G365" s="34">
        <v>713.85</v>
      </c>
      <c r="H365" s="34" t="s">
        <v>227</v>
      </c>
      <c r="I365" s="34" t="s">
        <v>3594</v>
      </c>
      <c r="J365" s="34" t="s">
        <v>47</v>
      </c>
      <c r="K365" s="35" t="s">
        <v>41</v>
      </c>
      <c r="L365" s="34" t="s">
        <v>4202</v>
      </c>
      <c r="M365" s="34" t="s">
        <v>3836</v>
      </c>
      <c r="N365" s="34" t="s">
        <v>4337</v>
      </c>
      <c r="O365" s="34" t="s">
        <v>528</v>
      </c>
      <c r="Q365" s="52">
        <f t="shared" si="5"/>
        <v>55</v>
      </c>
    </row>
    <row r="366" spans="1:17" x14ac:dyDescent="0.25">
      <c r="A366" s="34" t="s">
        <v>3851</v>
      </c>
      <c r="B366" s="34" t="s">
        <v>4177</v>
      </c>
      <c r="C366" s="35" t="s">
        <v>4178</v>
      </c>
      <c r="E366" s="50">
        <v>46063</v>
      </c>
      <c r="F366" s="34" t="s">
        <v>4210</v>
      </c>
      <c r="G366" s="34">
        <v>7.5</v>
      </c>
      <c r="H366" s="34" t="s">
        <v>227</v>
      </c>
      <c r="I366" s="34" t="s">
        <v>3843</v>
      </c>
      <c r="J366" s="34" t="s">
        <v>30</v>
      </c>
      <c r="K366" s="35" t="s">
        <v>790</v>
      </c>
      <c r="L366" s="34">
        <v>4246</v>
      </c>
      <c r="M366" s="34" t="s">
        <v>3855</v>
      </c>
      <c r="N366" s="34" t="s">
        <v>4337</v>
      </c>
      <c r="O366" s="34" t="s">
        <v>528</v>
      </c>
      <c r="Q366" s="52">
        <f t="shared" si="5"/>
        <v>54</v>
      </c>
    </row>
    <row r="367" spans="1:17" x14ac:dyDescent="0.25">
      <c r="A367" s="34" t="s">
        <v>3851</v>
      </c>
      <c r="B367" s="34" t="s">
        <v>4177</v>
      </c>
      <c r="C367" s="35" t="s">
        <v>4178</v>
      </c>
      <c r="E367" s="50">
        <v>46063</v>
      </c>
      <c r="F367" s="34" t="s">
        <v>4211</v>
      </c>
      <c r="G367" s="34">
        <v>22.5</v>
      </c>
      <c r="H367" s="34" t="s">
        <v>227</v>
      </c>
      <c r="I367" s="34" t="s">
        <v>3843</v>
      </c>
      <c r="J367" s="34" t="s">
        <v>30</v>
      </c>
      <c r="K367" s="35" t="s">
        <v>790</v>
      </c>
      <c r="L367" s="34" t="s">
        <v>4202</v>
      </c>
      <c r="M367" s="34" t="s">
        <v>3836</v>
      </c>
      <c r="N367" s="34" t="s">
        <v>4337</v>
      </c>
      <c r="O367" s="34" t="s">
        <v>528</v>
      </c>
      <c r="Q367" s="52">
        <f t="shared" si="5"/>
        <v>62</v>
      </c>
    </row>
    <row r="368" spans="1:17" x14ac:dyDescent="0.25">
      <c r="A368" s="34" t="s">
        <v>4212</v>
      </c>
      <c r="B368" s="34" t="s">
        <v>4213</v>
      </c>
      <c r="C368" s="35" t="s">
        <v>4214</v>
      </c>
      <c r="E368" s="50">
        <v>46059</v>
      </c>
      <c r="F368" s="34" t="s">
        <v>4215</v>
      </c>
      <c r="G368" s="34">
        <v>8.7899999999999991</v>
      </c>
      <c r="H368" s="34" t="s">
        <v>227</v>
      </c>
      <c r="I368" s="34" t="s">
        <v>21</v>
      </c>
      <c r="J368" s="34" t="s">
        <v>111</v>
      </c>
      <c r="K368" s="35" t="s">
        <v>239</v>
      </c>
      <c r="L368" s="34">
        <v>6001</v>
      </c>
      <c r="M368" s="34" t="s">
        <v>3836</v>
      </c>
      <c r="N368" s="34" t="s">
        <v>4337</v>
      </c>
      <c r="O368" s="34" t="s">
        <v>545</v>
      </c>
      <c r="Q368" s="52">
        <f t="shared" si="5"/>
        <v>44</v>
      </c>
    </row>
    <row r="369" spans="1:17" x14ac:dyDescent="0.25">
      <c r="A369" s="34" t="s">
        <v>4212</v>
      </c>
      <c r="B369" s="34" t="s">
        <v>4213</v>
      </c>
      <c r="C369" s="35" t="s">
        <v>4214</v>
      </c>
      <c r="E369" s="50">
        <v>46062</v>
      </c>
      <c r="F369" s="34" t="s">
        <v>3593</v>
      </c>
      <c r="G369" s="34">
        <v>53.96</v>
      </c>
      <c r="H369" s="34" t="s">
        <v>227</v>
      </c>
      <c r="I369" s="34" t="s">
        <v>21</v>
      </c>
      <c r="J369" s="34" t="s">
        <v>111</v>
      </c>
      <c r="K369" s="35" t="s">
        <v>239</v>
      </c>
      <c r="L369" s="34">
        <v>6001</v>
      </c>
      <c r="M369" s="34" t="s">
        <v>3836</v>
      </c>
      <c r="N369" s="34" t="s">
        <v>4337</v>
      </c>
      <c r="O369" s="34" t="s">
        <v>545</v>
      </c>
      <c r="Q369" s="52">
        <f t="shared" si="5"/>
        <v>40</v>
      </c>
    </row>
    <row r="370" spans="1:17" x14ac:dyDescent="0.25">
      <c r="A370" s="34" t="s">
        <v>4212</v>
      </c>
      <c r="B370" s="34" t="s">
        <v>4213</v>
      </c>
      <c r="C370" s="35" t="s">
        <v>4214</v>
      </c>
      <c r="E370" s="50">
        <v>46064</v>
      </c>
      <c r="F370" s="34" t="s">
        <v>3593</v>
      </c>
      <c r="G370" s="34">
        <v>49.97</v>
      </c>
      <c r="H370" s="34" t="s">
        <v>227</v>
      </c>
      <c r="I370" s="34" t="s">
        <v>21</v>
      </c>
      <c r="J370" s="34" t="s">
        <v>111</v>
      </c>
      <c r="K370" s="35" t="s">
        <v>239</v>
      </c>
      <c r="L370" s="34">
        <v>6001</v>
      </c>
      <c r="M370" s="34" t="s">
        <v>3836</v>
      </c>
      <c r="N370" s="34" t="s">
        <v>4337</v>
      </c>
      <c r="O370" s="34" t="s">
        <v>545</v>
      </c>
      <c r="Q370" s="52">
        <f t="shared" si="5"/>
        <v>40</v>
      </c>
    </row>
    <row r="371" spans="1:17" x14ac:dyDescent="0.25">
      <c r="A371" s="34" t="s">
        <v>4212</v>
      </c>
      <c r="B371" s="34" t="s">
        <v>4213</v>
      </c>
      <c r="C371" s="35" t="s">
        <v>4214</v>
      </c>
      <c r="E371" s="50">
        <v>46064</v>
      </c>
      <c r="F371" s="34" t="s">
        <v>3593</v>
      </c>
      <c r="G371" s="34">
        <v>7.49</v>
      </c>
      <c r="H371" s="34" t="s">
        <v>227</v>
      </c>
      <c r="I371" s="34" t="s">
        <v>21</v>
      </c>
      <c r="J371" s="34" t="s">
        <v>111</v>
      </c>
      <c r="K371" s="35" t="s">
        <v>239</v>
      </c>
      <c r="L371" s="34">
        <v>6001</v>
      </c>
      <c r="M371" s="34" t="s">
        <v>3836</v>
      </c>
      <c r="N371" s="34" t="s">
        <v>4337</v>
      </c>
      <c r="O371" s="34" t="s">
        <v>545</v>
      </c>
      <c r="Q371" s="52">
        <f t="shared" si="5"/>
        <v>40</v>
      </c>
    </row>
    <row r="372" spans="1:17" x14ac:dyDescent="0.25">
      <c r="A372" s="34" t="s">
        <v>4212</v>
      </c>
      <c r="B372" s="34" t="s">
        <v>4213</v>
      </c>
      <c r="C372" s="35" t="s">
        <v>4214</v>
      </c>
      <c r="E372" s="50">
        <v>46065</v>
      </c>
      <c r="F372" s="34" t="s">
        <v>3593</v>
      </c>
      <c r="G372" s="34">
        <v>71.81</v>
      </c>
      <c r="H372" s="34" t="s">
        <v>227</v>
      </c>
      <c r="I372" s="34" t="s">
        <v>21</v>
      </c>
      <c r="J372" s="34" t="s">
        <v>111</v>
      </c>
      <c r="K372" s="35" t="s">
        <v>239</v>
      </c>
      <c r="L372" s="34">
        <v>6001</v>
      </c>
      <c r="M372" s="34" t="s">
        <v>3836</v>
      </c>
      <c r="N372" s="34" t="s">
        <v>4337</v>
      </c>
      <c r="O372" s="34" t="s">
        <v>545</v>
      </c>
      <c r="Q372" s="52">
        <f t="shared" si="5"/>
        <v>40</v>
      </c>
    </row>
    <row r="373" spans="1:17" x14ac:dyDescent="0.25">
      <c r="A373" s="34" t="s">
        <v>4212</v>
      </c>
      <c r="B373" s="34" t="s">
        <v>4213</v>
      </c>
      <c r="C373" s="35" t="s">
        <v>4214</v>
      </c>
      <c r="E373" s="50">
        <v>46065</v>
      </c>
      <c r="F373" s="34" t="s">
        <v>4215</v>
      </c>
      <c r="G373" s="34">
        <v>7.18</v>
      </c>
      <c r="H373" s="34" t="s">
        <v>227</v>
      </c>
      <c r="I373" s="34" t="s">
        <v>21</v>
      </c>
      <c r="J373" s="34" t="s">
        <v>111</v>
      </c>
      <c r="K373" s="35" t="s">
        <v>239</v>
      </c>
      <c r="L373" s="34">
        <v>6001</v>
      </c>
      <c r="M373" s="34" t="s">
        <v>3836</v>
      </c>
      <c r="N373" s="34" t="s">
        <v>4337</v>
      </c>
      <c r="O373" s="34" t="s">
        <v>545</v>
      </c>
      <c r="Q373" s="52">
        <f t="shared" si="5"/>
        <v>44</v>
      </c>
    </row>
    <row r="374" spans="1:17" x14ac:dyDescent="0.25">
      <c r="A374" s="34" t="s">
        <v>4212</v>
      </c>
      <c r="B374" s="34" t="s">
        <v>4213</v>
      </c>
      <c r="C374" s="35" t="s">
        <v>4214</v>
      </c>
      <c r="E374" s="50">
        <v>46066</v>
      </c>
      <c r="F374" s="34" t="s">
        <v>3593</v>
      </c>
      <c r="G374" s="34">
        <v>44.36</v>
      </c>
      <c r="H374" s="34" t="s">
        <v>227</v>
      </c>
      <c r="I374" s="34" t="s">
        <v>21</v>
      </c>
      <c r="J374" s="34" t="s">
        <v>111</v>
      </c>
      <c r="K374" s="35" t="s">
        <v>239</v>
      </c>
      <c r="L374" s="34">
        <v>6001</v>
      </c>
      <c r="M374" s="34" t="s">
        <v>3836</v>
      </c>
      <c r="N374" s="34" t="s">
        <v>4337</v>
      </c>
      <c r="O374" s="34" t="s">
        <v>545</v>
      </c>
      <c r="Q374" s="52">
        <f t="shared" si="5"/>
        <v>40</v>
      </c>
    </row>
    <row r="375" spans="1:17" x14ac:dyDescent="0.25">
      <c r="A375" s="34" t="s">
        <v>4212</v>
      </c>
      <c r="B375" s="34" t="s">
        <v>4213</v>
      </c>
      <c r="C375" s="35" t="s">
        <v>4214</v>
      </c>
      <c r="E375" s="50">
        <v>46072</v>
      </c>
      <c r="F375" s="34" t="s">
        <v>3593</v>
      </c>
      <c r="G375" s="34">
        <v>43.2</v>
      </c>
      <c r="H375" s="34" t="s">
        <v>227</v>
      </c>
      <c r="I375" s="34" t="s">
        <v>21</v>
      </c>
      <c r="J375" s="34" t="s">
        <v>111</v>
      </c>
      <c r="K375" s="35" t="s">
        <v>239</v>
      </c>
      <c r="L375" s="34">
        <v>6001</v>
      </c>
      <c r="M375" s="34" t="s">
        <v>3836</v>
      </c>
      <c r="N375" s="34" t="s">
        <v>4337</v>
      </c>
      <c r="O375" s="34" t="s">
        <v>545</v>
      </c>
      <c r="Q375" s="52">
        <f t="shared" si="5"/>
        <v>40</v>
      </c>
    </row>
    <row r="376" spans="1:17" x14ac:dyDescent="0.25">
      <c r="A376" s="34" t="s">
        <v>4212</v>
      </c>
      <c r="B376" s="34" t="s">
        <v>4213</v>
      </c>
      <c r="C376" s="35" t="s">
        <v>4214</v>
      </c>
      <c r="E376" s="50">
        <v>46072</v>
      </c>
      <c r="F376" s="34" t="s">
        <v>4215</v>
      </c>
      <c r="G376" s="34">
        <v>8.64</v>
      </c>
      <c r="H376" s="34" t="s">
        <v>227</v>
      </c>
      <c r="I376" s="34" t="s">
        <v>21</v>
      </c>
      <c r="J376" s="34" t="s">
        <v>111</v>
      </c>
      <c r="K376" s="35" t="s">
        <v>239</v>
      </c>
      <c r="L376" s="34">
        <v>6001</v>
      </c>
      <c r="M376" s="34" t="s">
        <v>3836</v>
      </c>
      <c r="N376" s="34" t="s">
        <v>4337</v>
      </c>
      <c r="O376" s="34" t="s">
        <v>545</v>
      </c>
      <c r="Q376" s="52">
        <f t="shared" si="5"/>
        <v>44</v>
      </c>
    </row>
    <row r="377" spans="1:17" x14ac:dyDescent="0.25">
      <c r="A377" s="34" t="s">
        <v>4212</v>
      </c>
      <c r="B377" s="34" t="s">
        <v>4213</v>
      </c>
      <c r="C377" s="35" t="s">
        <v>4214</v>
      </c>
      <c r="E377" s="50">
        <v>46072</v>
      </c>
      <c r="F377" s="34" t="s">
        <v>3593</v>
      </c>
      <c r="G377" s="34">
        <v>58.57</v>
      </c>
      <c r="H377" s="34" t="s">
        <v>227</v>
      </c>
      <c r="I377" s="34" t="s">
        <v>21</v>
      </c>
      <c r="J377" s="34" t="s">
        <v>111</v>
      </c>
      <c r="K377" s="35" t="s">
        <v>239</v>
      </c>
      <c r="L377" s="34">
        <v>6001</v>
      </c>
      <c r="M377" s="34" t="s">
        <v>3836</v>
      </c>
      <c r="N377" s="34" t="s">
        <v>4337</v>
      </c>
      <c r="O377" s="34" t="s">
        <v>545</v>
      </c>
      <c r="Q377" s="52">
        <f t="shared" si="5"/>
        <v>40</v>
      </c>
    </row>
    <row r="378" spans="1:17" x14ac:dyDescent="0.25">
      <c r="A378" s="34" t="s">
        <v>4212</v>
      </c>
      <c r="B378" s="34" t="s">
        <v>4213</v>
      </c>
      <c r="C378" s="35" t="s">
        <v>4214</v>
      </c>
      <c r="E378" s="50">
        <v>46073</v>
      </c>
      <c r="F378" s="34" t="s">
        <v>4216</v>
      </c>
      <c r="G378" s="34">
        <v>166.35</v>
      </c>
      <c r="H378" s="34" t="s">
        <v>227</v>
      </c>
      <c r="I378" s="34" t="s">
        <v>21</v>
      </c>
      <c r="J378" s="34" t="s">
        <v>111</v>
      </c>
      <c r="K378" s="35" t="s">
        <v>239</v>
      </c>
      <c r="L378" s="34">
        <v>1035</v>
      </c>
      <c r="M378" s="34" t="s">
        <v>3836</v>
      </c>
      <c r="N378" s="34" t="s">
        <v>4337</v>
      </c>
      <c r="O378" s="34" t="s">
        <v>545</v>
      </c>
      <c r="Q378" s="52">
        <f t="shared" si="5"/>
        <v>43</v>
      </c>
    </row>
    <row r="379" spans="1:17" x14ac:dyDescent="0.25">
      <c r="A379" s="34" t="s">
        <v>4212</v>
      </c>
      <c r="B379" s="34" t="s">
        <v>4213</v>
      </c>
      <c r="C379" s="35" t="s">
        <v>4214</v>
      </c>
      <c r="E379" s="50">
        <v>46079</v>
      </c>
      <c r="F379" s="34" t="s">
        <v>4217</v>
      </c>
      <c r="G379" s="34">
        <v>84.35</v>
      </c>
      <c r="H379" s="34" t="s">
        <v>227</v>
      </c>
      <c r="I379" s="34" t="s">
        <v>21</v>
      </c>
      <c r="J379" s="34" t="s">
        <v>111</v>
      </c>
      <c r="K379" s="35" t="s">
        <v>239</v>
      </c>
      <c r="L379" s="34">
        <v>1035</v>
      </c>
      <c r="M379" s="34" t="s">
        <v>3836</v>
      </c>
      <c r="N379" s="34" t="s">
        <v>4337</v>
      </c>
      <c r="O379" s="34" t="s">
        <v>545</v>
      </c>
      <c r="Q379" s="52">
        <f t="shared" si="5"/>
        <v>42</v>
      </c>
    </row>
    <row r="380" spans="1:17" x14ac:dyDescent="0.25">
      <c r="A380" s="34" t="s">
        <v>4212</v>
      </c>
      <c r="B380" s="34" t="s">
        <v>4213</v>
      </c>
      <c r="C380" s="35" t="s">
        <v>4214</v>
      </c>
      <c r="E380" s="50">
        <v>46084</v>
      </c>
      <c r="F380" s="34" t="s">
        <v>3593</v>
      </c>
      <c r="G380" s="34">
        <v>39.049999999999997</v>
      </c>
      <c r="H380" s="34" t="s">
        <v>227</v>
      </c>
      <c r="I380" s="34" t="s">
        <v>21</v>
      </c>
      <c r="J380" s="34" t="s">
        <v>111</v>
      </c>
      <c r="K380" s="35" t="s">
        <v>239</v>
      </c>
      <c r="L380" s="34">
        <v>6001</v>
      </c>
      <c r="M380" s="34" t="s">
        <v>3836</v>
      </c>
      <c r="N380" s="34" t="s">
        <v>4337</v>
      </c>
      <c r="O380" s="34" t="s">
        <v>545</v>
      </c>
      <c r="Q380" s="52">
        <f t="shared" si="5"/>
        <v>40</v>
      </c>
    </row>
    <row r="381" spans="1:17" x14ac:dyDescent="0.25">
      <c r="A381" s="34" t="s">
        <v>4212</v>
      </c>
      <c r="B381" s="34" t="s">
        <v>4213</v>
      </c>
      <c r="C381" s="35" t="s">
        <v>4214</v>
      </c>
      <c r="E381" s="50">
        <v>46084</v>
      </c>
      <c r="F381" s="34" t="s">
        <v>4215</v>
      </c>
      <c r="G381" s="34">
        <v>7.81</v>
      </c>
      <c r="H381" s="34" t="s">
        <v>227</v>
      </c>
      <c r="I381" s="34" t="s">
        <v>21</v>
      </c>
      <c r="J381" s="34" t="s">
        <v>111</v>
      </c>
      <c r="K381" s="35" t="s">
        <v>239</v>
      </c>
      <c r="L381" s="34">
        <v>6001</v>
      </c>
      <c r="M381" s="34" t="s">
        <v>3836</v>
      </c>
      <c r="N381" s="34" t="s">
        <v>4337</v>
      </c>
      <c r="O381" s="34" t="s">
        <v>545</v>
      </c>
      <c r="Q381" s="52">
        <f t="shared" si="5"/>
        <v>44</v>
      </c>
    </row>
    <row r="382" spans="1:17" x14ac:dyDescent="0.25">
      <c r="A382" s="34" t="s">
        <v>4212</v>
      </c>
      <c r="B382" s="34" t="s">
        <v>4213</v>
      </c>
      <c r="C382" s="35" t="s">
        <v>4214</v>
      </c>
      <c r="E382" s="50">
        <v>46084</v>
      </c>
      <c r="F382" s="34" t="s">
        <v>3593</v>
      </c>
      <c r="G382" s="34">
        <v>67.209999999999994</v>
      </c>
      <c r="H382" s="34" t="s">
        <v>227</v>
      </c>
      <c r="I382" s="34" t="s">
        <v>21</v>
      </c>
      <c r="J382" s="34" t="s">
        <v>111</v>
      </c>
      <c r="K382" s="35" t="s">
        <v>239</v>
      </c>
      <c r="L382" s="34">
        <v>6001</v>
      </c>
      <c r="M382" s="34" t="s">
        <v>3836</v>
      </c>
      <c r="N382" s="34" t="s">
        <v>4337</v>
      </c>
      <c r="O382" s="34" t="s">
        <v>545</v>
      </c>
      <c r="Q382" s="52">
        <f t="shared" si="5"/>
        <v>40</v>
      </c>
    </row>
    <row r="383" spans="1:17" x14ac:dyDescent="0.25">
      <c r="A383" s="34" t="s">
        <v>4212</v>
      </c>
      <c r="B383" s="34" t="s">
        <v>4213</v>
      </c>
      <c r="C383" s="35" t="s">
        <v>4214</v>
      </c>
      <c r="E383" s="50">
        <v>46085</v>
      </c>
      <c r="F383" s="34" t="s">
        <v>3593</v>
      </c>
      <c r="G383" s="34">
        <v>62.01</v>
      </c>
      <c r="H383" s="34" t="s">
        <v>227</v>
      </c>
      <c r="I383" s="34" t="s">
        <v>21</v>
      </c>
      <c r="J383" s="34" t="s">
        <v>111</v>
      </c>
      <c r="K383" s="35" t="s">
        <v>239</v>
      </c>
      <c r="L383" s="34">
        <v>6001</v>
      </c>
      <c r="M383" s="34" t="s">
        <v>3836</v>
      </c>
      <c r="N383" s="34" t="s">
        <v>4337</v>
      </c>
      <c r="O383" s="34" t="s">
        <v>545</v>
      </c>
      <c r="Q383" s="52">
        <f t="shared" si="5"/>
        <v>40</v>
      </c>
    </row>
    <row r="384" spans="1:17" x14ac:dyDescent="0.25">
      <c r="A384" s="34" t="s">
        <v>4212</v>
      </c>
      <c r="B384" s="34" t="s">
        <v>4213</v>
      </c>
      <c r="C384" s="35" t="s">
        <v>4214</v>
      </c>
      <c r="E384" s="50">
        <v>46079</v>
      </c>
      <c r="F384" s="34" t="s">
        <v>4198</v>
      </c>
      <c r="G384" s="34">
        <v>16.170000000000002</v>
      </c>
      <c r="H384" s="34" t="s">
        <v>227</v>
      </c>
      <c r="I384" s="34" t="s">
        <v>16</v>
      </c>
      <c r="J384" s="34" t="s">
        <v>4218</v>
      </c>
      <c r="K384" s="35" t="s">
        <v>4451</v>
      </c>
      <c r="L384" s="34">
        <v>1035</v>
      </c>
      <c r="M384" s="34" t="s">
        <v>3836</v>
      </c>
      <c r="N384" s="34" t="s">
        <v>4337</v>
      </c>
      <c r="O384" s="34" t="s">
        <v>545</v>
      </c>
      <c r="Q384" s="52">
        <f t="shared" si="5"/>
        <v>53</v>
      </c>
    </row>
    <row r="385" spans="1:17" x14ac:dyDescent="0.25">
      <c r="A385" s="34" t="s">
        <v>4212</v>
      </c>
      <c r="B385" s="34" t="s">
        <v>4213</v>
      </c>
      <c r="C385" s="35" t="s">
        <v>4214</v>
      </c>
      <c r="E385" s="50">
        <v>46073</v>
      </c>
      <c r="F385" s="34" t="s">
        <v>4198</v>
      </c>
      <c r="G385" s="34">
        <v>22.65</v>
      </c>
      <c r="H385" s="34" t="s">
        <v>227</v>
      </c>
      <c r="I385" s="34" t="s">
        <v>16</v>
      </c>
      <c r="J385" s="34" t="s">
        <v>4219</v>
      </c>
      <c r="K385" s="35" t="s">
        <v>1053</v>
      </c>
      <c r="L385" s="34">
        <v>1035</v>
      </c>
      <c r="M385" s="34" t="s">
        <v>3836</v>
      </c>
      <c r="N385" s="34" t="s">
        <v>4337</v>
      </c>
      <c r="O385" s="34" t="s">
        <v>545</v>
      </c>
      <c r="Q385" s="52">
        <f t="shared" si="5"/>
        <v>52</v>
      </c>
    </row>
    <row r="386" spans="1:17" x14ac:dyDescent="0.25">
      <c r="A386" s="34" t="s">
        <v>4212</v>
      </c>
      <c r="B386" s="34" t="s">
        <v>4213</v>
      </c>
      <c r="C386" s="35" t="s">
        <v>4214</v>
      </c>
      <c r="E386" s="50">
        <v>46059</v>
      </c>
      <c r="F386" s="34" t="s">
        <v>3593</v>
      </c>
      <c r="G386" s="34">
        <v>43.99</v>
      </c>
      <c r="H386" s="34" t="s">
        <v>227</v>
      </c>
      <c r="I386" s="34" t="s">
        <v>21</v>
      </c>
      <c r="J386" s="34" t="s">
        <v>111</v>
      </c>
      <c r="K386" s="35" t="s">
        <v>239</v>
      </c>
      <c r="L386" s="34">
        <v>6001</v>
      </c>
      <c r="M386" s="34" t="s">
        <v>3836</v>
      </c>
      <c r="N386" s="34" t="s">
        <v>4337</v>
      </c>
      <c r="O386" s="34" t="s">
        <v>545</v>
      </c>
      <c r="Q386" s="52">
        <f t="shared" si="5"/>
        <v>40</v>
      </c>
    </row>
    <row r="387" spans="1:17" x14ac:dyDescent="0.25">
      <c r="A387" s="34" t="s">
        <v>4212</v>
      </c>
      <c r="B387" s="34" t="s">
        <v>4213</v>
      </c>
      <c r="C387" s="35" t="s">
        <v>4214</v>
      </c>
      <c r="E387" s="50">
        <v>46079</v>
      </c>
      <c r="F387" s="34" t="s">
        <v>3921</v>
      </c>
      <c r="G387" s="34">
        <v>10</v>
      </c>
      <c r="H387" s="34" t="s">
        <v>227</v>
      </c>
      <c r="I387" s="34" t="s">
        <v>3594</v>
      </c>
      <c r="J387" s="34" t="s">
        <v>93</v>
      </c>
      <c r="K387" s="35" t="s">
        <v>29</v>
      </c>
      <c r="L387" s="34">
        <v>6001</v>
      </c>
      <c r="M387" s="34" t="s">
        <v>3836</v>
      </c>
      <c r="N387" s="34" t="s">
        <v>4337</v>
      </c>
      <c r="O387" s="34" t="s">
        <v>545</v>
      </c>
      <c r="Q387" s="52">
        <f t="shared" ref="Q387:Q450" si="6">LEN(F387&amp;K387)+12</f>
        <v>31</v>
      </c>
    </row>
    <row r="388" spans="1:17" x14ac:dyDescent="0.25">
      <c r="A388" s="34" t="s">
        <v>4212</v>
      </c>
      <c r="B388" s="34" t="s">
        <v>4213</v>
      </c>
      <c r="C388" s="35" t="s">
        <v>4214</v>
      </c>
      <c r="E388" s="50">
        <v>46079</v>
      </c>
      <c r="F388" s="34" t="s">
        <v>3921</v>
      </c>
      <c r="G388" s="34">
        <v>8</v>
      </c>
      <c r="H388" s="34" t="s">
        <v>227</v>
      </c>
      <c r="I388" s="34" t="s">
        <v>3594</v>
      </c>
      <c r="J388" s="34" t="s">
        <v>93</v>
      </c>
      <c r="K388" s="35" t="s">
        <v>29</v>
      </c>
      <c r="L388" s="34">
        <v>6001</v>
      </c>
      <c r="M388" s="34" t="s">
        <v>3836</v>
      </c>
      <c r="N388" s="34" t="s">
        <v>4337</v>
      </c>
      <c r="O388" s="34" t="s">
        <v>545</v>
      </c>
      <c r="Q388" s="52">
        <f t="shared" si="6"/>
        <v>31</v>
      </c>
    </row>
    <row r="389" spans="1:17" x14ac:dyDescent="0.25">
      <c r="A389" s="34" t="s">
        <v>4212</v>
      </c>
      <c r="B389" s="34" t="s">
        <v>4213</v>
      </c>
      <c r="C389" s="35" t="s">
        <v>4214</v>
      </c>
      <c r="E389" s="50">
        <v>46059</v>
      </c>
      <c r="F389" s="34" t="s">
        <v>4220</v>
      </c>
      <c r="G389" s="34">
        <v>8.99</v>
      </c>
      <c r="H389" s="34" t="s">
        <v>227</v>
      </c>
      <c r="I389" s="34" t="s">
        <v>4093</v>
      </c>
      <c r="J389" s="34" t="s">
        <v>4221</v>
      </c>
      <c r="K389" s="35" t="s">
        <v>4352</v>
      </c>
      <c r="L389" s="34">
        <v>6487</v>
      </c>
      <c r="M389" s="34" t="s">
        <v>3836</v>
      </c>
      <c r="N389" s="34" t="s">
        <v>4337</v>
      </c>
      <c r="O389" s="34" t="s">
        <v>545</v>
      </c>
      <c r="Q389" s="53">
        <f t="shared" si="6"/>
        <v>85</v>
      </c>
    </row>
    <row r="390" spans="1:17" x14ac:dyDescent="0.25">
      <c r="A390" s="34" t="s">
        <v>4222</v>
      </c>
      <c r="B390" s="34" t="s">
        <v>4223</v>
      </c>
      <c r="C390" s="35" t="s">
        <v>4224</v>
      </c>
      <c r="E390" s="50">
        <v>46083</v>
      </c>
      <c r="F390" s="34" t="s">
        <v>4225</v>
      </c>
      <c r="G390" s="34">
        <v>1799.72</v>
      </c>
      <c r="H390" s="34" t="s">
        <v>227</v>
      </c>
      <c r="I390" s="34" t="s">
        <v>3594</v>
      </c>
      <c r="J390" s="34" t="s">
        <v>32</v>
      </c>
      <c r="K390" s="35" t="s">
        <v>29</v>
      </c>
      <c r="L390" s="34">
        <v>1016</v>
      </c>
      <c r="M390" s="34" t="s">
        <v>4137</v>
      </c>
      <c r="N390" s="34" t="s">
        <v>4337</v>
      </c>
      <c r="O390" s="34" t="s">
        <v>419</v>
      </c>
      <c r="Q390" s="52">
        <f t="shared" si="6"/>
        <v>48</v>
      </c>
    </row>
    <row r="391" spans="1:17" x14ac:dyDescent="0.25">
      <c r="A391" s="34" t="s">
        <v>4222</v>
      </c>
      <c r="B391" s="34" t="s">
        <v>4223</v>
      </c>
      <c r="C391" s="35" t="s">
        <v>4224</v>
      </c>
      <c r="E391" s="50">
        <v>46083</v>
      </c>
      <c r="F391" s="34" t="s">
        <v>4226</v>
      </c>
      <c r="G391" s="34">
        <v>30</v>
      </c>
      <c r="H391" s="34" t="s">
        <v>227</v>
      </c>
      <c r="I391" s="34" t="s">
        <v>3843</v>
      </c>
      <c r="J391" s="34" t="s">
        <v>30</v>
      </c>
      <c r="K391" s="35" t="s">
        <v>790</v>
      </c>
      <c r="L391" s="34">
        <v>1016</v>
      </c>
      <c r="M391" s="34" t="s">
        <v>4137</v>
      </c>
      <c r="N391" s="34" t="s">
        <v>4337</v>
      </c>
      <c r="O391" s="34" t="s">
        <v>419</v>
      </c>
      <c r="Q391" s="52">
        <f t="shared" si="6"/>
        <v>56</v>
      </c>
    </row>
    <row r="392" spans="1:17" x14ac:dyDescent="0.25">
      <c r="A392" s="34" t="s">
        <v>4222</v>
      </c>
      <c r="B392" s="34" t="s">
        <v>4223</v>
      </c>
      <c r="C392" s="35" t="s">
        <v>4224</v>
      </c>
      <c r="E392" s="50">
        <v>46072</v>
      </c>
      <c r="F392" s="34" t="s">
        <v>4227</v>
      </c>
      <c r="G392" s="34">
        <v>63.98</v>
      </c>
      <c r="H392" s="34" t="s">
        <v>227</v>
      </c>
      <c r="I392" s="34" t="s">
        <v>21</v>
      </c>
      <c r="J392" s="34" t="s">
        <v>111</v>
      </c>
      <c r="K392" s="35" t="s">
        <v>239</v>
      </c>
      <c r="L392" s="34">
        <v>2106</v>
      </c>
      <c r="M392" s="34" t="s">
        <v>4137</v>
      </c>
      <c r="N392" s="34" t="s">
        <v>4337</v>
      </c>
      <c r="O392" s="34" t="s">
        <v>419</v>
      </c>
      <c r="Q392" s="52">
        <f t="shared" si="6"/>
        <v>52</v>
      </c>
    </row>
    <row r="393" spans="1:17" x14ac:dyDescent="0.25">
      <c r="A393" s="34" t="s">
        <v>4222</v>
      </c>
      <c r="B393" s="34" t="s">
        <v>4223</v>
      </c>
      <c r="C393" s="35" t="s">
        <v>4224</v>
      </c>
      <c r="E393" s="50">
        <v>46072</v>
      </c>
      <c r="F393" s="34" t="s">
        <v>4787</v>
      </c>
      <c r="G393" s="34">
        <v>40.26</v>
      </c>
      <c r="H393" s="34" t="s">
        <v>227</v>
      </c>
      <c r="I393" s="34" t="s">
        <v>21</v>
      </c>
      <c r="J393" s="34" t="s">
        <v>111</v>
      </c>
      <c r="K393" s="35" t="s">
        <v>239</v>
      </c>
      <c r="L393" s="34">
        <v>2106</v>
      </c>
      <c r="M393" s="34" t="s">
        <v>4137</v>
      </c>
      <c r="N393" s="34" t="s">
        <v>4337</v>
      </c>
      <c r="O393" s="34" t="s">
        <v>419</v>
      </c>
      <c r="Q393" s="52">
        <f t="shared" si="6"/>
        <v>48</v>
      </c>
    </row>
    <row r="394" spans="1:17" x14ac:dyDescent="0.25">
      <c r="A394" s="34" t="s">
        <v>4222</v>
      </c>
      <c r="B394" s="34" t="s">
        <v>4223</v>
      </c>
      <c r="C394" s="35" t="s">
        <v>4224</v>
      </c>
      <c r="E394" s="50">
        <v>46071</v>
      </c>
      <c r="F394" s="34" t="s">
        <v>4229</v>
      </c>
      <c r="G394" s="34">
        <v>23.44</v>
      </c>
      <c r="H394" s="34" t="s">
        <v>227</v>
      </c>
      <c r="I394" s="34" t="s">
        <v>16</v>
      </c>
      <c r="J394" s="34" t="s">
        <v>4230</v>
      </c>
      <c r="K394" s="35" t="s">
        <v>2835</v>
      </c>
      <c r="L394" s="34">
        <v>2106</v>
      </c>
      <c r="M394" s="34" t="s">
        <v>4137</v>
      </c>
      <c r="N394" s="34" t="s">
        <v>4337</v>
      </c>
      <c r="O394" s="34" t="s">
        <v>419</v>
      </c>
      <c r="Q394" s="52">
        <f t="shared" si="6"/>
        <v>52</v>
      </c>
    </row>
    <row r="395" spans="1:17" x14ac:dyDescent="0.25">
      <c r="A395" s="34" t="s">
        <v>4222</v>
      </c>
      <c r="B395" s="34" t="s">
        <v>4223</v>
      </c>
      <c r="C395" s="35" t="s">
        <v>4224</v>
      </c>
      <c r="E395" s="50">
        <v>46071</v>
      </c>
      <c r="F395" s="34" t="s">
        <v>4229</v>
      </c>
      <c r="G395" s="34">
        <v>55.58</v>
      </c>
      <c r="H395" s="34" t="s">
        <v>227</v>
      </c>
      <c r="I395" s="34" t="s">
        <v>16</v>
      </c>
      <c r="J395" s="34" t="s">
        <v>4231</v>
      </c>
      <c r="K395" s="35" t="s">
        <v>4418</v>
      </c>
      <c r="L395" s="34">
        <v>2106</v>
      </c>
      <c r="M395" s="34" t="s">
        <v>4137</v>
      </c>
      <c r="N395" s="34" t="s">
        <v>4337</v>
      </c>
      <c r="O395" s="34" t="s">
        <v>419</v>
      </c>
      <c r="Q395" s="52">
        <f t="shared" si="6"/>
        <v>53</v>
      </c>
    </row>
    <row r="396" spans="1:17" x14ac:dyDescent="0.25">
      <c r="A396" s="34" t="s">
        <v>4222</v>
      </c>
      <c r="B396" s="34" t="s">
        <v>4223</v>
      </c>
      <c r="C396" s="35" t="s">
        <v>4224</v>
      </c>
      <c r="E396" s="50">
        <v>46070</v>
      </c>
      <c r="F396" s="34" t="s">
        <v>4232</v>
      </c>
      <c r="G396" s="34">
        <v>29.98</v>
      </c>
      <c r="H396" s="34" t="s">
        <v>227</v>
      </c>
      <c r="I396" s="34" t="s">
        <v>21</v>
      </c>
      <c r="J396" s="34" t="s">
        <v>111</v>
      </c>
      <c r="K396" s="35" t="s">
        <v>239</v>
      </c>
      <c r="L396" s="34">
        <v>2106</v>
      </c>
      <c r="M396" s="34" t="s">
        <v>4137</v>
      </c>
      <c r="N396" s="34" t="s">
        <v>4337</v>
      </c>
      <c r="O396" s="34" t="s">
        <v>419</v>
      </c>
      <c r="Q396" s="52">
        <f t="shared" si="6"/>
        <v>54</v>
      </c>
    </row>
    <row r="397" spans="1:17" x14ac:dyDescent="0.25">
      <c r="A397" s="34" t="s">
        <v>4222</v>
      </c>
      <c r="B397" s="34" t="s">
        <v>4223</v>
      </c>
      <c r="C397" s="35" t="s">
        <v>4224</v>
      </c>
      <c r="E397" s="50">
        <v>46070</v>
      </c>
      <c r="F397" s="34" t="s">
        <v>4233</v>
      </c>
      <c r="G397" s="34">
        <v>44.97</v>
      </c>
      <c r="H397" s="34" t="s">
        <v>227</v>
      </c>
      <c r="I397" s="34" t="s">
        <v>21</v>
      </c>
      <c r="J397" s="34" t="s">
        <v>111</v>
      </c>
      <c r="K397" s="35" t="s">
        <v>239</v>
      </c>
      <c r="L397" s="34">
        <v>2106</v>
      </c>
      <c r="M397" s="34" t="s">
        <v>4137</v>
      </c>
      <c r="N397" s="34" t="s">
        <v>4337</v>
      </c>
      <c r="O397" s="34" t="s">
        <v>419</v>
      </c>
      <c r="Q397" s="52">
        <f t="shared" si="6"/>
        <v>70</v>
      </c>
    </row>
    <row r="398" spans="1:17" x14ac:dyDescent="0.25">
      <c r="A398" s="34" t="s">
        <v>4222</v>
      </c>
      <c r="B398" s="34" t="s">
        <v>4223</v>
      </c>
      <c r="C398" s="35" t="s">
        <v>4224</v>
      </c>
      <c r="E398" s="50">
        <v>46070</v>
      </c>
      <c r="F398" s="34" t="s">
        <v>4234</v>
      </c>
      <c r="G398" s="34">
        <v>50.99</v>
      </c>
      <c r="H398" s="34" t="s">
        <v>227</v>
      </c>
      <c r="I398" s="34" t="s">
        <v>21</v>
      </c>
      <c r="J398" s="34" t="s">
        <v>111</v>
      </c>
      <c r="K398" s="35" t="s">
        <v>239</v>
      </c>
      <c r="L398" s="34">
        <v>2106</v>
      </c>
      <c r="M398" s="34" t="s">
        <v>4137</v>
      </c>
      <c r="N398" s="34" t="s">
        <v>4337</v>
      </c>
      <c r="O398" s="34" t="s">
        <v>419</v>
      </c>
      <c r="Q398" s="52">
        <f t="shared" si="6"/>
        <v>45</v>
      </c>
    </row>
    <row r="399" spans="1:17" x14ac:dyDescent="0.25">
      <c r="A399" s="34" t="s">
        <v>4222</v>
      </c>
      <c r="B399" s="34" t="s">
        <v>4223</v>
      </c>
      <c r="C399" s="35" t="s">
        <v>4224</v>
      </c>
      <c r="E399" s="50">
        <v>46065</v>
      </c>
      <c r="F399" s="34" t="s">
        <v>4235</v>
      </c>
      <c r="G399" s="34">
        <v>138</v>
      </c>
      <c r="H399" s="34" t="s">
        <v>227</v>
      </c>
      <c r="I399" s="34" t="s">
        <v>3594</v>
      </c>
      <c r="J399" s="34" t="s">
        <v>32</v>
      </c>
      <c r="K399" s="35" t="s">
        <v>29</v>
      </c>
      <c r="L399" s="34">
        <v>2106</v>
      </c>
      <c r="M399" s="34" t="s">
        <v>4137</v>
      </c>
      <c r="N399" s="34" t="s">
        <v>4337</v>
      </c>
      <c r="O399" s="34" t="s">
        <v>419</v>
      </c>
      <c r="Q399" s="52">
        <f t="shared" si="6"/>
        <v>42</v>
      </c>
    </row>
    <row r="400" spans="1:17" x14ac:dyDescent="0.25">
      <c r="A400" s="34" t="s">
        <v>4222</v>
      </c>
      <c r="B400" s="34" t="s">
        <v>4223</v>
      </c>
      <c r="C400" s="35" t="s">
        <v>4224</v>
      </c>
      <c r="E400" s="50">
        <v>46065</v>
      </c>
      <c r="F400" s="34" t="s">
        <v>4236</v>
      </c>
      <c r="G400" s="34">
        <v>30</v>
      </c>
      <c r="H400" s="34" t="s">
        <v>227</v>
      </c>
      <c r="I400" s="34" t="s">
        <v>3843</v>
      </c>
      <c r="J400" s="34" t="s">
        <v>30</v>
      </c>
      <c r="K400" s="35" t="s">
        <v>790</v>
      </c>
      <c r="L400" s="34">
        <v>2106</v>
      </c>
      <c r="M400" s="34" t="s">
        <v>4137</v>
      </c>
      <c r="N400" s="34" t="s">
        <v>4337</v>
      </c>
      <c r="O400" s="34" t="s">
        <v>419</v>
      </c>
      <c r="Q400" s="52">
        <f t="shared" si="6"/>
        <v>50</v>
      </c>
    </row>
    <row r="401" spans="1:17" x14ac:dyDescent="0.25">
      <c r="A401" s="34" t="s">
        <v>4222</v>
      </c>
      <c r="B401" s="34" t="s">
        <v>4223</v>
      </c>
      <c r="C401" s="35" t="s">
        <v>4224</v>
      </c>
      <c r="E401" s="50">
        <v>46059</v>
      </c>
      <c r="F401" s="34" t="s">
        <v>4235</v>
      </c>
      <c r="G401" s="34">
        <v>556.36</v>
      </c>
      <c r="H401" s="34" t="s">
        <v>227</v>
      </c>
      <c r="I401" s="34" t="s">
        <v>3594</v>
      </c>
      <c r="J401" s="34" t="s">
        <v>32</v>
      </c>
      <c r="K401" s="35" t="s">
        <v>29</v>
      </c>
      <c r="L401" s="34">
        <v>2106</v>
      </c>
      <c r="M401" s="34" t="s">
        <v>4137</v>
      </c>
      <c r="N401" s="34" t="s">
        <v>4337</v>
      </c>
      <c r="O401" s="34" t="s">
        <v>419</v>
      </c>
      <c r="Q401" s="52">
        <f t="shared" si="6"/>
        <v>42</v>
      </c>
    </row>
    <row r="402" spans="1:17" x14ac:dyDescent="0.25">
      <c r="A402" s="34" t="s">
        <v>4222</v>
      </c>
      <c r="B402" s="34" t="s">
        <v>4223</v>
      </c>
      <c r="C402" s="35" t="s">
        <v>4224</v>
      </c>
      <c r="E402" s="50">
        <v>46059</v>
      </c>
      <c r="F402" s="34" t="s">
        <v>4236</v>
      </c>
      <c r="G402" s="34">
        <v>30</v>
      </c>
      <c r="H402" s="34" t="s">
        <v>227</v>
      </c>
      <c r="I402" s="34" t="s">
        <v>3843</v>
      </c>
      <c r="J402" s="34" t="s">
        <v>30</v>
      </c>
      <c r="K402" s="35" t="s">
        <v>790</v>
      </c>
      <c r="L402" s="34">
        <v>2106</v>
      </c>
      <c r="M402" s="34" t="s">
        <v>4137</v>
      </c>
      <c r="N402" s="34" t="s">
        <v>4337</v>
      </c>
      <c r="O402" s="34" t="s">
        <v>419</v>
      </c>
      <c r="Q402" s="52">
        <f t="shared" si="6"/>
        <v>50</v>
      </c>
    </row>
    <row r="403" spans="1:17" x14ac:dyDescent="0.25">
      <c r="A403" s="34" t="s">
        <v>4222</v>
      </c>
      <c r="B403" s="34" t="s">
        <v>4223</v>
      </c>
      <c r="C403" s="35" t="s">
        <v>4224</v>
      </c>
      <c r="E403" s="50">
        <v>46059</v>
      </c>
      <c r="F403" s="34" t="s">
        <v>4237</v>
      </c>
      <c r="G403" s="34">
        <v>259</v>
      </c>
      <c r="H403" s="34" t="s">
        <v>227</v>
      </c>
      <c r="I403" s="34" t="s">
        <v>3843</v>
      </c>
      <c r="J403" s="34" t="s">
        <v>120</v>
      </c>
      <c r="K403" s="35" t="s">
        <v>604</v>
      </c>
      <c r="L403" s="34">
        <v>2106</v>
      </c>
      <c r="M403" s="34" t="s">
        <v>4137</v>
      </c>
      <c r="N403" s="34" t="s">
        <v>4337</v>
      </c>
      <c r="O403" s="34" t="s">
        <v>419</v>
      </c>
      <c r="Q403" s="52">
        <f t="shared" si="6"/>
        <v>46</v>
      </c>
    </row>
    <row r="404" spans="1:17" x14ac:dyDescent="0.25">
      <c r="A404" s="34" t="s">
        <v>4222</v>
      </c>
      <c r="B404" s="34" t="s">
        <v>4223</v>
      </c>
      <c r="C404" s="35" t="s">
        <v>4224</v>
      </c>
      <c r="E404" s="50">
        <v>46059</v>
      </c>
      <c r="F404" s="34" t="s">
        <v>4238</v>
      </c>
      <c r="G404" s="34">
        <v>30</v>
      </c>
      <c r="H404" s="34" t="s">
        <v>227</v>
      </c>
      <c r="I404" s="34" t="s">
        <v>3843</v>
      </c>
      <c r="J404" s="34" t="s">
        <v>30</v>
      </c>
      <c r="K404" s="35" t="s">
        <v>790</v>
      </c>
      <c r="L404" s="34">
        <v>2106</v>
      </c>
      <c r="M404" s="34" t="s">
        <v>4137</v>
      </c>
      <c r="N404" s="34" t="s">
        <v>4337</v>
      </c>
      <c r="O404" s="34" t="s">
        <v>419</v>
      </c>
      <c r="Q404" s="52">
        <f t="shared" si="6"/>
        <v>54</v>
      </c>
    </row>
    <row r="405" spans="1:17" x14ac:dyDescent="0.25">
      <c r="A405" s="34" t="s">
        <v>4222</v>
      </c>
      <c r="B405" s="34" t="s">
        <v>4223</v>
      </c>
      <c r="C405" s="35" t="s">
        <v>4224</v>
      </c>
      <c r="E405" s="50">
        <v>46057</v>
      </c>
      <c r="F405" s="34" t="s">
        <v>4239</v>
      </c>
      <c r="G405" s="34">
        <v>143.97999999999999</v>
      </c>
      <c r="H405" s="34" t="s">
        <v>227</v>
      </c>
      <c r="I405" s="34" t="s">
        <v>21</v>
      </c>
      <c r="J405" s="34" t="s">
        <v>111</v>
      </c>
      <c r="K405" s="35" t="s">
        <v>239</v>
      </c>
      <c r="L405" s="34">
        <v>1016</v>
      </c>
      <c r="M405" s="34" t="s">
        <v>4137</v>
      </c>
      <c r="N405" s="34" t="s">
        <v>4337</v>
      </c>
      <c r="O405" s="34" t="s">
        <v>419</v>
      </c>
      <c r="Q405" s="52">
        <f t="shared" si="6"/>
        <v>59</v>
      </c>
    </row>
    <row r="406" spans="1:17" x14ac:dyDescent="0.25">
      <c r="A406" s="34" t="s">
        <v>4222</v>
      </c>
      <c r="B406" s="34" t="s">
        <v>4223</v>
      </c>
      <c r="C406" s="35" t="s">
        <v>4224</v>
      </c>
      <c r="E406" s="50">
        <v>46057</v>
      </c>
      <c r="F406" s="34" t="s">
        <v>4240</v>
      </c>
      <c r="G406" s="34">
        <v>8</v>
      </c>
      <c r="H406" s="34" t="s">
        <v>227</v>
      </c>
      <c r="I406" s="34" t="s">
        <v>3594</v>
      </c>
      <c r="J406" s="34" t="s">
        <v>93</v>
      </c>
      <c r="K406" s="35" t="s">
        <v>29</v>
      </c>
      <c r="L406" s="34">
        <v>1016</v>
      </c>
      <c r="M406" s="34" t="s">
        <v>4137</v>
      </c>
      <c r="N406" s="34" t="s">
        <v>4337</v>
      </c>
      <c r="O406" s="34" t="s">
        <v>419</v>
      </c>
      <c r="Q406" s="52">
        <f t="shared" si="6"/>
        <v>61</v>
      </c>
    </row>
    <row r="407" spans="1:17" x14ac:dyDescent="0.25">
      <c r="A407" s="34" t="s">
        <v>4222</v>
      </c>
      <c r="B407" s="34" t="s">
        <v>4223</v>
      </c>
      <c r="C407" s="35" t="s">
        <v>4224</v>
      </c>
      <c r="E407" s="50">
        <v>46057</v>
      </c>
      <c r="F407" s="34" t="s">
        <v>4241</v>
      </c>
      <c r="G407" s="34">
        <v>1082.6600000000001</v>
      </c>
      <c r="H407" s="34" t="s">
        <v>227</v>
      </c>
      <c r="I407" s="34" t="s">
        <v>3864</v>
      </c>
      <c r="J407" s="34" t="s">
        <v>3612</v>
      </c>
      <c r="K407" s="35" t="s">
        <v>3618</v>
      </c>
      <c r="L407" s="34">
        <v>1016</v>
      </c>
      <c r="M407" s="34" t="s">
        <v>4137</v>
      </c>
      <c r="N407" s="34" t="s">
        <v>4337</v>
      </c>
      <c r="O407" s="34" t="s">
        <v>419</v>
      </c>
      <c r="Q407" s="52">
        <f t="shared" si="6"/>
        <v>66</v>
      </c>
    </row>
    <row r="408" spans="1:17" x14ac:dyDescent="0.25">
      <c r="A408" s="34" t="s">
        <v>4242</v>
      </c>
      <c r="B408" s="34" t="s">
        <v>4243</v>
      </c>
      <c r="C408" s="35" t="s">
        <v>4244</v>
      </c>
      <c r="E408" s="50">
        <v>46073</v>
      </c>
      <c r="F408" s="34" t="s">
        <v>4245</v>
      </c>
      <c r="G408" s="34">
        <v>147.86000000000001</v>
      </c>
      <c r="H408" s="34" t="s">
        <v>227</v>
      </c>
      <c r="I408" s="34" t="s">
        <v>21</v>
      </c>
      <c r="J408" s="34" t="s">
        <v>111</v>
      </c>
      <c r="K408" s="35" t="s">
        <v>239</v>
      </c>
      <c r="L408" s="34">
        <v>1035</v>
      </c>
      <c r="M408" s="34" t="s">
        <v>3836</v>
      </c>
      <c r="N408" s="34" t="s">
        <v>4337</v>
      </c>
      <c r="O408" s="34" t="s">
        <v>539</v>
      </c>
      <c r="Q408" s="52">
        <f t="shared" si="6"/>
        <v>33</v>
      </c>
    </row>
    <row r="409" spans="1:17" x14ac:dyDescent="0.25">
      <c r="A409" s="34" t="s">
        <v>4242</v>
      </c>
      <c r="B409" s="34" t="s">
        <v>4243</v>
      </c>
      <c r="C409" s="35" t="s">
        <v>4244</v>
      </c>
      <c r="E409" s="50">
        <v>46073</v>
      </c>
      <c r="F409" s="34" t="s">
        <v>4246</v>
      </c>
      <c r="G409" s="34">
        <v>45.79</v>
      </c>
      <c r="H409" s="34" t="s">
        <v>227</v>
      </c>
      <c r="I409" s="34" t="s">
        <v>21</v>
      </c>
      <c r="J409" s="34" t="s">
        <v>111</v>
      </c>
      <c r="K409" s="35" t="s">
        <v>239</v>
      </c>
      <c r="L409" s="34">
        <v>6001</v>
      </c>
      <c r="M409" s="34" t="s">
        <v>3836</v>
      </c>
      <c r="N409" s="34" t="s">
        <v>4337</v>
      </c>
      <c r="O409" s="34" t="s">
        <v>539</v>
      </c>
      <c r="Q409" s="52">
        <f t="shared" si="6"/>
        <v>40</v>
      </c>
    </row>
    <row r="410" spans="1:17" x14ac:dyDescent="0.25">
      <c r="A410" s="34" t="s">
        <v>4242</v>
      </c>
      <c r="B410" s="34" t="s">
        <v>4243</v>
      </c>
      <c r="C410" s="35" t="s">
        <v>4244</v>
      </c>
      <c r="E410" s="50">
        <v>46066</v>
      </c>
      <c r="F410" s="34" t="s">
        <v>4246</v>
      </c>
      <c r="G410" s="34">
        <v>79.650000000000006</v>
      </c>
      <c r="H410" s="34" t="s">
        <v>227</v>
      </c>
      <c r="I410" s="34" t="s">
        <v>21</v>
      </c>
      <c r="J410" s="34" t="s">
        <v>111</v>
      </c>
      <c r="K410" s="35" t="s">
        <v>239</v>
      </c>
      <c r="L410" s="34">
        <v>6001</v>
      </c>
      <c r="M410" s="34" t="s">
        <v>3836</v>
      </c>
      <c r="N410" s="34" t="s">
        <v>4337</v>
      </c>
      <c r="O410" s="34" t="s">
        <v>539</v>
      </c>
      <c r="Q410" s="52">
        <f t="shared" si="6"/>
        <v>40</v>
      </c>
    </row>
    <row r="411" spans="1:17" x14ac:dyDescent="0.25">
      <c r="A411" s="34" t="s">
        <v>4242</v>
      </c>
      <c r="B411" s="34" t="s">
        <v>4243</v>
      </c>
      <c r="C411" s="35" t="s">
        <v>4244</v>
      </c>
      <c r="E411" s="50">
        <v>46065</v>
      </c>
      <c r="F411" s="34" t="s">
        <v>4246</v>
      </c>
      <c r="G411" s="34">
        <v>46.59</v>
      </c>
      <c r="H411" s="34" t="s">
        <v>227</v>
      </c>
      <c r="I411" s="34" t="s">
        <v>21</v>
      </c>
      <c r="J411" s="34" t="s">
        <v>111</v>
      </c>
      <c r="K411" s="35" t="s">
        <v>239</v>
      </c>
      <c r="L411" s="34">
        <v>6001</v>
      </c>
      <c r="M411" s="34" t="s">
        <v>3836</v>
      </c>
      <c r="N411" s="34" t="s">
        <v>4337</v>
      </c>
      <c r="O411" s="34" t="s">
        <v>539</v>
      </c>
      <c r="Q411" s="52">
        <f t="shared" si="6"/>
        <v>40</v>
      </c>
    </row>
    <row r="412" spans="1:17" x14ac:dyDescent="0.25">
      <c r="A412" s="34" t="s">
        <v>4242</v>
      </c>
      <c r="B412" s="34" t="s">
        <v>4243</v>
      </c>
      <c r="C412" s="35" t="s">
        <v>4244</v>
      </c>
      <c r="E412" s="50">
        <v>46064</v>
      </c>
      <c r="F412" s="34" t="s">
        <v>4246</v>
      </c>
      <c r="G412" s="34">
        <v>46.99</v>
      </c>
      <c r="H412" s="34" t="s">
        <v>227</v>
      </c>
      <c r="I412" s="34" t="s">
        <v>21</v>
      </c>
      <c r="J412" s="34" t="s">
        <v>111</v>
      </c>
      <c r="K412" s="35" t="s">
        <v>239</v>
      </c>
      <c r="L412" s="34">
        <v>6001</v>
      </c>
      <c r="M412" s="34" t="s">
        <v>3836</v>
      </c>
      <c r="N412" s="34" t="s">
        <v>4337</v>
      </c>
      <c r="O412" s="34" t="s">
        <v>539</v>
      </c>
      <c r="Q412" s="52">
        <f t="shared" si="6"/>
        <v>40</v>
      </c>
    </row>
    <row r="413" spans="1:17" x14ac:dyDescent="0.25">
      <c r="A413" s="34" t="s">
        <v>4242</v>
      </c>
      <c r="B413" s="34" t="s">
        <v>4243</v>
      </c>
      <c r="C413" s="35" t="s">
        <v>4244</v>
      </c>
      <c r="E413" s="50">
        <v>46059</v>
      </c>
      <c r="F413" s="34" t="s">
        <v>4246</v>
      </c>
      <c r="G413" s="34">
        <v>47.58</v>
      </c>
      <c r="H413" s="34" t="s">
        <v>227</v>
      </c>
      <c r="I413" s="34" t="s">
        <v>21</v>
      </c>
      <c r="J413" s="34" t="s">
        <v>111</v>
      </c>
      <c r="K413" s="35" t="s">
        <v>239</v>
      </c>
      <c r="L413" s="34">
        <v>6001</v>
      </c>
      <c r="M413" s="34" t="s">
        <v>3836</v>
      </c>
      <c r="N413" s="34" t="s">
        <v>4337</v>
      </c>
      <c r="O413" s="34" t="s">
        <v>539</v>
      </c>
      <c r="Q413" s="52">
        <f t="shared" si="6"/>
        <v>40</v>
      </c>
    </row>
    <row r="414" spans="1:17" x14ac:dyDescent="0.25">
      <c r="A414" s="34" t="s">
        <v>4242</v>
      </c>
      <c r="B414" s="34" t="s">
        <v>4243</v>
      </c>
      <c r="C414" s="35" t="s">
        <v>4244</v>
      </c>
      <c r="E414" s="50">
        <v>46058</v>
      </c>
      <c r="F414" s="34" t="s">
        <v>4247</v>
      </c>
      <c r="G414" s="34">
        <v>150.97999999999999</v>
      </c>
      <c r="H414" s="34" t="s">
        <v>227</v>
      </c>
      <c r="I414" s="34" t="s">
        <v>21</v>
      </c>
      <c r="J414" s="34" t="s">
        <v>111</v>
      </c>
      <c r="K414" s="35" t="s">
        <v>239</v>
      </c>
      <c r="L414" s="34">
        <v>6396</v>
      </c>
      <c r="M414" s="34" t="s">
        <v>3836</v>
      </c>
      <c r="N414" s="34" t="s">
        <v>4337</v>
      </c>
      <c r="O414" s="34" t="s">
        <v>539</v>
      </c>
      <c r="Q414" s="52">
        <f t="shared" si="6"/>
        <v>42</v>
      </c>
    </row>
    <row r="415" spans="1:17" x14ac:dyDescent="0.25">
      <c r="A415" s="34" t="s">
        <v>4248</v>
      </c>
      <c r="B415" s="34" t="s">
        <v>4249</v>
      </c>
      <c r="C415" s="35" t="s">
        <v>4250</v>
      </c>
      <c r="E415" s="50">
        <v>46085</v>
      </c>
      <c r="F415" s="34" t="s">
        <v>4251</v>
      </c>
      <c r="G415" s="34">
        <v>68.02</v>
      </c>
      <c r="H415" s="34" t="s">
        <v>227</v>
      </c>
      <c r="I415" s="34" t="s">
        <v>21</v>
      </c>
      <c r="J415" s="34" t="s">
        <v>111</v>
      </c>
      <c r="K415" s="35" t="s">
        <v>239</v>
      </c>
      <c r="L415" s="34">
        <v>4246</v>
      </c>
      <c r="M415" s="34" t="s">
        <v>3855</v>
      </c>
      <c r="N415" s="34" t="s">
        <v>4337</v>
      </c>
      <c r="O415" s="34" t="s">
        <v>299</v>
      </c>
      <c r="Q415" s="52">
        <f t="shared" si="6"/>
        <v>47</v>
      </c>
    </row>
    <row r="416" spans="1:17" x14ac:dyDescent="0.25">
      <c r="A416" s="34" t="s">
        <v>4248</v>
      </c>
      <c r="B416" s="34" t="s">
        <v>4249</v>
      </c>
      <c r="C416" s="35" t="s">
        <v>4250</v>
      </c>
      <c r="E416" s="50">
        <v>46085</v>
      </c>
      <c r="F416" s="34" t="s">
        <v>4252</v>
      </c>
      <c r="G416" s="34">
        <v>52.73</v>
      </c>
      <c r="H416" s="34" t="s">
        <v>227</v>
      </c>
      <c r="I416" s="34" t="s">
        <v>21</v>
      </c>
      <c r="J416" s="34" t="s">
        <v>111</v>
      </c>
      <c r="K416" s="35" t="s">
        <v>239</v>
      </c>
      <c r="L416" s="34">
        <v>4246</v>
      </c>
      <c r="M416" s="34" t="s">
        <v>3855</v>
      </c>
      <c r="N416" s="34" t="s">
        <v>4337</v>
      </c>
      <c r="O416" s="34" t="s">
        <v>299</v>
      </c>
      <c r="Q416" s="52">
        <f t="shared" si="6"/>
        <v>49</v>
      </c>
    </row>
    <row r="417" spans="1:17" x14ac:dyDescent="0.25">
      <c r="A417" s="34" t="s">
        <v>4248</v>
      </c>
      <c r="B417" s="34" t="s">
        <v>4249</v>
      </c>
      <c r="C417" s="35" t="s">
        <v>4250</v>
      </c>
      <c r="E417" s="50">
        <v>46084</v>
      </c>
      <c r="F417" s="34" t="s">
        <v>4253</v>
      </c>
      <c r="G417" s="34">
        <v>26.25</v>
      </c>
      <c r="H417" s="34" t="s">
        <v>227</v>
      </c>
      <c r="I417" s="34" t="s">
        <v>21</v>
      </c>
      <c r="J417" s="34" t="s">
        <v>111</v>
      </c>
      <c r="K417" s="35" t="s">
        <v>239</v>
      </c>
      <c r="L417" s="34">
        <v>4001</v>
      </c>
      <c r="M417" s="34" t="s">
        <v>3855</v>
      </c>
      <c r="N417" s="34" t="s">
        <v>4337</v>
      </c>
      <c r="O417" s="34" t="s">
        <v>299</v>
      </c>
      <c r="Q417" s="52">
        <f t="shared" si="6"/>
        <v>37</v>
      </c>
    </row>
    <row r="418" spans="1:17" x14ac:dyDescent="0.25">
      <c r="A418" s="34" t="s">
        <v>4248</v>
      </c>
      <c r="B418" s="34" t="s">
        <v>4249</v>
      </c>
      <c r="C418" s="35" t="s">
        <v>4250</v>
      </c>
      <c r="E418" s="50">
        <v>46080</v>
      </c>
      <c r="F418" s="34" t="s">
        <v>4788</v>
      </c>
      <c r="G418" s="34">
        <v>83.56</v>
      </c>
      <c r="H418" s="34" t="s">
        <v>227</v>
      </c>
      <c r="I418" s="34" t="s">
        <v>21</v>
      </c>
      <c r="J418" s="34" t="s">
        <v>111</v>
      </c>
      <c r="K418" s="35" t="s">
        <v>239</v>
      </c>
      <c r="L418" s="34">
        <v>1035</v>
      </c>
      <c r="M418" s="34" t="s">
        <v>3855</v>
      </c>
      <c r="N418" s="34" t="s">
        <v>4337</v>
      </c>
      <c r="O418" s="34" t="s">
        <v>299</v>
      </c>
      <c r="Q418" s="52">
        <f t="shared" si="6"/>
        <v>41</v>
      </c>
    </row>
    <row r="419" spans="1:17" x14ac:dyDescent="0.25">
      <c r="A419" s="34" t="s">
        <v>4248</v>
      </c>
      <c r="B419" s="34" t="s">
        <v>4249</v>
      </c>
      <c r="C419" s="35" t="s">
        <v>4250</v>
      </c>
      <c r="E419" s="50">
        <v>46080</v>
      </c>
      <c r="F419" s="34" t="s">
        <v>4784</v>
      </c>
      <c r="G419" s="34">
        <v>26.99</v>
      </c>
      <c r="H419" s="34" t="s">
        <v>227</v>
      </c>
      <c r="I419" s="34" t="s">
        <v>16</v>
      </c>
      <c r="J419" s="34" t="s">
        <v>95</v>
      </c>
      <c r="K419" s="35" t="s">
        <v>239</v>
      </c>
      <c r="L419" s="34">
        <v>1035</v>
      </c>
      <c r="M419" s="34" t="s">
        <v>3855</v>
      </c>
      <c r="N419" s="34" t="s">
        <v>4337</v>
      </c>
      <c r="O419" s="34" t="s">
        <v>299</v>
      </c>
      <c r="Q419" s="52">
        <f t="shared" si="6"/>
        <v>44</v>
      </c>
    </row>
    <row r="420" spans="1:17" x14ac:dyDescent="0.25">
      <c r="A420" s="34" t="s">
        <v>4248</v>
      </c>
      <c r="B420" s="34" t="s">
        <v>4249</v>
      </c>
      <c r="C420" s="35" t="s">
        <v>4250</v>
      </c>
      <c r="E420" s="50">
        <v>46079</v>
      </c>
      <c r="F420" s="34" t="s">
        <v>4784</v>
      </c>
      <c r="G420" s="34">
        <v>17.82</v>
      </c>
      <c r="H420" s="34" t="s">
        <v>227</v>
      </c>
      <c r="I420" s="34" t="s">
        <v>16</v>
      </c>
      <c r="J420" s="34" t="s">
        <v>4255</v>
      </c>
      <c r="K420" s="35" t="s">
        <v>4343</v>
      </c>
      <c r="L420" s="34">
        <v>1035</v>
      </c>
      <c r="M420" s="34" t="s">
        <v>3855</v>
      </c>
      <c r="N420" s="34" t="s">
        <v>4337</v>
      </c>
      <c r="O420" s="34" t="s">
        <v>299</v>
      </c>
      <c r="Q420" s="52">
        <f t="shared" si="6"/>
        <v>52</v>
      </c>
    </row>
    <row r="421" spans="1:17" x14ac:dyDescent="0.25">
      <c r="A421" s="34" t="s">
        <v>4248</v>
      </c>
      <c r="B421" s="34" t="s">
        <v>4249</v>
      </c>
      <c r="C421" s="35" t="s">
        <v>4250</v>
      </c>
      <c r="E421" s="50">
        <v>46079</v>
      </c>
      <c r="F421" s="34" t="s">
        <v>3921</v>
      </c>
      <c r="G421" s="34">
        <v>8</v>
      </c>
      <c r="H421" s="34" t="s">
        <v>227</v>
      </c>
      <c r="I421" s="34" t="s">
        <v>3594</v>
      </c>
      <c r="J421" s="34" t="s">
        <v>93</v>
      </c>
      <c r="K421" s="35" t="s">
        <v>29</v>
      </c>
      <c r="L421" s="34">
        <v>4001</v>
      </c>
      <c r="M421" s="34" t="s">
        <v>3855</v>
      </c>
      <c r="N421" s="34" t="s">
        <v>4337</v>
      </c>
      <c r="O421" s="34" t="s">
        <v>299</v>
      </c>
      <c r="Q421" s="52">
        <f t="shared" si="6"/>
        <v>31</v>
      </c>
    </row>
    <row r="422" spans="1:17" x14ac:dyDescent="0.25">
      <c r="A422" s="34" t="s">
        <v>4248</v>
      </c>
      <c r="B422" s="34" t="s">
        <v>4249</v>
      </c>
      <c r="C422" s="35" t="s">
        <v>4250</v>
      </c>
      <c r="E422" s="50">
        <v>46078</v>
      </c>
      <c r="F422" s="34" t="s">
        <v>4789</v>
      </c>
      <c r="G422" s="34">
        <v>311.10000000000002</v>
      </c>
      <c r="H422" s="34" t="s">
        <v>227</v>
      </c>
      <c r="I422" s="34" t="s">
        <v>4500</v>
      </c>
      <c r="J422" s="34" t="s">
        <v>4257</v>
      </c>
      <c r="K422" s="35" t="s">
        <v>4465</v>
      </c>
      <c r="L422" s="34">
        <v>1035</v>
      </c>
      <c r="M422" s="34" t="s">
        <v>3855</v>
      </c>
      <c r="N422" s="34" t="s">
        <v>4337</v>
      </c>
      <c r="O422" s="34" t="s">
        <v>299</v>
      </c>
      <c r="Q422" s="52">
        <f t="shared" si="6"/>
        <v>57</v>
      </c>
    </row>
    <row r="423" spans="1:17" x14ac:dyDescent="0.25">
      <c r="A423" s="34" t="s">
        <v>4248</v>
      </c>
      <c r="B423" s="34" t="s">
        <v>4249</v>
      </c>
      <c r="C423" s="35" t="s">
        <v>4250</v>
      </c>
      <c r="E423" s="50">
        <v>46074</v>
      </c>
      <c r="F423" s="34" t="s">
        <v>4790</v>
      </c>
      <c r="G423" s="34">
        <v>160.87</v>
      </c>
      <c r="H423" s="34" t="s">
        <v>227</v>
      </c>
      <c r="I423" s="34" t="s">
        <v>21</v>
      </c>
      <c r="J423" s="34" t="s">
        <v>111</v>
      </c>
      <c r="K423" s="35" t="s">
        <v>239</v>
      </c>
      <c r="L423" s="34">
        <v>1035</v>
      </c>
      <c r="M423" s="34" t="s">
        <v>3855</v>
      </c>
      <c r="N423" s="34" t="s">
        <v>4337</v>
      </c>
      <c r="O423" s="34" t="s">
        <v>299</v>
      </c>
      <c r="Q423" s="52">
        <f t="shared" si="6"/>
        <v>41</v>
      </c>
    </row>
    <row r="424" spans="1:17" x14ac:dyDescent="0.25">
      <c r="A424" s="34" t="s">
        <v>4248</v>
      </c>
      <c r="B424" s="34" t="s">
        <v>4249</v>
      </c>
      <c r="C424" s="35" t="s">
        <v>4250</v>
      </c>
      <c r="E424" s="50">
        <v>46073</v>
      </c>
      <c r="F424" s="34" t="s">
        <v>4253</v>
      </c>
      <c r="G424" s="34">
        <v>24.63</v>
      </c>
      <c r="H424" s="34" t="s">
        <v>227</v>
      </c>
      <c r="I424" s="34" t="s">
        <v>21</v>
      </c>
      <c r="J424" s="34" t="s">
        <v>111</v>
      </c>
      <c r="K424" s="35" t="s">
        <v>239</v>
      </c>
      <c r="L424" s="34">
        <v>4001</v>
      </c>
      <c r="M424" s="34" t="s">
        <v>3855</v>
      </c>
      <c r="N424" s="34" t="s">
        <v>4337</v>
      </c>
      <c r="O424" s="34" t="s">
        <v>299</v>
      </c>
      <c r="Q424" s="52">
        <f t="shared" si="6"/>
        <v>37</v>
      </c>
    </row>
    <row r="425" spans="1:17" x14ac:dyDescent="0.25">
      <c r="A425" s="34" t="s">
        <v>4248</v>
      </c>
      <c r="B425" s="34" t="s">
        <v>4249</v>
      </c>
      <c r="C425" s="35" t="s">
        <v>4250</v>
      </c>
      <c r="E425" s="50">
        <v>46072</v>
      </c>
      <c r="F425" s="34" t="s">
        <v>4253</v>
      </c>
      <c r="G425" s="34">
        <v>51.39</v>
      </c>
      <c r="H425" s="34" t="s">
        <v>227</v>
      </c>
      <c r="I425" s="34" t="s">
        <v>21</v>
      </c>
      <c r="J425" s="34" t="s">
        <v>111</v>
      </c>
      <c r="K425" s="35" t="s">
        <v>239</v>
      </c>
      <c r="L425" s="34">
        <v>4001</v>
      </c>
      <c r="M425" s="34" t="s">
        <v>3855</v>
      </c>
      <c r="N425" s="34" t="s">
        <v>4337</v>
      </c>
      <c r="O425" s="34" t="s">
        <v>299</v>
      </c>
      <c r="Q425" s="52">
        <f t="shared" si="6"/>
        <v>37</v>
      </c>
    </row>
    <row r="426" spans="1:17" x14ac:dyDescent="0.25">
      <c r="A426" s="34" t="s">
        <v>4248</v>
      </c>
      <c r="B426" s="34" t="s">
        <v>4249</v>
      </c>
      <c r="C426" s="35" t="s">
        <v>4250</v>
      </c>
      <c r="E426" s="50">
        <v>46071</v>
      </c>
      <c r="F426" s="34" t="s">
        <v>4253</v>
      </c>
      <c r="G426" s="34">
        <v>67.930000000000007</v>
      </c>
      <c r="H426" s="34" t="s">
        <v>227</v>
      </c>
      <c r="I426" s="34" t="s">
        <v>21</v>
      </c>
      <c r="J426" s="34" t="s">
        <v>111</v>
      </c>
      <c r="K426" s="35" t="s">
        <v>239</v>
      </c>
      <c r="L426" s="34">
        <v>4001</v>
      </c>
      <c r="M426" s="34" t="s">
        <v>3855</v>
      </c>
      <c r="N426" s="34" t="s">
        <v>4337</v>
      </c>
      <c r="O426" s="34" t="s">
        <v>299</v>
      </c>
      <c r="Q426" s="52">
        <f t="shared" si="6"/>
        <v>37</v>
      </c>
    </row>
    <row r="427" spans="1:17" x14ac:dyDescent="0.25">
      <c r="A427" s="34" t="s">
        <v>4248</v>
      </c>
      <c r="B427" s="34" t="s">
        <v>4249</v>
      </c>
      <c r="C427" s="35" t="s">
        <v>4250</v>
      </c>
      <c r="E427" s="50">
        <v>46066</v>
      </c>
      <c r="F427" s="34" t="s">
        <v>4253</v>
      </c>
      <c r="G427" s="34">
        <v>38.44</v>
      </c>
      <c r="H427" s="34" t="s">
        <v>227</v>
      </c>
      <c r="I427" s="34" t="s">
        <v>21</v>
      </c>
      <c r="J427" s="34" t="s">
        <v>111</v>
      </c>
      <c r="K427" s="35" t="s">
        <v>239</v>
      </c>
      <c r="L427" s="34">
        <v>4001</v>
      </c>
      <c r="M427" s="34" t="s">
        <v>3855</v>
      </c>
      <c r="N427" s="34" t="s">
        <v>4337</v>
      </c>
      <c r="O427" s="34" t="s">
        <v>299</v>
      </c>
      <c r="Q427" s="52">
        <f t="shared" si="6"/>
        <v>37</v>
      </c>
    </row>
    <row r="428" spans="1:17" x14ac:dyDescent="0.25">
      <c r="A428" s="34" t="s">
        <v>4248</v>
      </c>
      <c r="B428" s="34" t="s">
        <v>4249</v>
      </c>
      <c r="C428" s="35" t="s">
        <v>4250</v>
      </c>
      <c r="E428" s="50">
        <v>46065</v>
      </c>
      <c r="F428" s="34" t="s">
        <v>4253</v>
      </c>
      <c r="G428" s="34">
        <v>37.32</v>
      </c>
      <c r="H428" s="34" t="s">
        <v>227</v>
      </c>
      <c r="I428" s="34" t="s">
        <v>21</v>
      </c>
      <c r="J428" s="34" t="s">
        <v>111</v>
      </c>
      <c r="K428" s="35" t="s">
        <v>239</v>
      </c>
      <c r="L428" s="34">
        <v>4001</v>
      </c>
      <c r="M428" s="34" t="s">
        <v>3855</v>
      </c>
      <c r="N428" s="34" t="s">
        <v>4337</v>
      </c>
      <c r="O428" s="34" t="s">
        <v>299</v>
      </c>
      <c r="Q428" s="52">
        <f t="shared" si="6"/>
        <v>37</v>
      </c>
    </row>
    <row r="429" spans="1:17" x14ac:dyDescent="0.25">
      <c r="A429" s="34" t="s">
        <v>4248</v>
      </c>
      <c r="B429" s="34" t="s">
        <v>4249</v>
      </c>
      <c r="C429" s="35" t="s">
        <v>4250</v>
      </c>
      <c r="E429" s="50">
        <v>46065</v>
      </c>
      <c r="F429" s="34" t="s">
        <v>4259</v>
      </c>
      <c r="G429" s="34">
        <v>19.09</v>
      </c>
      <c r="H429" s="34" t="s">
        <v>227</v>
      </c>
      <c r="I429" s="34" t="s">
        <v>16</v>
      </c>
      <c r="J429" s="34" t="s">
        <v>89</v>
      </c>
      <c r="K429" s="35" t="s">
        <v>3185</v>
      </c>
      <c r="L429" s="34">
        <v>4001</v>
      </c>
      <c r="M429" s="34" t="s">
        <v>3855</v>
      </c>
      <c r="N429" s="34" t="s">
        <v>4337</v>
      </c>
      <c r="O429" s="34" t="s">
        <v>299</v>
      </c>
      <c r="Q429" s="52">
        <f t="shared" si="6"/>
        <v>34</v>
      </c>
    </row>
    <row r="430" spans="1:17" x14ac:dyDescent="0.25">
      <c r="A430" s="34" t="s">
        <v>4248</v>
      </c>
      <c r="B430" s="34" t="s">
        <v>4249</v>
      </c>
      <c r="C430" s="35" t="s">
        <v>4250</v>
      </c>
      <c r="E430" s="50">
        <v>46064</v>
      </c>
      <c r="F430" s="34" t="s">
        <v>4791</v>
      </c>
      <c r="G430" s="34">
        <v>2236.27</v>
      </c>
      <c r="H430" s="34" t="s">
        <v>227</v>
      </c>
      <c r="I430" s="34" t="s">
        <v>3594</v>
      </c>
      <c r="J430" s="34" t="s">
        <v>29</v>
      </c>
      <c r="K430" s="35" t="s">
        <v>29</v>
      </c>
      <c r="L430" s="34">
        <v>1035</v>
      </c>
      <c r="M430" s="34" t="s">
        <v>3855</v>
      </c>
      <c r="N430" s="34" t="s">
        <v>4337</v>
      </c>
      <c r="O430" s="34" t="s">
        <v>299</v>
      </c>
      <c r="Q430" s="52">
        <f t="shared" si="6"/>
        <v>42</v>
      </c>
    </row>
    <row r="431" spans="1:17" x14ac:dyDescent="0.25">
      <c r="A431" s="34" t="s">
        <v>4248</v>
      </c>
      <c r="B431" s="34" t="s">
        <v>4249</v>
      </c>
      <c r="C431" s="35" t="s">
        <v>4250</v>
      </c>
      <c r="E431" s="50">
        <v>46064</v>
      </c>
      <c r="F431" s="34" t="s">
        <v>4253</v>
      </c>
      <c r="G431" s="34">
        <v>30.43</v>
      </c>
      <c r="H431" s="34" t="s">
        <v>227</v>
      </c>
      <c r="I431" s="34" t="s">
        <v>21</v>
      </c>
      <c r="J431" s="34" t="s">
        <v>111</v>
      </c>
      <c r="K431" s="35" t="s">
        <v>239</v>
      </c>
      <c r="L431" s="34">
        <v>4001</v>
      </c>
      <c r="M431" s="34" t="s">
        <v>3855</v>
      </c>
      <c r="N431" s="34" t="s">
        <v>4337</v>
      </c>
      <c r="O431" s="34" t="s">
        <v>299</v>
      </c>
      <c r="Q431" s="52">
        <f t="shared" si="6"/>
        <v>37</v>
      </c>
    </row>
    <row r="432" spans="1:17" x14ac:dyDescent="0.25">
      <c r="A432" s="34" t="s">
        <v>4248</v>
      </c>
      <c r="B432" s="34" t="s">
        <v>4249</v>
      </c>
      <c r="C432" s="35" t="s">
        <v>4250</v>
      </c>
      <c r="E432" s="50">
        <v>46064</v>
      </c>
      <c r="F432" s="34" t="s">
        <v>4777</v>
      </c>
      <c r="G432" s="34">
        <v>-2108.56</v>
      </c>
      <c r="H432" s="34" t="s">
        <v>227</v>
      </c>
      <c r="I432" s="34" t="s">
        <v>3594</v>
      </c>
      <c r="J432" s="34" t="s">
        <v>47</v>
      </c>
      <c r="K432" s="35" t="s">
        <v>41</v>
      </c>
      <c r="L432" s="34">
        <v>1035</v>
      </c>
      <c r="M432" s="34" t="s">
        <v>3855</v>
      </c>
      <c r="N432" s="34" t="s">
        <v>4337</v>
      </c>
      <c r="O432" s="34" t="s">
        <v>299</v>
      </c>
      <c r="Q432" s="52">
        <f t="shared" si="6"/>
        <v>48</v>
      </c>
    </row>
    <row r="433" spans="1:17" x14ac:dyDescent="0.25">
      <c r="A433" s="34" t="s">
        <v>4248</v>
      </c>
      <c r="B433" s="34" t="s">
        <v>4249</v>
      </c>
      <c r="C433" s="35" t="s">
        <v>4250</v>
      </c>
      <c r="E433" s="50">
        <v>46064</v>
      </c>
      <c r="F433" s="34" t="s">
        <v>4261</v>
      </c>
      <c r="G433" s="34">
        <v>30</v>
      </c>
      <c r="H433" s="34" t="s">
        <v>227</v>
      </c>
      <c r="I433" s="34" t="s">
        <v>3594</v>
      </c>
      <c r="J433" s="34" t="s">
        <v>30</v>
      </c>
      <c r="K433" s="35" t="s">
        <v>790</v>
      </c>
      <c r="L433" s="34">
        <v>1035</v>
      </c>
      <c r="M433" s="34" t="s">
        <v>3855</v>
      </c>
      <c r="N433" s="34" t="s">
        <v>4337</v>
      </c>
      <c r="O433" s="34" t="s">
        <v>299</v>
      </c>
      <c r="Q433" s="52">
        <f t="shared" si="6"/>
        <v>38</v>
      </c>
    </row>
    <row r="434" spans="1:17" x14ac:dyDescent="0.25">
      <c r="A434" s="34" t="s">
        <v>4248</v>
      </c>
      <c r="B434" s="34" t="s">
        <v>4249</v>
      </c>
      <c r="C434" s="35" t="s">
        <v>4250</v>
      </c>
      <c r="E434" s="50">
        <v>46064</v>
      </c>
      <c r="F434" s="34" t="s">
        <v>4262</v>
      </c>
      <c r="G434" s="34">
        <v>30</v>
      </c>
      <c r="H434" s="34" t="s">
        <v>227</v>
      </c>
      <c r="I434" s="34" t="s">
        <v>3594</v>
      </c>
      <c r="J434" s="34" t="s">
        <v>30</v>
      </c>
      <c r="K434" s="35" t="s">
        <v>790</v>
      </c>
      <c r="L434" s="34">
        <v>1035</v>
      </c>
      <c r="M434" s="34" t="s">
        <v>3855</v>
      </c>
      <c r="N434" s="34" t="s">
        <v>4337</v>
      </c>
      <c r="O434" s="34" t="s">
        <v>299</v>
      </c>
      <c r="Q434" s="52">
        <f t="shared" si="6"/>
        <v>46</v>
      </c>
    </row>
    <row r="435" spans="1:17" x14ac:dyDescent="0.25">
      <c r="A435" s="34" t="s">
        <v>4248</v>
      </c>
      <c r="B435" s="34" t="s">
        <v>4249</v>
      </c>
      <c r="C435" s="35" t="s">
        <v>4250</v>
      </c>
      <c r="E435" s="50">
        <v>46063</v>
      </c>
      <c r="F435" s="34" t="s">
        <v>4253</v>
      </c>
      <c r="G435" s="34">
        <v>35.14</v>
      </c>
      <c r="H435" s="34" t="s">
        <v>227</v>
      </c>
      <c r="I435" s="34" t="s">
        <v>21</v>
      </c>
      <c r="J435" s="34" t="s">
        <v>111</v>
      </c>
      <c r="K435" s="35" t="s">
        <v>239</v>
      </c>
      <c r="L435" s="34">
        <v>4001</v>
      </c>
      <c r="M435" s="34" t="s">
        <v>3855</v>
      </c>
      <c r="N435" s="34" t="s">
        <v>4337</v>
      </c>
      <c r="O435" s="34" t="s">
        <v>299</v>
      </c>
      <c r="Q435" s="52">
        <f t="shared" si="6"/>
        <v>37</v>
      </c>
    </row>
    <row r="436" spans="1:17" x14ac:dyDescent="0.25">
      <c r="A436" s="34" t="s">
        <v>4248</v>
      </c>
      <c r="B436" s="34" t="s">
        <v>4249</v>
      </c>
      <c r="C436" s="35" t="s">
        <v>4250</v>
      </c>
      <c r="E436" s="50">
        <v>46062</v>
      </c>
      <c r="F436" s="34" t="s">
        <v>4263</v>
      </c>
      <c r="G436" s="34">
        <v>16.100000000000001</v>
      </c>
      <c r="H436" s="34" t="s">
        <v>227</v>
      </c>
      <c r="I436" s="34" t="s">
        <v>16</v>
      </c>
      <c r="J436" s="34" t="s">
        <v>4264</v>
      </c>
      <c r="K436" s="35" t="s">
        <v>4350</v>
      </c>
      <c r="L436" s="34">
        <v>4001</v>
      </c>
      <c r="M436" s="34" t="s">
        <v>3855</v>
      </c>
      <c r="N436" s="34" t="s">
        <v>4337</v>
      </c>
      <c r="O436" s="34" t="s">
        <v>299</v>
      </c>
      <c r="Q436" s="52">
        <f t="shared" si="6"/>
        <v>37</v>
      </c>
    </row>
    <row r="437" spans="1:17" x14ac:dyDescent="0.25">
      <c r="A437" s="34" t="s">
        <v>4248</v>
      </c>
      <c r="B437" s="34" t="s">
        <v>4249</v>
      </c>
      <c r="C437" s="35" t="s">
        <v>4250</v>
      </c>
      <c r="E437" s="50">
        <v>46059</v>
      </c>
      <c r="F437" s="34" t="s">
        <v>4265</v>
      </c>
      <c r="G437" s="34">
        <v>16.34</v>
      </c>
      <c r="H437" s="34" t="s">
        <v>227</v>
      </c>
      <c r="I437" s="34" t="s">
        <v>3935</v>
      </c>
      <c r="J437" s="34" t="s">
        <v>734</v>
      </c>
      <c r="K437" s="35" t="s">
        <v>735</v>
      </c>
      <c r="L437" s="34">
        <v>4263</v>
      </c>
      <c r="M437" s="34" t="s">
        <v>3855</v>
      </c>
      <c r="N437" s="34" t="s">
        <v>4337</v>
      </c>
      <c r="O437" s="34" t="s">
        <v>299</v>
      </c>
      <c r="Q437" s="52">
        <f t="shared" si="6"/>
        <v>62</v>
      </c>
    </row>
    <row r="438" spans="1:17" x14ac:dyDescent="0.25">
      <c r="A438" s="34" t="s">
        <v>4248</v>
      </c>
      <c r="B438" s="34" t="s">
        <v>4249</v>
      </c>
      <c r="C438" s="35" t="s">
        <v>4250</v>
      </c>
      <c r="E438" s="50">
        <v>46058</v>
      </c>
      <c r="F438" s="34" t="s">
        <v>4253</v>
      </c>
      <c r="G438" s="34">
        <v>27.98</v>
      </c>
      <c r="H438" s="34" t="s">
        <v>227</v>
      </c>
      <c r="I438" s="34" t="s">
        <v>21</v>
      </c>
      <c r="J438" s="34" t="s">
        <v>111</v>
      </c>
      <c r="K438" s="35" t="s">
        <v>239</v>
      </c>
      <c r="L438" s="34">
        <v>4001</v>
      </c>
      <c r="M438" s="34" t="s">
        <v>3855</v>
      </c>
      <c r="N438" s="34" t="s">
        <v>4337</v>
      </c>
      <c r="O438" s="34" t="s">
        <v>299</v>
      </c>
      <c r="Q438" s="52">
        <f t="shared" si="6"/>
        <v>37</v>
      </c>
    </row>
    <row r="439" spans="1:17" x14ac:dyDescent="0.25">
      <c r="A439" s="34" t="s">
        <v>4248</v>
      </c>
      <c r="B439" s="34" t="s">
        <v>4249</v>
      </c>
      <c r="C439" s="35" t="s">
        <v>4250</v>
      </c>
      <c r="E439" s="50">
        <v>46084</v>
      </c>
      <c r="F439" s="34" t="s">
        <v>3899</v>
      </c>
      <c r="G439" s="34">
        <v>-153.4</v>
      </c>
      <c r="H439" s="34" t="s">
        <v>227</v>
      </c>
      <c r="I439" s="34" t="s">
        <v>4500</v>
      </c>
      <c r="J439" s="34" t="s">
        <v>1225</v>
      </c>
      <c r="K439" s="35" t="s">
        <v>227</v>
      </c>
      <c r="L439" s="34">
        <v>1008</v>
      </c>
      <c r="M439" s="34" t="s">
        <v>3855</v>
      </c>
      <c r="N439" s="34" t="s">
        <v>4337</v>
      </c>
      <c r="O439" s="34" t="s">
        <v>299</v>
      </c>
      <c r="Q439" s="52">
        <f t="shared" si="6"/>
        <v>36</v>
      </c>
    </row>
    <row r="440" spans="1:17" x14ac:dyDescent="0.25">
      <c r="A440" s="34" t="s">
        <v>4248</v>
      </c>
      <c r="B440" s="34" t="s">
        <v>4249</v>
      </c>
      <c r="C440" s="35" t="s">
        <v>4250</v>
      </c>
      <c r="E440" s="50">
        <v>46086</v>
      </c>
      <c r="F440" s="34" t="s">
        <v>4253</v>
      </c>
      <c r="G440" s="34">
        <v>43.58</v>
      </c>
      <c r="H440" s="34" t="s">
        <v>227</v>
      </c>
      <c r="I440" s="34" t="s">
        <v>21</v>
      </c>
      <c r="J440" s="34" t="s">
        <v>111</v>
      </c>
      <c r="K440" s="35" t="s">
        <v>239</v>
      </c>
      <c r="L440" s="34">
        <v>4001</v>
      </c>
      <c r="M440" s="34" t="s">
        <v>3855</v>
      </c>
      <c r="N440" s="34" t="s">
        <v>4337</v>
      </c>
      <c r="O440" s="34" t="s">
        <v>299</v>
      </c>
      <c r="Q440" s="52">
        <f t="shared" si="6"/>
        <v>37</v>
      </c>
    </row>
    <row r="441" spans="1:17" x14ac:dyDescent="0.25">
      <c r="A441" s="34" t="s">
        <v>4248</v>
      </c>
      <c r="B441" s="34" t="s">
        <v>4249</v>
      </c>
      <c r="C441" s="35" t="s">
        <v>4250</v>
      </c>
      <c r="E441" s="50">
        <v>46087</v>
      </c>
      <c r="F441" s="34" t="s">
        <v>4266</v>
      </c>
      <c r="G441" s="34">
        <v>16.34</v>
      </c>
      <c r="H441" s="34" t="s">
        <v>227</v>
      </c>
      <c r="I441" s="34" t="s">
        <v>3935</v>
      </c>
      <c r="J441" s="34" t="s">
        <v>734</v>
      </c>
      <c r="K441" s="35" t="s">
        <v>735</v>
      </c>
      <c r="L441" s="34">
        <v>4246</v>
      </c>
      <c r="M441" s="34" t="s">
        <v>3855</v>
      </c>
      <c r="N441" s="34" t="s">
        <v>4337</v>
      </c>
      <c r="O441" s="34" t="s">
        <v>299</v>
      </c>
      <c r="Q441" s="52">
        <f t="shared" si="6"/>
        <v>59</v>
      </c>
    </row>
    <row r="442" spans="1:17" x14ac:dyDescent="0.25">
      <c r="A442" s="34" t="s">
        <v>4248</v>
      </c>
      <c r="B442" s="34" t="s">
        <v>4249</v>
      </c>
      <c r="C442" s="35" t="s">
        <v>4250</v>
      </c>
      <c r="E442" s="50">
        <v>46086</v>
      </c>
      <c r="F442" s="34" t="s">
        <v>4253</v>
      </c>
      <c r="G442" s="34">
        <v>56.09</v>
      </c>
      <c r="H442" s="34" t="s">
        <v>227</v>
      </c>
      <c r="I442" s="34" t="s">
        <v>21</v>
      </c>
      <c r="J442" s="34" t="s">
        <v>111</v>
      </c>
      <c r="K442" s="35" t="s">
        <v>239</v>
      </c>
      <c r="L442" s="34">
        <v>4001</v>
      </c>
      <c r="M442" s="34" t="s">
        <v>3855</v>
      </c>
      <c r="N442" s="34" t="s">
        <v>4337</v>
      </c>
      <c r="O442" s="34" t="s">
        <v>299</v>
      </c>
      <c r="Q442" s="52">
        <f t="shared" si="6"/>
        <v>37</v>
      </c>
    </row>
    <row r="443" spans="1:17" x14ac:dyDescent="0.25">
      <c r="A443" s="34" t="s">
        <v>4267</v>
      </c>
      <c r="B443" s="34" t="s">
        <v>4268</v>
      </c>
      <c r="C443" s="35" t="s">
        <v>4269</v>
      </c>
      <c r="E443" s="50">
        <v>46085</v>
      </c>
      <c r="F443" s="34" t="s">
        <v>4253</v>
      </c>
      <c r="G443" s="34">
        <v>37.99</v>
      </c>
      <c r="H443" s="34" t="s">
        <v>227</v>
      </c>
      <c r="I443" s="34" t="s">
        <v>21</v>
      </c>
      <c r="J443" s="34" t="s">
        <v>111</v>
      </c>
      <c r="K443" s="35" t="s">
        <v>239</v>
      </c>
      <c r="L443" s="34">
        <v>4001</v>
      </c>
      <c r="M443" s="34" t="s">
        <v>3855</v>
      </c>
      <c r="N443" s="34" t="s">
        <v>4337</v>
      </c>
      <c r="O443" s="34" t="s">
        <v>305</v>
      </c>
      <c r="Q443" s="52">
        <f t="shared" si="6"/>
        <v>37</v>
      </c>
    </row>
    <row r="444" spans="1:17" x14ac:dyDescent="0.25">
      <c r="A444" s="34" t="s">
        <v>4267</v>
      </c>
      <c r="B444" s="34" t="s">
        <v>4268</v>
      </c>
      <c r="C444" s="35" t="s">
        <v>4269</v>
      </c>
      <c r="E444" s="50">
        <v>46084</v>
      </c>
      <c r="F444" s="34" t="s">
        <v>4253</v>
      </c>
      <c r="G444" s="34">
        <v>38.520000000000003</v>
      </c>
      <c r="H444" s="34" t="s">
        <v>227</v>
      </c>
      <c r="I444" s="34" t="s">
        <v>21</v>
      </c>
      <c r="J444" s="34" t="s">
        <v>111</v>
      </c>
      <c r="K444" s="35" t="s">
        <v>239</v>
      </c>
      <c r="L444" s="34">
        <v>4001</v>
      </c>
      <c r="M444" s="34" t="s">
        <v>3855</v>
      </c>
      <c r="N444" s="34" t="s">
        <v>4337</v>
      </c>
      <c r="O444" s="34" t="s">
        <v>305</v>
      </c>
      <c r="Q444" s="52">
        <f t="shared" si="6"/>
        <v>37</v>
      </c>
    </row>
    <row r="445" spans="1:17" x14ac:dyDescent="0.25">
      <c r="A445" s="34" t="s">
        <v>4267</v>
      </c>
      <c r="B445" s="34" t="s">
        <v>4268</v>
      </c>
      <c r="C445" s="35" t="s">
        <v>4269</v>
      </c>
      <c r="E445" s="50">
        <v>46083</v>
      </c>
      <c r="F445" s="34" t="s">
        <v>3921</v>
      </c>
      <c r="G445" s="34">
        <v>5</v>
      </c>
      <c r="H445" s="34" t="s">
        <v>227</v>
      </c>
      <c r="I445" s="34" t="s">
        <v>3594</v>
      </c>
      <c r="J445" s="34" t="s">
        <v>4270</v>
      </c>
      <c r="K445" s="35" t="s">
        <v>41</v>
      </c>
      <c r="L445" s="34">
        <v>4001</v>
      </c>
      <c r="M445" s="34" t="s">
        <v>3855</v>
      </c>
      <c r="N445" s="34" t="s">
        <v>4337</v>
      </c>
      <c r="O445" s="34" t="s">
        <v>305</v>
      </c>
      <c r="Q445" s="52">
        <f t="shared" si="6"/>
        <v>30</v>
      </c>
    </row>
    <row r="446" spans="1:17" x14ac:dyDescent="0.25">
      <c r="A446" s="34" t="s">
        <v>4267</v>
      </c>
      <c r="B446" s="34" t="s">
        <v>4268</v>
      </c>
      <c r="C446" s="35" t="s">
        <v>4269</v>
      </c>
      <c r="E446" s="50">
        <v>46082</v>
      </c>
      <c r="F446" s="34" t="s">
        <v>4792</v>
      </c>
      <c r="G446" s="34">
        <v>50.69</v>
      </c>
      <c r="H446" s="34" t="s">
        <v>227</v>
      </c>
      <c r="I446" s="34" t="s">
        <v>21</v>
      </c>
      <c r="J446" s="34" t="s">
        <v>111</v>
      </c>
      <c r="K446" s="35" t="s">
        <v>239</v>
      </c>
      <c r="L446" s="34">
        <v>1035</v>
      </c>
      <c r="M446" s="34" t="s">
        <v>3855</v>
      </c>
      <c r="N446" s="34" t="s">
        <v>4337</v>
      </c>
      <c r="O446" s="34" t="s">
        <v>305</v>
      </c>
      <c r="Q446" s="52">
        <f t="shared" si="6"/>
        <v>42</v>
      </c>
    </row>
    <row r="447" spans="1:17" x14ac:dyDescent="0.25">
      <c r="A447" s="34" t="s">
        <v>4267</v>
      </c>
      <c r="B447" s="34" t="s">
        <v>4268</v>
      </c>
      <c r="C447" s="35" t="s">
        <v>4269</v>
      </c>
      <c r="E447" s="50">
        <v>46082</v>
      </c>
      <c r="F447" s="34" t="s">
        <v>4788</v>
      </c>
      <c r="G447" s="34">
        <v>125.35</v>
      </c>
      <c r="H447" s="34" t="s">
        <v>227</v>
      </c>
      <c r="I447" s="34" t="s">
        <v>21</v>
      </c>
      <c r="J447" s="34" t="s">
        <v>111</v>
      </c>
      <c r="K447" s="35" t="s">
        <v>239</v>
      </c>
      <c r="L447" s="34">
        <v>1035</v>
      </c>
      <c r="M447" s="34" t="s">
        <v>3855</v>
      </c>
      <c r="N447" s="34" t="s">
        <v>4337</v>
      </c>
      <c r="O447" s="34" t="s">
        <v>305</v>
      </c>
      <c r="Q447" s="52">
        <f t="shared" si="6"/>
        <v>41</v>
      </c>
    </row>
    <row r="448" spans="1:17" x14ac:dyDescent="0.25">
      <c r="A448" s="34" t="s">
        <v>4267</v>
      </c>
      <c r="B448" s="34" t="s">
        <v>4268</v>
      </c>
      <c r="C448" s="35" t="s">
        <v>4269</v>
      </c>
      <c r="E448" s="50">
        <v>46074</v>
      </c>
      <c r="F448" s="34" t="s">
        <v>4790</v>
      </c>
      <c r="G448" s="34">
        <v>192.12</v>
      </c>
      <c r="H448" s="34" t="s">
        <v>227</v>
      </c>
      <c r="I448" s="34" t="s">
        <v>21</v>
      </c>
      <c r="J448" s="34" t="s">
        <v>111</v>
      </c>
      <c r="K448" s="35" t="s">
        <v>239</v>
      </c>
      <c r="L448" s="34">
        <v>1035</v>
      </c>
      <c r="M448" s="34" t="s">
        <v>3855</v>
      </c>
      <c r="N448" s="34" t="s">
        <v>4337</v>
      </c>
      <c r="O448" s="34" t="s">
        <v>305</v>
      </c>
      <c r="Q448" s="52">
        <f t="shared" si="6"/>
        <v>41</v>
      </c>
    </row>
    <row r="449" spans="1:17" x14ac:dyDescent="0.25">
      <c r="A449" s="34" t="s">
        <v>4267</v>
      </c>
      <c r="B449" s="34" t="s">
        <v>4268</v>
      </c>
      <c r="C449" s="35" t="s">
        <v>4269</v>
      </c>
      <c r="E449" s="50">
        <v>46073</v>
      </c>
      <c r="F449" s="34" t="s">
        <v>4253</v>
      </c>
      <c r="G449" s="34">
        <v>36.97</v>
      </c>
      <c r="H449" s="34" t="s">
        <v>227</v>
      </c>
      <c r="I449" s="34" t="s">
        <v>21</v>
      </c>
      <c r="J449" s="34" t="s">
        <v>111</v>
      </c>
      <c r="K449" s="35" t="s">
        <v>239</v>
      </c>
      <c r="L449" s="34">
        <v>4001</v>
      </c>
      <c r="M449" s="34" t="s">
        <v>3855</v>
      </c>
      <c r="N449" s="34" t="s">
        <v>4337</v>
      </c>
      <c r="O449" s="34" t="s">
        <v>305</v>
      </c>
      <c r="Q449" s="52">
        <f t="shared" si="6"/>
        <v>37</v>
      </c>
    </row>
    <row r="450" spans="1:17" x14ac:dyDescent="0.25">
      <c r="A450" s="34" t="s">
        <v>4267</v>
      </c>
      <c r="B450" s="34" t="s">
        <v>4268</v>
      </c>
      <c r="C450" s="35" t="s">
        <v>4269</v>
      </c>
      <c r="E450" s="50">
        <v>46072</v>
      </c>
      <c r="F450" s="34" t="s">
        <v>4253</v>
      </c>
      <c r="G450" s="34">
        <v>53.17</v>
      </c>
      <c r="H450" s="34" t="s">
        <v>227</v>
      </c>
      <c r="I450" s="34" t="s">
        <v>21</v>
      </c>
      <c r="J450" s="34" t="s">
        <v>111</v>
      </c>
      <c r="K450" s="35" t="s">
        <v>239</v>
      </c>
      <c r="L450" s="34">
        <v>4001</v>
      </c>
      <c r="M450" s="34" t="s">
        <v>3855</v>
      </c>
      <c r="N450" s="34" t="s">
        <v>4337</v>
      </c>
      <c r="O450" s="34" t="s">
        <v>305</v>
      </c>
      <c r="Q450" s="52">
        <f t="shared" si="6"/>
        <v>37</v>
      </c>
    </row>
    <row r="451" spans="1:17" x14ac:dyDescent="0.25">
      <c r="A451" s="34" t="s">
        <v>4267</v>
      </c>
      <c r="B451" s="34" t="s">
        <v>4268</v>
      </c>
      <c r="C451" s="35" t="s">
        <v>4269</v>
      </c>
      <c r="E451" s="50">
        <v>46071</v>
      </c>
      <c r="F451" s="34" t="s">
        <v>4253</v>
      </c>
      <c r="G451" s="34">
        <v>39.44</v>
      </c>
      <c r="H451" s="34" t="s">
        <v>227</v>
      </c>
      <c r="I451" s="34" t="s">
        <v>21</v>
      </c>
      <c r="J451" s="34" t="s">
        <v>111</v>
      </c>
      <c r="K451" s="35" t="s">
        <v>239</v>
      </c>
      <c r="L451" s="34">
        <v>4001</v>
      </c>
      <c r="M451" s="34" t="s">
        <v>3855</v>
      </c>
      <c r="N451" s="34" t="s">
        <v>4337</v>
      </c>
      <c r="O451" s="34" t="s">
        <v>305</v>
      </c>
      <c r="Q451" s="52">
        <f t="shared" ref="Q451:Q514" si="7">LEN(F451&amp;K451)+12</f>
        <v>37</v>
      </c>
    </row>
    <row r="452" spans="1:17" x14ac:dyDescent="0.25">
      <c r="A452" s="34" t="s">
        <v>4267</v>
      </c>
      <c r="B452" s="34" t="s">
        <v>4268</v>
      </c>
      <c r="C452" s="35" t="s">
        <v>4269</v>
      </c>
      <c r="E452" s="50">
        <v>46070</v>
      </c>
      <c r="F452" s="34" t="s">
        <v>4793</v>
      </c>
      <c r="G452" s="34">
        <v>-4793.3999999999996</v>
      </c>
      <c r="H452" s="34" t="s">
        <v>227</v>
      </c>
      <c r="I452" s="34" t="s">
        <v>3594</v>
      </c>
      <c r="J452" s="34" t="s">
        <v>70</v>
      </c>
      <c r="K452" s="35" t="s">
        <v>601</v>
      </c>
      <c r="L452" s="34">
        <v>4239</v>
      </c>
      <c r="M452" s="34" t="s">
        <v>3855</v>
      </c>
      <c r="N452" s="34" t="s">
        <v>4337</v>
      </c>
      <c r="O452" s="34" t="s">
        <v>305</v>
      </c>
      <c r="Q452" s="52">
        <f t="shared" si="7"/>
        <v>62</v>
      </c>
    </row>
    <row r="453" spans="1:17" x14ac:dyDescent="0.25">
      <c r="A453" s="34" t="s">
        <v>4267</v>
      </c>
      <c r="B453" s="34" t="s">
        <v>4268</v>
      </c>
      <c r="C453" s="35" t="s">
        <v>4269</v>
      </c>
      <c r="E453" s="50">
        <v>46070</v>
      </c>
      <c r="F453" s="34" t="s">
        <v>4794</v>
      </c>
      <c r="G453" s="34">
        <v>-3498.49</v>
      </c>
      <c r="H453" s="34" t="s">
        <v>227</v>
      </c>
      <c r="I453" s="34" t="s">
        <v>3594</v>
      </c>
      <c r="J453" s="34" t="s">
        <v>47</v>
      </c>
      <c r="K453" s="35" t="s">
        <v>41</v>
      </c>
      <c r="L453" s="34">
        <v>4239</v>
      </c>
      <c r="M453" s="34" t="s">
        <v>3855</v>
      </c>
      <c r="N453" s="34" t="s">
        <v>4337</v>
      </c>
      <c r="O453" s="34" t="s">
        <v>305</v>
      </c>
      <c r="Q453" s="52">
        <f t="shared" si="7"/>
        <v>59</v>
      </c>
    </row>
    <row r="454" spans="1:17" x14ac:dyDescent="0.25">
      <c r="A454" s="34" t="s">
        <v>4267</v>
      </c>
      <c r="B454" s="34" t="s">
        <v>4268</v>
      </c>
      <c r="C454" s="35" t="s">
        <v>4269</v>
      </c>
      <c r="E454" s="50">
        <v>46070</v>
      </c>
      <c r="F454" s="34" t="s">
        <v>4274</v>
      </c>
      <c r="G454" s="34">
        <v>27.85</v>
      </c>
      <c r="H454" s="34" t="s">
        <v>227</v>
      </c>
      <c r="I454" s="34" t="s">
        <v>16</v>
      </c>
      <c r="J454" s="34" t="s">
        <v>89</v>
      </c>
      <c r="K454" s="35" t="s">
        <v>3185</v>
      </c>
      <c r="L454" s="34">
        <v>4001</v>
      </c>
      <c r="M454" s="34" t="s">
        <v>3855</v>
      </c>
      <c r="N454" s="34" t="s">
        <v>4337</v>
      </c>
      <c r="O454" s="34" t="s">
        <v>305</v>
      </c>
      <c r="Q454" s="52">
        <f t="shared" si="7"/>
        <v>40</v>
      </c>
    </row>
    <row r="455" spans="1:17" x14ac:dyDescent="0.25">
      <c r="A455" s="34" t="s">
        <v>4267</v>
      </c>
      <c r="B455" s="34" t="s">
        <v>4268</v>
      </c>
      <c r="C455" s="35" t="s">
        <v>4269</v>
      </c>
      <c r="E455" s="50">
        <v>46066</v>
      </c>
      <c r="F455" s="34" t="s">
        <v>4253</v>
      </c>
      <c r="G455" s="34">
        <v>25.73</v>
      </c>
      <c r="H455" s="34" t="s">
        <v>227</v>
      </c>
      <c r="I455" s="34" t="s">
        <v>21</v>
      </c>
      <c r="J455" s="34" t="s">
        <v>111</v>
      </c>
      <c r="K455" s="35" t="s">
        <v>239</v>
      </c>
      <c r="L455" s="34">
        <v>4001</v>
      </c>
      <c r="M455" s="34" t="s">
        <v>3855</v>
      </c>
      <c r="N455" s="34" t="s">
        <v>4337</v>
      </c>
      <c r="O455" s="34" t="s">
        <v>305</v>
      </c>
      <c r="Q455" s="52">
        <f t="shared" si="7"/>
        <v>37</v>
      </c>
    </row>
    <row r="456" spans="1:17" x14ac:dyDescent="0.25">
      <c r="A456" s="34" t="s">
        <v>4267</v>
      </c>
      <c r="B456" s="34" t="s">
        <v>4268</v>
      </c>
      <c r="C456" s="35" t="s">
        <v>4269</v>
      </c>
      <c r="E456" s="50">
        <v>46065</v>
      </c>
      <c r="F456" s="34" t="s">
        <v>4253</v>
      </c>
      <c r="G456" s="34">
        <v>50.57</v>
      </c>
      <c r="H456" s="34" t="s">
        <v>227</v>
      </c>
      <c r="I456" s="34" t="s">
        <v>21</v>
      </c>
      <c r="J456" s="34" t="s">
        <v>111</v>
      </c>
      <c r="K456" s="35" t="s">
        <v>239</v>
      </c>
      <c r="L456" s="34">
        <v>4001</v>
      </c>
      <c r="M456" s="34" t="s">
        <v>3855</v>
      </c>
      <c r="N456" s="34" t="s">
        <v>4337</v>
      </c>
      <c r="O456" s="34" t="s">
        <v>305</v>
      </c>
      <c r="Q456" s="52">
        <f t="shared" si="7"/>
        <v>37</v>
      </c>
    </row>
    <row r="457" spans="1:17" x14ac:dyDescent="0.25">
      <c r="A457" s="34" t="s">
        <v>4267</v>
      </c>
      <c r="B457" s="34" t="s">
        <v>4268</v>
      </c>
      <c r="C457" s="35" t="s">
        <v>4269</v>
      </c>
      <c r="E457" s="50">
        <v>46065</v>
      </c>
      <c r="F457" s="34" t="s">
        <v>4253</v>
      </c>
      <c r="G457" s="34">
        <v>44.98</v>
      </c>
      <c r="H457" s="34" t="s">
        <v>227</v>
      </c>
      <c r="I457" s="34" t="s">
        <v>21</v>
      </c>
      <c r="J457" s="34" t="s">
        <v>111</v>
      </c>
      <c r="K457" s="35" t="s">
        <v>239</v>
      </c>
      <c r="L457" s="34">
        <v>4001</v>
      </c>
      <c r="M457" s="34" t="s">
        <v>3855</v>
      </c>
      <c r="N457" s="34" t="s">
        <v>4337</v>
      </c>
      <c r="O457" s="34" t="s">
        <v>305</v>
      </c>
      <c r="Q457" s="52">
        <f t="shared" si="7"/>
        <v>37</v>
      </c>
    </row>
    <row r="458" spans="1:17" x14ac:dyDescent="0.25">
      <c r="A458" s="34" t="s">
        <v>4267</v>
      </c>
      <c r="B458" s="34" t="s">
        <v>4268</v>
      </c>
      <c r="C458" s="35" t="s">
        <v>4269</v>
      </c>
      <c r="E458" s="50">
        <v>46064</v>
      </c>
      <c r="F458" s="34" t="s">
        <v>4275</v>
      </c>
      <c r="G458" s="34">
        <v>11.17</v>
      </c>
      <c r="H458" s="34" t="s">
        <v>227</v>
      </c>
      <c r="I458" s="34" t="s">
        <v>21</v>
      </c>
      <c r="J458" s="34" t="s">
        <v>111</v>
      </c>
      <c r="K458" s="35" t="s">
        <v>239</v>
      </c>
      <c r="L458" s="34">
        <v>4239</v>
      </c>
      <c r="M458" s="34" t="s">
        <v>3855</v>
      </c>
      <c r="N458" s="34" t="s">
        <v>4337</v>
      </c>
      <c r="O458" s="34" t="s">
        <v>305</v>
      </c>
      <c r="Q458" s="52">
        <f t="shared" si="7"/>
        <v>50</v>
      </c>
    </row>
    <row r="459" spans="1:17" x14ac:dyDescent="0.25">
      <c r="A459" s="34" t="s">
        <v>4267</v>
      </c>
      <c r="B459" s="34" t="s">
        <v>4268</v>
      </c>
      <c r="C459" s="35" t="s">
        <v>4269</v>
      </c>
      <c r="E459" s="50">
        <v>46064</v>
      </c>
      <c r="F459" s="34" t="s">
        <v>4276</v>
      </c>
      <c r="G459" s="34">
        <v>111.76</v>
      </c>
      <c r="H459" s="34" t="s">
        <v>227</v>
      </c>
      <c r="I459" s="34" t="s">
        <v>21</v>
      </c>
      <c r="J459" s="34" t="s">
        <v>111</v>
      </c>
      <c r="K459" s="35" t="s">
        <v>239</v>
      </c>
      <c r="L459" s="34">
        <v>4239</v>
      </c>
      <c r="M459" s="34" t="s">
        <v>3855</v>
      </c>
      <c r="N459" s="34" t="s">
        <v>4337</v>
      </c>
      <c r="O459" s="34" t="s">
        <v>305</v>
      </c>
      <c r="Q459" s="52">
        <f t="shared" si="7"/>
        <v>46</v>
      </c>
    </row>
    <row r="460" spans="1:17" x14ac:dyDescent="0.25">
      <c r="A460" s="34" t="s">
        <v>4267</v>
      </c>
      <c r="B460" s="34" t="s">
        <v>4268</v>
      </c>
      <c r="C460" s="35" t="s">
        <v>4269</v>
      </c>
      <c r="E460" s="50">
        <v>46063</v>
      </c>
      <c r="F460" s="34" t="s">
        <v>4277</v>
      </c>
      <c r="G460" s="34">
        <v>129.97999999999999</v>
      </c>
      <c r="H460" s="34" t="s">
        <v>227</v>
      </c>
      <c r="I460" s="34" t="s">
        <v>21</v>
      </c>
      <c r="J460" s="34" t="s">
        <v>111</v>
      </c>
      <c r="K460" s="35" t="s">
        <v>239</v>
      </c>
      <c r="L460" s="34">
        <v>4239</v>
      </c>
      <c r="M460" s="34" t="s">
        <v>3855</v>
      </c>
      <c r="N460" s="34" t="s">
        <v>4337</v>
      </c>
      <c r="O460" s="34" t="s">
        <v>305</v>
      </c>
      <c r="Q460" s="52">
        <f t="shared" si="7"/>
        <v>43</v>
      </c>
    </row>
    <row r="461" spans="1:17" x14ac:dyDescent="0.25">
      <c r="A461" s="34" t="s">
        <v>4267</v>
      </c>
      <c r="B461" s="34" t="s">
        <v>4268</v>
      </c>
      <c r="C461" s="35" t="s">
        <v>4269</v>
      </c>
      <c r="E461" s="50">
        <v>46062</v>
      </c>
      <c r="F461" s="34" t="s">
        <v>4795</v>
      </c>
      <c r="G461" s="34">
        <v>129.74</v>
      </c>
      <c r="H461" s="34" t="s">
        <v>227</v>
      </c>
      <c r="I461" s="34" t="s">
        <v>21</v>
      </c>
      <c r="J461" s="34" t="s">
        <v>111</v>
      </c>
      <c r="K461" s="35" t="s">
        <v>239</v>
      </c>
      <c r="L461" s="34">
        <v>4239</v>
      </c>
      <c r="M461" s="34" t="s">
        <v>3855</v>
      </c>
      <c r="N461" s="34" t="s">
        <v>4337</v>
      </c>
      <c r="O461" s="34" t="s">
        <v>305</v>
      </c>
      <c r="Q461" s="52">
        <f t="shared" si="7"/>
        <v>39</v>
      </c>
    </row>
    <row r="462" spans="1:17" x14ac:dyDescent="0.25">
      <c r="A462" s="34" t="s">
        <v>4267</v>
      </c>
      <c r="B462" s="34" t="s">
        <v>4268</v>
      </c>
      <c r="C462" s="35" t="s">
        <v>4269</v>
      </c>
      <c r="E462" s="50">
        <v>46062</v>
      </c>
      <c r="F462" s="34" t="s">
        <v>4796</v>
      </c>
      <c r="G462" s="34">
        <v>82.98</v>
      </c>
      <c r="H462" s="34" t="s">
        <v>227</v>
      </c>
      <c r="I462" s="34" t="s">
        <v>21</v>
      </c>
      <c r="J462" s="34" t="s">
        <v>111</v>
      </c>
      <c r="K462" s="35" t="s">
        <v>239</v>
      </c>
      <c r="L462" s="34">
        <v>4239</v>
      </c>
      <c r="M462" s="34" t="s">
        <v>3855</v>
      </c>
      <c r="N462" s="34" t="s">
        <v>4337</v>
      </c>
      <c r="O462" s="34" t="s">
        <v>305</v>
      </c>
      <c r="Q462" s="52">
        <f t="shared" si="7"/>
        <v>47</v>
      </c>
    </row>
    <row r="463" spans="1:17" x14ac:dyDescent="0.25">
      <c r="A463" s="34" t="s">
        <v>4267</v>
      </c>
      <c r="B463" s="34" t="s">
        <v>4268</v>
      </c>
      <c r="C463" s="35" t="s">
        <v>4269</v>
      </c>
      <c r="E463" s="50">
        <v>46062</v>
      </c>
      <c r="F463" s="34" t="s">
        <v>4797</v>
      </c>
      <c r="G463" s="34">
        <v>106.55</v>
      </c>
      <c r="H463" s="34" t="s">
        <v>227</v>
      </c>
      <c r="I463" s="34" t="s">
        <v>21</v>
      </c>
      <c r="J463" s="34" t="s">
        <v>111</v>
      </c>
      <c r="K463" s="35" t="s">
        <v>239</v>
      </c>
      <c r="L463" s="34">
        <v>4239</v>
      </c>
      <c r="M463" s="34" t="s">
        <v>3855</v>
      </c>
      <c r="N463" s="34" t="s">
        <v>4337</v>
      </c>
      <c r="O463" s="34" t="s">
        <v>305</v>
      </c>
      <c r="Q463" s="52">
        <f t="shared" si="7"/>
        <v>46</v>
      </c>
    </row>
    <row r="464" spans="1:17" x14ac:dyDescent="0.25">
      <c r="A464" s="34" t="s">
        <v>4267</v>
      </c>
      <c r="B464" s="34" t="s">
        <v>4268</v>
      </c>
      <c r="C464" s="35" t="s">
        <v>4269</v>
      </c>
      <c r="E464" s="50">
        <v>46059</v>
      </c>
      <c r="F464" s="34" t="s">
        <v>4253</v>
      </c>
      <c r="G464" s="34">
        <v>6.39</v>
      </c>
      <c r="H464" s="34" t="s">
        <v>227</v>
      </c>
      <c r="I464" s="34" t="s">
        <v>21</v>
      </c>
      <c r="J464" s="34" t="s">
        <v>111</v>
      </c>
      <c r="K464" s="35" t="s">
        <v>239</v>
      </c>
      <c r="L464" s="34">
        <v>4001</v>
      </c>
      <c r="M464" s="34" t="s">
        <v>3855</v>
      </c>
      <c r="N464" s="34" t="s">
        <v>4337</v>
      </c>
      <c r="O464" s="34" t="s">
        <v>305</v>
      </c>
      <c r="Q464" s="52">
        <f t="shared" si="7"/>
        <v>37</v>
      </c>
    </row>
    <row r="465" spans="1:17" x14ac:dyDescent="0.25">
      <c r="A465" s="34" t="s">
        <v>4267</v>
      </c>
      <c r="B465" s="34" t="s">
        <v>4268</v>
      </c>
      <c r="C465" s="35" t="s">
        <v>4269</v>
      </c>
      <c r="E465" s="50">
        <v>46059</v>
      </c>
      <c r="F465" s="34" t="s">
        <v>4253</v>
      </c>
      <c r="G465" s="34">
        <v>63.99</v>
      </c>
      <c r="H465" s="34" t="s">
        <v>227</v>
      </c>
      <c r="I465" s="34" t="s">
        <v>21</v>
      </c>
      <c r="J465" s="34" t="s">
        <v>111</v>
      </c>
      <c r="K465" s="35" t="s">
        <v>239</v>
      </c>
      <c r="L465" s="34">
        <v>4001</v>
      </c>
      <c r="M465" s="34" t="s">
        <v>3855</v>
      </c>
      <c r="N465" s="34" t="s">
        <v>4337</v>
      </c>
      <c r="O465" s="34" t="s">
        <v>305</v>
      </c>
      <c r="Q465" s="52">
        <f t="shared" si="7"/>
        <v>37</v>
      </c>
    </row>
    <row r="466" spans="1:17" x14ac:dyDescent="0.25">
      <c r="A466" s="34" t="s">
        <v>4267</v>
      </c>
      <c r="B466" s="34" t="s">
        <v>4268</v>
      </c>
      <c r="C466" s="35" t="s">
        <v>4269</v>
      </c>
      <c r="E466" s="50">
        <v>46058</v>
      </c>
      <c r="F466" s="34" t="s">
        <v>4281</v>
      </c>
      <c r="G466" s="34">
        <v>6696.8</v>
      </c>
      <c r="H466" s="34" t="s">
        <v>227</v>
      </c>
      <c r="I466" s="34" t="s">
        <v>3594</v>
      </c>
      <c r="J466" s="34" t="s">
        <v>41</v>
      </c>
      <c r="K466" s="35" t="s">
        <v>41</v>
      </c>
      <c r="L466" s="34">
        <v>4239</v>
      </c>
      <c r="M466" s="34" t="s">
        <v>3855</v>
      </c>
      <c r="N466" s="34" t="s">
        <v>4337</v>
      </c>
      <c r="O466" s="34" t="s">
        <v>305</v>
      </c>
      <c r="Q466" s="52">
        <f t="shared" si="7"/>
        <v>50</v>
      </c>
    </row>
    <row r="467" spans="1:17" x14ac:dyDescent="0.25">
      <c r="A467" s="34" t="s">
        <v>4267</v>
      </c>
      <c r="B467" s="34" t="s">
        <v>4268</v>
      </c>
      <c r="C467" s="35" t="s">
        <v>4269</v>
      </c>
      <c r="E467" s="50">
        <v>46058</v>
      </c>
      <c r="F467" s="34" t="s">
        <v>4253</v>
      </c>
      <c r="G467" s="34">
        <v>4.91</v>
      </c>
      <c r="H467" s="34" t="s">
        <v>227</v>
      </c>
      <c r="I467" s="34" t="s">
        <v>21</v>
      </c>
      <c r="J467" s="34" t="s">
        <v>111</v>
      </c>
      <c r="K467" s="35" t="s">
        <v>239</v>
      </c>
      <c r="L467" s="34">
        <v>4001</v>
      </c>
      <c r="M467" s="34" t="s">
        <v>3855</v>
      </c>
      <c r="N467" s="34" t="s">
        <v>4337</v>
      </c>
      <c r="O467" s="34" t="s">
        <v>305</v>
      </c>
      <c r="Q467" s="52">
        <f t="shared" si="7"/>
        <v>37</v>
      </c>
    </row>
    <row r="468" spans="1:17" x14ac:dyDescent="0.25">
      <c r="A468" s="34" t="s">
        <v>4267</v>
      </c>
      <c r="B468" s="34" t="s">
        <v>4268</v>
      </c>
      <c r="C468" s="35" t="s">
        <v>4269</v>
      </c>
      <c r="E468" s="50">
        <v>46058</v>
      </c>
      <c r="F468" s="34" t="s">
        <v>4253</v>
      </c>
      <c r="G468" s="34">
        <v>49.18</v>
      </c>
      <c r="H468" s="34" t="s">
        <v>227</v>
      </c>
      <c r="I468" s="34" t="s">
        <v>21</v>
      </c>
      <c r="J468" s="34" t="s">
        <v>111</v>
      </c>
      <c r="K468" s="35" t="s">
        <v>239</v>
      </c>
      <c r="L468" s="34">
        <v>4001</v>
      </c>
      <c r="M468" s="34" t="s">
        <v>3855</v>
      </c>
      <c r="N468" s="34" t="s">
        <v>4337</v>
      </c>
      <c r="O468" s="34" t="s">
        <v>305</v>
      </c>
      <c r="Q468" s="52">
        <f t="shared" si="7"/>
        <v>37</v>
      </c>
    </row>
    <row r="469" spans="1:17" x14ac:dyDescent="0.25">
      <c r="A469" s="34" t="s">
        <v>4267</v>
      </c>
      <c r="B469" s="34" t="s">
        <v>4268</v>
      </c>
      <c r="C469" s="35" t="s">
        <v>4269</v>
      </c>
      <c r="E469" s="50">
        <v>46058</v>
      </c>
      <c r="F469" s="34" t="s">
        <v>4282</v>
      </c>
      <c r="G469" s="34">
        <v>8</v>
      </c>
      <c r="H469" s="34" t="s">
        <v>227</v>
      </c>
      <c r="I469" s="34" t="s">
        <v>3864</v>
      </c>
      <c r="J469" s="34" t="s">
        <v>30</v>
      </c>
      <c r="K469" s="35" t="s">
        <v>790</v>
      </c>
      <c r="L469" s="34">
        <v>4239</v>
      </c>
      <c r="M469" s="34" t="s">
        <v>3855</v>
      </c>
      <c r="N469" s="34" t="s">
        <v>4337</v>
      </c>
      <c r="O469" s="34" t="s">
        <v>305</v>
      </c>
      <c r="Q469" s="52">
        <f t="shared" si="7"/>
        <v>39</v>
      </c>
    </row>
    <row r="470" spans="1:17" x14ac:dyDescent="0.25">
      <c r="A470" s="34" t="s">
        <v>4267</v>
      </c>
      <c r="B470" s="34" t="s">
        <v>4268</v>
      </c>
      <c r="C470" s="35" t="s">
        <v>4269</v>
      </c>
      <c r="E470" s="50">
        <v>46087</v>
      </c>
      <c r="F470" s="34" t="s">
        <v>4253</v>
      </c>
      <c r="G470" s="34">
        <v>67.05</v>
      </c>
      <c r="H470" s="34" t="s">
        <v>227</v>
      </c>
      <c r="I470" s="34" t="s">
        <v>21</v>
      </c>
      <c r="J470" s="34" t="s">
        <v>111</v>
      </c>
      <c r="K470" s="35" t="s">
        <v>239</v>
      </c>
      <c r="L470" s="34">
        <v>4001</v>
      </c>
      <c r="M470" s="34" t="s">
        <v>3855</v>
      </c>
      <c r="N470" s="34" t="s">
        <v>4337</v>
      </c>
      <c r="O470" s="34" t="s">
        <v>305</v>
      </c>
      <c r="Q470" s="52">
        <f t="shared" si="7"/>
        <v>37</v>
      </c>
    </row>
    <row r="471" spans="1:17" x14ac:dyDescent="0.25">
      <c r="A471" s="34" t="s">
        <v>4267</v>
      </c>
      <c r="B471" s="34" t="s">
        <v>4268</v>
      </c>
      <c r="C471" s="35" t="s">
        <v>4269</v>
      </c>
      <c r="E471" s="50">
        <v>46085</v>
      </c>
      <c r="F471" s="34" t="s">
        <v>4253</v>
      </c>
      <c r="G471" s="34">
        <v>37.979999999999997</v>
      </c>
      <c r="H471" s="34" t="s">
        <v>227</v>
      </c>
      <c r="I471" s="34" t="s">
        <v>21</v>
      </c>
      <c r="J471" s="34" t="s">
        <v>111</v>
      </c>
      <c r="K471" s="35" t="s">
        <v>239</v>
      </c>
      <c r="L471" s="34">
        <v>4001</v>
      </c>
      <c r="M471" s="34" t="s">
        <v>3855</v>
      </c>
      <c r="N471" s="34" t="s">
        <v>4337</v>
      </c>
      <c r="O471" s="34" t="s">
        <v>305</v>
      </c>
      <c r="Q471" s="52">
        <f t="shared" si="7"/>
        <v>37</v>
      </c>
    </row>
    <row r="472" spans="1:17" x14ac:dyDescent="0.25">
      <c r="A472" s="34" t="s">
        <v>4267</v>
      </c>
      <c r="B472" s="34" t="s">
        <v>4268</v>
      </c>
      <c r="C472" s="35" t="s">
        <v>4269</v>
      </c>
      <c r="E472" s="50">
        <v>46061</v>
      </c>
      <c r="F472" s="34" t="s">
        <v>4283</v>
      </c>
      <c r="G472" s="34">
        <v>1578.86</v>
      </c>
      <c r="H472" s="34" t="s">
        <v>227</v>
      </c>
      <c r="I472" s="34" t="s">
        <v>3864</v>
      </c>
      <c r="J472" s="34" t="s">
        <v>4284</v>
      </c>
      <c r="K472" s="35" t="s">
        <v>1014</v>
      </c>
      <c r="L472" s="34">
        <v>4239</v>
      </c>
      <c r="M472" s="34" t="s">
        <v>3855</v>
      </c>
      <c r="N472" s="34" t="s">
        <v>4337</v>
      </c>
      <c r="O472" s="34" t="s">
        <v>305</v>
      </c>
      <c r="Q472" s="52">
        <f t="shared" si="7"/>
        <v>53</v>
      </c>
    </row>
    <row r="473" spans="1:17" x14ac:dyDescent="0.25">
      <c r="A473" s="34" t="s">
        <v>4267</v>
      </c>
      <c r="B473" s="34" t="s">
        <v>4268</v>
      </c>
      <c r="C473" s="35" t="s">
        <v>4269</v>
      </c>
      <c r="E473" s="50">
        <v>46063</v>
      </c>
      <c r="F473" s="34" t="s">
        <v>4285</v>
      </c>
      <c r="G473" s="34">
        <v>87.25</v>
      </c>
      <c r="H473" s="34" t="s">
        <v>227</v>
      </c>
      <c r="I473" s="34" t="s">
        <v>16</v>
      </c>
      <c r="J473" s="34" t="s">
        <v>4284</v>
      </c>
      <c r="K473" s="35" t="s">
        <v>1014</v>
      </c>
      <c r="L473" s="34">
        <v>4239</v>
      </c>
      <c r="M473" s="34" t="s">
        <v>3855</v>
      </c>
      <c r="N473" s="34" t="s">
        <v>4337</v>
      </c>
      <c r="O473" s="34" t="s">
        <v>305</v>
      </c>
      <c r="Q473" s="52">
        <f t="shared" si="7"/>
        <v>58</v>
      </c>
    </row>
    <row r="474" spans="1:17" x14ac:dyDescent="0.25">
      <c r="A474" s="34" t="s">
        <v>4286</v>
      </c>
      <c r="B474" s="34" t="s">
        <v>4287</v>
      </c>
      <c r="C474" s="35" t="s">
        <v>4288</v>
      </c>
      <c r="E474" s="50">
        <v>46066</v>
      </c>
      <c r="F474" s="34" t="s">
        <v>4253</v>
      </c>
      <c r="G474" s="34">
        <v>44.99</v>
      </c>
      <c r="H474" s="34" t="s">
        <v>227</v>
      </c>
      <c r="I474" s="34" t="s">
        <v>21</v>
      </c>
      <c r="J474" s="34" t="s">
        <v>111</v>
      </c>
      <c r="K474" s="35" t="s">
        <v>239</v>
      </c>
      <c r="L474" s="34">
        <v>4001</v>
      </c>
      <c r="M474" s="34" t="s">
        <v>3855</v>
      </c>
      <c r="N474" s="34" t="s">
        <v>4337</v>
      </c>
      <c r="O474" s="34" t="s">
        <v>309</v>
      </c>
      <c r="Q474" s="52">
        <f t="shared" si="7"/>
        <v>37</v>
      </c>
    </row>
    <row r="475" spans="1:17" x14ac:dyDescent="0.25">
      <c r="A475" s="34" t="s">
        <v>4286</v>
      </c>
      <c r="B475" s="34" t="s">
        <v>4287</v>
      </c>
      <c r="C475" s="35" t="s">
        <v>4288</v>
      </c>
      <c r="E475" s="50">
        <v>46066</v>
      </c>
      <c r="F475" s="34" t="s">
        <v>4289</v>
      </c>
      <c r="G475" s="34">
        <v>1.8</v>
      </c>
      <c r="H475" s="34" t="s">
        <v>227</v>
      </c>
      <c r="I475" s="34" t="s">
        <v>4500</v>
      </c>
      <c r="J475" s="34" t="s">
        <v>1353</v>
      </c>
      <c r="K475" s="35" t="s">
        <v>227</v>
      </c>
      <c r="L475" s="34">
        <v>1008</v>
      </c>
      <c r="M475" s="34" t="s">
        <v>3855</v>
      </c>
      <c r="N475" s="34" t="s">
        <v>4337</v>
      </c>
      <c r="O475" s="34" t="s">
        <v>309</v>
      </c>
      <c r="Q475" s="52">
        <f t="shared" si="7"/>
        <v>44</v>
      </c>
    </row>
    <row r="476" spans="1:17" x14ac:dyDescent="0.25">
      <c r="A476" s="34" t="s">
        <v>4286</v>
      </c>
      <c r="B476" s="34" t="s">
        <v>4287</v>
      </c>
      <c r="C476" s="35" t="s">
        <v>4288</v>
      </c>
      <c r="E476" s="50">
        <v>46066</v>
      </c>
      <c r="F476" s="34" t="s">
        <v>4289</v>
      </c>
      <c r="G476" s="34">
        <v>7.8</v>
      </c>
      <c r="H476" s="34" t="s">
        <v>227</v>
      </c>
      <c r="I476" s="34" t="s">
        <v>4500</v>
      </c>
      <c r="J476" s="34" t="s">
        <v>1353</v>
      </c>
      <c r="K476" s="35" t="s">
        <v>227</v>
      </c>
      <c r="L476" s="34">
        <v>1008</v>
      </c>
      <c r="M476" s="34" t="s">
        <v>3855</v>
      </c>
      <c r="N476" s="34" t="s">
        <v>4337</v>
      </c>
      <c r="O476" s="34" t="s">
        <v>309</v>
      </c>
      <c r="Q476" s="52">
        <f t="shared" si="7"/>
        <v>44</v>
      </c>
    </row>
    <row r="477" spans="1:17" x14ac:dyDescent="0.25">
      <c r="A477" s="34" t="s">
        <v>4286</v>
      </c>
      <c r="B477" s="34" t="s">
        <v>4287</v>
      </c>
      <c r="C477" s="35" t="s">
        <v>4288</v>
      </c>
      <c r="E477" s="50">
        <v>46064</v>
      </c>
      <c r="F477" s="34" t="s">
        <v>4290</v>
      </c>
      <c r="G477" s="34">
        <v>65.680000000000007</v>
      </c>
      <c r="H477" s="34" t="s">
        <v>227</v>
      </c>
      <c r="I477" s="34" t="s">
        <v>21</v>
      </c>
      <c r="J477" s="34" t="s">
        <v>111</v>
      </c>
      <c r="K477" s="35" t="s">
        <v>239</v>
      </c>
      <c r="L477" s="34">
        <v>4001</v>
      </c>
      <c r="M477" s="34" t="s">
        <v>3855</v>
      </c>
      <c r="N477" s="34" t="s">
        <v>4337</v>
      </c>
      <c r="O477" s="34" t="s">
        <v>309</v>
      </c>
      <c r="Q477" s="52">
        <f t="shared" si="7"/>
        <v>45</v>
      </c>
    </row>
    <row r="478" spans="1:17" x14ac:dyDescent="0.25">
      <c r="A478" s="34" t="s">
        <v>4286</v>
      </c>
      <c r="B478" s="34" t="s">
        <v>4287</v>
      </c>
      <c r="C478" s="35" t="s">
        <v>4288</v>
      </c>
      <c r="E478" s="50">
        <v>46063</v>
      </c>
      <c r="F478" s="34" t="s">
        <v>4291</v>
      </c>
      <c r="G478" s="34">
        <v>73.290000000000006</v>
      </c>
      <c r="H478" s="34" t="s">
        <v>227</v>
      </c>
      <c r="I478" s="34" t="s">
        <v>21</v>
      </c>
      <c r="J478" s="34" t="s">
        <v>111</v>
      </c>
      <c r="K478" s="35" t="s">
        <v>239</v>
      </c>
      <c r="L478" s="34">
        <v>4001</v>
      </c>
      <c r="M478" s="34" t="s">
        <v>3855</v>
      </c>
      <c r="N478" s="34" t="s">
        <v>4337</v>
      </c>
      <c r="O478" s="34" t="s">
        <v>309</v>
      </c>
      <c r="Q478" s="52">
        <f t="shared" si="7"/>
        <v>45</v>
      </c>
    </row>
    <row r="479" spans="1:17" x14ac:dyDescent="0.25">
      <c r="A479" s="34" t="s">
        <v>4286</v>
      </c>
      <c r="B479" s="34" t="s">
        <v>4287</v>
      </c>
      <c r="C479" s="35" t="s">
        <v>4288</v>
      </c>
      <c r="E479" s="50">
        <v>46063</v>
      </c>
      <c r="F479" s="34" t="s">
        <v>4253</v>
      </c>
      <c r="G479" s="34">
        <v>39.21</v>
      </c>
      <c r="H479" s="34" t="s">
        <v>227</v>
      </c>
      <c r="I479" s="34" t="s">
        <v>21</v>
      </c>
      <c r="J479" s="34" t="s">
        <v>111</v>
      </c>
      <c r="K479" s="35" t="s">
        <v>239</v>
      </c>
      <c r="L479" s="34">
        <v>4001</v>
      </c>
      <c r="M479" s="34" t="s">
        <v>3855</v>
      </c>
      <c r="N479" s="34" t="s">
        <v>4337</v>
      </c>
      <c r="O479" s="34" t="s">
        <v>309</v>
      </c>
      <c r="Q479" s="52">
        <f t="shared" si="7"/>
        <v>37</v>
      </c>
    </row>
    <row r="480" spans="1:17" x14ac:dyDescent="0.25">
      <c r="A480" s="34" t="s">
        <v>4286</v>
      </c>
      <c r="B480" s="34" t="s">
        <v>4287</v>
      </c>
      <c r="C480" s="35" t="s">
        <v>4288</v>
      </c>
      <c r="E480" s="50">
        <v>46059</v>
      </c>
      <c r="F480" s="34" t="s">
        <v>4253</v>
      </c>
      <c r="G480" s="34">
        <v>56.16</v>
      </c>
      <c r="H480" s="34" t="s">
        <v>227</v>
      </c>
      <c r="I480" s="34" t="s">
        <v>21</v>
      </c>
      <c r="J480" s="34" t="s">
        <v>111</v>
      </c>
      <c r="K480" s="35" t="s">
        <v>239</v>
      </c>
      <c r="L480" s="34">
        <v>4001</v>
      </c>
      <c r="M480" s="34" t="s">
        <v>3855</v>
      </c>
      <c r="N480" s="34" t="s">
        <v>4337</v>
      </c>
      <c r="O480" s="34" t="s">
        <v>309</v>
      </c>
      <c r="Q480" s="52">
        <f t="shared" si="7"/>
        <v>37</v>
      </c>
    </row>
    <row r="481" spans="1:17" x14ac:dyDescent="0.25">
      <c r="A481" s="34" t="s">
        <v>4286</v>
      </c>
      <c r="B481" s="34" t="s">
        <v>4287</v>
      </c>
      <c r="C481" s="35" t="s">
        <v>4288</v>
      </c>
      <c r="E481" s="50">
        <v>46085</v>
      </c>
      <c r="F481" s="34" t="s">
        <v>3840</v>
      </c>
      <c r="G481" s="34">
        <v>17.309999999999999</v>
      </c>
      <c r="H481" s="34" t="s">
        <v>227</v>
      </c>
      <c r="I481" s="34" t="s">
        <v>16</v>
      </c>
      <c r="J481" s="34" t="s">
        <v>4292</v>
      </c>
      <c r="K481" s="35" t="s">
        <v>686</v>
      </c>
      <c r="L481" s="34">
        <v>4001</v>
      </c>
      <c r="M481" s="34" t="s">
        <v>3855</v>
      </c>
      <c r="N481" s="34" t="s">
        <v>4337</v>
      </c>
      <c r="O481" s="34" t="s">
        <v>309</v>
      </c>
      <c r="Q481" s="52">
        <f t="shared" si="7"/>
        <v>33</v>
      </c>
    </row>
    <row r="482" spans="1:17" x14ac:dyDescent="0.25">
      <c r="A482" s="34" t="s">
        <v>4286</v>
      </c>
      <c r="B482" s="34" t="s">
        <v>4287</v>
      </c>
      <c r="C482" s="35" t="s">
        <v>4288</v>
      </c>
      <c r="E482" s="50">
        <v>46083</v>
      </c>
      <c r="F482" s="34" t="s">
        <v>4253</v>
      </c>
      <c r="G482" s="34">
        <v>35.99</v>
      </c>
      <c r="H482" s="34" t="s">
        <v>227</v>
      </c>
      <c r="I482" s="34" t="s">
        <v>21</v>
      </c>
      <c r="J482" s="34" t="s">
        <v>111</v>
      </c>
      <c r="K482" s="35" t="s">
        <v>239</v>
      </c>
      <c r="L482" s="34">
        <v>4001</v>
      </c>
      <c r="M482" s="34" t="s">
        <v>3855</v>
      </c>
      <c r="N482" s="34" t="s">
        <v>4337</v>
      </c>
      <c r="O482" s="34" t="s">
        <v>309</v>
      </c>
      <c r="Q482" s="52">
        <f t="shared" si="7"/>
        <v>37</v>
      </c>
    </row>
    <row r="483" spans="1:17" x14ac:dyDescent="0.25">
      <c r="A483" s="34" t="s">
        <v>4286</v>
      </c>
      <c r="B483" s="34" t="s">
        <v>4287</v>
      </c>
      <c r="C483" s="35" t="s">
        <v>4288</v>
      </c>
      <c r="E483" s="50">
        <v>46082</v>
      </c>
      <c r="F483" s="34" t="s">
        <v>4293</v>
      </c>
      <c r="G483" s="34">
        <v>66.44</v>
      </c>
      <c r="H483" s="34" t="s">
        <v>227</v>
      </c>
      <c r="I483" s="34" t="s">
        <v>21</v>
      </c>
      <c r="J483" s="34" t="s">
        <v>111</v>
      </c>
      <c r="K483" s="35" t="s">
        <v>239</v>
      </c>
      <c r="L483" s="34">
        <v>1035</v>
      </c>
      <c r="M483" s="34" t="s">
        <v>3855</v>
      </c>
      <c r="N483" s="34" t="s">
        <v>4337</v>
      </c>
      <c r="O483" s="34" t="s">
        <v>309</v>
      </c>
      <c r="Q483" s="52">
        <f t="shared" si="7"/>
        <v>24</v>
      </c>
    </row>
    <row r="484" spans="1:17" x14ac:dyDescent="0.25">
      <c r="A484" s="34" t="s">
        <v>4286</v>
      </c>
      <c r="B484" s="34" t="s">
        <v>4287</v>
      </c>
      <c r="C484" s="35" t="s">
        <v>4288</v>
      </c>
      <c r="E484" s="50">
        <v>46076</v>
      </c>
      <c r="F484" s="34" t="s">
        <v>4166</v>
      </c>
      <c r="G484" s="34">
        <v>35.950000000000003</v>
      </c>
      <c r="H484" s="34" t="s">
        <v>227</v>
      </c>
      <c r="I484" s="34" t="s">
        <v>16</v>
      </c>
      <c r="J484" s="34" t="s">
        <v>4132</v>
      </c>
      <c r="K484" s="35" t="s">
        <v>4360</v>
      </c>
      <c r="L484" s="34">
        <v>1035</v>
      </c>
      <c r="M484" s="34" t="s">
        <v>3855</v>
      </c>
      <c r="N484" s="34" t="s">
        <v>4337</v>
      </c>
      <c r="O484" s="34" t="s">
        <v>309</v>
      </c>
      <c r="Q484" s="52">
        <f t="shared" si="7"/>
        <v>42</v>
      </c>
    </row>
    <row r="485" spans="1:17" x14ac:dyDescent="0.25">
      <c r="A485" s="34" t="s">
        <v>4286</v>
      </c>
      <c r="B485" s="34" t="s">
        <v>4287</v>
      </c>
      <c r="C485" s="35" t="s">
        <v>4288</v>
      </c>
      <c r="E485" s="50">
        <v>46076</v>
      </c>
      <c r="F485" s="34" t="s">
        <v>4166</v>
      </c>
      <c r="G485" s="34">
        <v>30.74</v>
      </c>
      <c r="H485" s="34" t="s">
        <v>227</v>
      </c>
      <c r="I485" s="34" t="s">
        <v>16</v>
      </c>
      <c r="J485" s="34" t="s">
        <v>4132</v>
      </c>
      <c r="K485" s="35" t="s">
        <v>4360</v>
      </c>
      <c r="L485" s="34">
        <v>1035</v>
      </c>
      <c r="M485" s="34" t="s">
        <v>3855</v>
      </c>
      <c r="N485" s="34" t="s">
        <v>4337</v>
      </c>
      <c r="O485" s="34" t="s">
        <v>309</v>
      </c>
      <c r="Q485" s="52">
        <f t="shared" si="7"/>
        <v>42</v>
      </c>
    </row>
    <row r="486" spans="1:17" x14ac:dyDescent="0.25">
      <c r="A486" s="34" t="s">
        <v>4286</v>
      </c>
      <c r="B486" s="34" t="s">
        <v>4287</v>
      </c>
      <c r="C486" s="35" t="s">
        <v>4288</v>
      </c>
      <c r="E486" s="50">
        <v>46074</v>
      </c>
      <c r="F486" s="34" t="s">
        <v>4294</v>
      </c>
      <c r="G486" s="34">
        <v>23.28</v>
      </c>
      <c r="H486" s="34" t="s">
        <v>227</v>
      </c>
      <c r="I486" s="34" t="s">
        <v>21</v>
      </c>
      <c r="J486" s="34" t="s">
        <v>111</v>
      </c>
      <c r="K486" s="35" t="s">
        <v>239</v>
      </c>
      <c r="L486" s="34">
        <v>1012</v>
      </c>
      <c r="M486" s="34" t="s">
        <v>3855</v>
      </c>
      <c r="N486" s="34" t="s">
        <v>4337</v>
      </c>
      <c r="O486" s="34" t="s">
        <v>309</v>
      </c>
      <c r="Q486" s="52">
        <f t="shared" si="7"/>
        <v>34</v>
      </c>
    </row>
    <row r="487" spans="1:17" x14ac:dyDescent="0.25">
      <c r="A487" s="34" t="s">
        <v>4286</v>
      </c>
      <c r="B487" s="34" t="s">
        <v>4287</v>
      </c>
      <c r="C487" s="35" t="s">
        <v>4288</v>
      </c>
      <c r="E487" s="50">
        <v>46074</v>
      </c>
      <c r="F487" s="34" t="s">
        <v>4295</v>
      </c>
      <c r="G487" s="34">
        <v>21.96</v>
      </c>
      <c r="H487" s="34" t="s">
        <v>227</v>
      </c>
      <c r="I487" s="34" t="s">
        <v>21</v>
      </c>
      <c r="J487" s="34" t="s">
        <v>111</v>
      </c>
      <c r="K487" s="35" t="s">
        <v>239</v>
      </c>
      <c r="L487" s="34">
        <v>1012</v>
      </c>
      <c r="M487" s="34" t="s">
        <v>3855</v>
      </c>
      <c r="N487" s="34" t="s">
        <v>4337</v>
      </c>
      <c r="O487" s="34" t="s">
        <v>309</v>
      </c>
      <c r="Q487" s="52">
        <f t="shared" si="7"/>
        <v>34</v>
      </c>
    </row>
    <row r="488" spans="1:17" x14ac:dyDescent="0.25">
      <c r="A488" s="34" t="s">
        <v>4286</v>
      </c>
      <c r="B488" s="34" t="s">
        <v>4287</v>
      </c>
      <c r="C488" s="35" t="s">
        <v>4288</v>
      </c>
      <c r="E488" s="50">
        <v>46073</v>
      </c>
      <c r="F488" s="34" t="s">
        <v>4296</v>
      </c>
      <c r="G488" s="34">
        <v>108.74</v>
      </c>
      <c r="H488" s="34" t="s">
        <v>227</v>
      </c>
      <c r="I488" s="34" t="s">
        <v>21</v>
      </c>
      <c r="J488" s="34" t="s">
        <v>111</v>
      </c>
      <c r="K488" s="35" t="s">
        <v>239</v>
      </c>
      <c r="L488" s="34">
        <v>1035</v>
      </c>
      <c r="M488" s="34" t="s">
        <v>3855</v>
      </c>
      <c r="N488" s="34" t="s">
        <v>4337</v>
      </c>
      <c r="O488" s="34" t="s">
        <v>309</v>
      </c>
      <c r="Q488" s="52">
        <f t="shared" si="7"/>
        <v>24</v>
      </c>
    </row>
    <row r="489" spans="1:17" x14ac:dyDescent="0.25">
      <c r="A489" s="34" t="s">
        <v>4286</v>
      </c>
      <c r="B489" s="34" t="s">
        <v>4287</v>
      </c>
      <c r="C489" s="35" t="s">
        <v>4288</v>
      </c>
      <c r="E489" s="50">
        <v>46073</v>
      </c>
      <c r="F489" s="34" t="s">
        <v>4297</v>
      </c>
      <c r="G489" s="34">
        <v>145.58000000000001</v>
      </c>
      <c r="H489" s="34" t="s">
        <v>227</v>
      </c>
      <c r="I489" s="34" t="s">
        <v>4500</v>
      </c>
      <c r="J489" s="34" t="s">
        <v>4298</v>
      </c>
      <c r="K489" s="35" t="s">
        <v>1165</v>
      </c>
      <c r="L489" s="34">
        <v>1012</v>
      </c>
      <c r="M489" s="34" t="s">
        <v>3855</v>
      </c>
      <c r="N489" s="34" t="s">
        <v>4337</v>
      </c>
      <c r="O489" s="34" t="s">
        <v>309</v>
      </c>
      <c r="Q489" s="52">
        <f t="shared" si="7"/>
        <v>34</v>
      </c>
    </row>
    <row r="490" spans="1:17" x14ac:dyDescent="0.25">
      <c r="A490" s="34" t="s">
        <v>4286</v>
      </c>
      <c r="B490" s="34" t="s">
        <v>4287</v>
      </c>
      <c r="C490" s="35" t="s">
        <v>4288</v>
      </c>
      <c r="E490" s="50">
        <v>46073</v>
      </c>
      <c r="F490" s="34" t="s">
        <v>4297</v>
      </c>
      <c r="G490" s="34">
        <v>380.93</v>
      </c>
      <c r="H490" s="34" t="s">
        <v>227</v>
      </c>
      <c r="I490" s="34" t="s">
        <v>4500</v>
      </c>
      <c r="J490" s="34" t="s">
        <v>4299</v>
      </c>
      <c r="K490" s="35" t="s">
        <v>4467</v>
      </c>
      <c r="L490" s="34">
        <v>1012</v>
      </c>
      <c r="M490" s="34" t="s">
        <v>3855</v>
      </c>
      <c r="N490" s="34" t="s">
        <v>4337</v>
      </c>
      <c r="O490" s="34" t="s">
        <v>309</v>
      </c>
      <c r="Q490" s="52">
        <f t="shared" si="7"/>
        <v>42</v>
      </c>
    </row>
    <row r="491" spans="1:17" x14ac:dyDescent="0.25">
      <c r="A491" s="34" t="s">
        <v>4286</v>
      </c>
      <c r="B491" s="34" t="s">
        <v>4287</v>
      </c>
      <c r="C491" s="35" t="s">
        <v>4288</v>
      </c>
      <c r="E491" s="50">
        <v>46072</v>
      </c>
      <c r="F491" s="34" t="s">
        <v>4253</v>
      </c>
      <c r="G491" s="34">
        <v>35.01</v>
      </c>
      <c r="H491" s="34" t="s">
        <v>227</v>
      </c>
      <c r="I491" s="34" t="s">
        <v>21</v>
      </c>
      <c r="J491" s="34" t="s">
        <v>111</v>
      </c>
      <c r="K491" s="35" t="s">
        <v>239</v>
      </c>
      <c r="L491" s="34">
        <v>4001</v>
      </c>
      <c r="M491" s="34" t="s">
        <v>3855</v>
      </c>
      <c r="N491" s="34" t="s">
        <v>4337</v>
      </c>
      <c r="O491" s="34" t="s">
        <v>309</v>
      </c>
      <c r="Q491" s="52">
        <f t="shared" si="7"/>
        <v>37</v>
      </c>
    </row>
    <row r="492" spans="1:17" x14ac:dyDescent="0.25">
      <c r="A492" s="34" t="s">
        <v>4286</v>
      </c>
      <c r="B492" s="34" t="s">
        <v>4287</v>
      </c>
      <c r="C492" s="35" t="s">
        <v>4288</v>
      </c>
      <c r="E492" s="50">
        <v>46071</v>
      </c>
      <c r="F492" s="34" t="s">
        <v>4300</v>
      </c>
      <c r="G492" s="34">
        <v>814.92</v>
      </c>
      <c r="H492" s="34" t="s">
        <v>227</v>
      </c>
      <c r="I492" s="34" t="s">
        <v>16</v>
      </c>
      <c r="J492" s="34" t="s">
        <v>4301</v>
      </c>
      <c r="K492" s="35" t="s">
        <v>4381</v>
      </c>
      <c r="L492" s="34">
        <v>1012</v>
      </c>
      <c r="M492" s="34" t="s">
        <v>3855</v>
      </c>
      <c r="N492" s="34" t="s">
        <v>4337</v>
      </c>
      <c r="O492" s="34" t="s">
        <v>309</v>
      </c>
      <c r="Q492" s="52">
        <f t="shared" si="7"/>
        <v>38</v>
      </c>
    </row>
    <row r="493" spans="1:17" x14ac:dyDescent="0.25">
      <c r="A493" s="34" t="s">
        <v>4286</v>
      </c>
      <c r="B493" s="34" t="s">
        <v>4287</v>
      </c>
      <c r="C493" s="35" t="s">
        <v>4288</v>
      </c>
      <c r="E493" s="50">
        <v>46086</v>
      </c>
      <c r="F493" s="34" t="s">
        <v>4302</v>
      </c>
      <c r="G493" s="34">
        <v>26.46</v>
      </c>
      <c r="H493" s="34" t="s">
        <v>227</v>
      </c>
      <c r="I493" s="34" t="s">
        <v>21</v>
      </c>
      <c r="J493" s="34" t="s">
        <v>111</v>
      </c>
      <c r="K493" s="35" t="s">
        <v>239</v>
      </c>
      <c r="L493" s="34">
        <v>4253</v>
      </c>
      <c r="M493" s="34" t="s">
        <v>3855</v>
      </c>
      <c r="N493" s="34" t="s">
        <v>4337</v>
      </c>
      <c r="O493" s="34" t="s">
        <v>309</v>
      </c>
      <c r="Q493" s="52">
        <f t="shared" si="7"/>
        <v>43</v>
      </c>
    </row>
    <row r="494" spans="1:17" x14ac:dyDescent="0.25">
      <c r="A494" s="34" t="s">
        <v>4286</v>
      </c>
      <c r="B494" s="34" t="s">
        <v>4287</v>
      </c>
      <c r="C494" s="35" t="s">
        <v>4288</v>
      </c>
      <c r="E494" s="50">
        <v>46087</v>
      </c>
      <c r="F494" s="34" t="s">
        <v>4253</v>
      </c>
      <c r="G494" s="34">
        <v>47.35</v>
      </c>
      <c r="H494" s="34" t="s">
        <v>227</v>
      </c>
      <c r="I494" s="34" t="s">
        <v>21</v>
      </c>
      <c r="J494" s="34" t="s">
        <v>111</v>
      </c>
      <c r="K494" s="35" t="s">
        <v>239</v>
      </c>
      <c r="L494" s="34">
        <v>4001</v>
      </c>
      <c r="M494" s="34" t="s">
        <v>3855</v>
      </c>
      <c r="N494" s="34" t="s">
        <v>4337</v>
      </c>
      <c r="O494" s="34" t="s">
        <v>309</v>
      </c>
      <c r="Q494" s="52">
        <f t="shared" si="7"/>
        <v>37</v>
      </c>
    </row>
    <row r="495" spans="1:17" x14ac:dyDescent="0.25">
      <c r="A495" s="34" t="s">
        <v>4303</v>
      </c>
      <c r="B495" s="34" t="s">
        <v>4304</v>
      </c>
      <c r="C495" s="35" t="s">
        <v>4305</v>
      </c>
      <c r="E495" s="50">
        <v>46073</v>
      </c>
      <c r="F495" s="34" t="s">
        <v>4784</v>
      </c>
      <c r="G495" s="34">
        <v>11.47</v>
      </c>
      <c r="H495" s="34" t="s">
        <v>227</v>
      </c>
      <c r="I495" s="34" t="s">
        <v>16</v>
      </c>
      <c r="J495" s="34" t="s">
        <v>4306</v>
      </c>
      <c r="K495" s="35" t="s">
        <v>3081</v>
      </c>
      <c r="L495" s="34">
        <v>1035</v>
      </c>
      <c r="M495" s="34" t="s">
        <v>3855</v>
      </c>
      <c r="N495" s="34" t="s">
        <v>4337</v>
      </c>
      <c r="O495" s="34" t="s">
        <v>311</v>
      </c>
      <c r="Q495" s="52">
        <f t="shared" si="7"/>
        <v>51</v>
      </c>
    </row>
    <row r="496" spans="1:17" x14ac:dyDescent="0.25">
      <c r="A496" s="34" t="s">
        <v>4303</v>
      </c>
      <c r="B496" s="34" t="s">
        <v>4304</v>
      </c>
      <c r="C496" s="35" t="s">
        <v>4305</v>
      </c>
      <c r="E496" s="50">
        <v>46079</v>
      </c>
      <c r="F496" s="34" t="s">
        <v>4784</v>
      </c>
      <c r="G496" s="34">
        <v>24.5</v>
      </c>
      <c r="H496" s="34" t="s">
        <v>227</v>
      </c>
      <c r="I496" s="34" t="s">
        <v>16</v>
      </c>
      <c r="J496" s="34" t="s">
        <v>4255</v>
      </c>
      <c r="K496" s="35" t="s">
        <v>4343</v>
      </c>
      <c r="L496" s="34">
        <v>1035</v>
      </c>
      <c r="M496" s="34" t="s">
        <v>3855</v>
      </c>
      <c r="N496" s="34" t="s">
        <v>4337</v>
      </c>
      <c r="O496" s="34" t="s">
        <v>311</v>
      </c>
      <c r="Q496" s="52">
        <f t="shared" si="7"/>
        <v>52</v>
      </c>
    </row>
    <row r="497" spans="1:17" x14ac:dyDescent="0.25">
      <c r="A497" s="34" t="s">
        <v>4303</v>
      </c>
      <c r="B497" s="34" t="s">
        <v>4304</v>
      </c>
      <c r="C497" s="35" t="s">
        <v>4305</v>
      </c>
      <c r="E497" s="50">
        <v>46076</v>
      </c>
      <c r="F497" s="34" t="s">
        <v>4784</v>
      </c>
      <c r="G497" s="34">
        <v>5.15</v>
      </c>
      <c r="H497" s="34" t="s">
        <v>227</v>
      </c>
      <c r="I497" s="34" t="s">
        <v>16</v>
      </c>
      <c r="J497" s="34" t="s">
        <v>4132</v>
      </c>
      <c r="K497" s="35" t="s">
        <v>4360</v>
      </c>
      <c r="L497" s="34">
        <v>1035</v>
      </c>
      <c r="M497" s="34" t="s">
        <v>3855</v>
      </c>
      <c r="N497" s="34" t="s">
        <v>4337</v>
      </c>
      <c r="O497" s="34" t="s">
        <v>311</v>
      </c>
      <c r="Q497" s="52">
        <f t="shared" si="7"/>
        <v>59</v>
      </c>
    </row>
    <row r="498" spans="1:17" x14ac:dyDescent="0.25">
      <c r="A498" s="34" t="s">
        <v>4303</v>
      </c>
      <c r="B498" s="34" t="s">
        <v>4304</v>
      </c>
      <c r="C498" s="35" t="s">
        <v>4305</v>
      </c>
      <c r="E498" s="50">
        <v>46063</v>
      </c>
      <c r="F498" s="34" t="s">
        <v>4307</v>
      </c>
      <c r="G498" s="34">
        <v>-2015.09</v>
      </c>
      <c r="H498" s="34" t="s">
        <v>227</v>
      </c>
      <c r="I498" s="34" t="s">
        <v>3594</v>
      </c>
      <c r="J498" s="34" t="s">
        <v>47</v>
      </c>
      <c r="K498" s="35" t="s">
        <v>41</v>
      </c>
      <c r="L498" s="34">
        <v>1035</v>
      </c>
      <c r="M498" s="34" t="s">
        <v>3855</v>
      </c>
      <c r="N498" s="34" t="s">
        <v>4337</v>
      </c>
      <c r="O498" s="34" t="s">
        <v>311</v>
      </c>
      <c r="Q498" s="52">
        <f t="shared" si="7"/>
        <v>31</v>
      </c>
    </row>
    <row r="499" spans="1:17" x14ac:dyDescent="0.25">
      <c r="A499" s="34" t="s">
        <v>4303</v>
      </c>
      <c r="B499" s="34" t="s">
        <v>4304</v>
      </c>
      <c r="C499" s="35" t="s">
        <v>4305</v>
      </c>
      <c r="E499" s="50">
        <v>46072</v>
      </c>
      <c r="F499" s="34" t="s">
        <v>4308</v>
      </c>
      <c r="G499" s="34">
        <v>6.4</v>
      </c>
      <c r="H499" s="34" t="s">
        <v>227</v>
      </c>
      <c r="I499" s="34" t="s">
        <v>16</v>
      </c>
      <c r="J499" s="34" t="s">
        <v>4309</v>
      </c>
      <c r="K499" s="35" t="s">
        <v>725</v>
      </c>
      <c r="L499" s="34">
        <v>4001</v>
      </c>
      <c r="M499" s="34" t="s">
        <v>3855</v>
      </c>
      <c r="N499" s="34" t="s">
        <v>4337</v>
      </c>
      <c r="O499" s="34" t="s">
        <v>311</v>
      </c>
      <c r="Q499" s="52">
        <f t="shared" si="7"/>
        <v>39</v>
      </c>
    </row>
    <row r="500" spans="1:17" x14ac:dyDescent="0.25">
      <c r="A500" s="34" t="s">
        <v>4303</v>
      </c>
      <c r="B500" s="34" t="s">
        <v>4304</v>
      </c>
      <c r="C500" s="35" t="s">
        <v>4305</v>
      </c>
      <c r="E500" s="50">
        <v>46079</v>
      </c>
      <c r="F500" s="34" t="s">
        <v>4798</v>
      </c>
      <c r="G500" s="34">
        <v>45</v>
      </c>
      <c r="H500" s="34" t="s">
        <v>227</v>
      </c>
      <c r="I500" s="34" t="s">
        <v>3594</v>
      </c>
      <c r="J500" s="34" t="s">
        <v>852</v>
      </c>
      <c r="K500" s="35" t="s">
        <v>119</v>
      </c>
      <c r="L500" s="34">
        <v>1035</v>
      </c>
      <c r="M500" s="34" t="s">
        <v>3855</v>
      </c>
      <c r="N500" s="34" t="s">
        <v>4337</v>
      </c>
      <c r="O500" s="34" t="s">
        <v>311</v>
      </c>
      <c r="Q500" s="52">
        <f t="shared" si="7"/>
        <v>59</v>
      </c>
    </row>
    <row r="501" spans="1:17" x14ac:dyDescent="0.25">
      <c r="A501" s="34" t="s">
        <v>4303</v>
      </c>
      <c r="B501" s="34" t="s">
        <v>4304</v>
      </c>
      <c r="C501" s="35" t="s">
        <v>4305</v>
      </c>
      <c r="E501" s="50">
        <v>46064</v>
      </c>
      <c r="F501" s="34" t="s">
        <v>4499</v>
      </c>
      <c r="G501" s="34">
        <v>74</v>
      </c>
      <c r="H501" s="34" t="s">
        <v>227</v>
      </c>
      <c r="I501" s="34" t="s">
        <v>3594</v>
      </c>
      <c r="J501" s="34" t="s">
        <v>117</v>
      </c>
      <c r="K501" s="35" t="s">
        <v>119</v>
      </c>
      <c r="L501" s="34">
        <v>1035</v>
      </c>
      <c r="M501" s="34" t="s">
        <v>3855</v>
      </c>
      <c r="N501" s="34" t="s">
        <v>4337</v>
      </c>
      <c r="O501" s="34" t="s">
        <v>311</v>
      </c>
      <c r="Q501" s="52">
        <f t="shared" si="7"/>
        <v>59</v>
      </c>
    </row>
    <row r="502" spans="1:17" x14ac:dyDescent="0.25">
      <c r="A502" s="34" t="s">
        <v>4303</v>
      </c>
      <c r="B502" s="34" t="s">
        <v>4304</v>
      </c>
      <c r="C502" s="35" t="s">
        <v>4305</v>
      </c>
      <c r="E502" s="50">
        <v>46063</v>
      </c>
      <c r="F502" s="34" t="s">
        <v>4261</v>
      </c>
      <c r="G502" s="34">
        <v>30</v>
      </c>
      <c r="H502" s="34" t="s">
        <v>227</v>
      </c>
      <c r="I502" s="34" t="s">
        <v>3594</v>
      </c>
      <c r="J502" s="34" t="s">
        <v>30</v>
      </c>
      <c r="K502" s="35" t="s">
        <v>790</v>
      </c>
      <c r="L502" s="34">
        <v>1035</v>
      </c>
      <c r="M502" s="34" t="s">
        <v>3855</v>
      </c>
      <c r="N502" s="34" t="s">
        <v>4337</v>
      </c>
      <c r="O502" s="34" t="s">
        <v>311</v>
      </c>
      <c r="Q502" s="52">
        <f t="shared" si="7"/>
        <v>38</v>
      </c>
    </row>
    <row r="503" spans="1:17" x14ac:dyDescent="0.25">
      <c r="A503" s="34" t="s">
        <v>4303</v>
      </c>
      <c r="B503" s="34" t="s">
        <v>4304</v>
      </c>
      <c r="C503" s="35" t="s">
        <v>4305</v>
      </c>
      <c r="E503" s="50">
        <v>46063</v>
      </c>
      <c r="F503" s="34" t="s">
        <v>4261</v>
      </c>
      <c r="G503" s="34">
        <v>30</v>
      </c>
      <c r="H503" s="34" t="s">
        <v>227</v>
      </c>
      <c r="I503" s="34" t="s">
        <v>3594</v>
      </c>
      <c r="J503" s="34" t="s">
        <v>30</v>
      </c>
      <c r="K503" s="35" t="s">
        <v>790</v>
      </c>
      <c r="L503" s="34">
        <v>1035</v>
      </c>
      <c r="M503" s="34" t="s">
        <v>3855</v>
      </c>
      <c r="N503" s="34" t="s">
        <v>4337</v>
      </c>
      <c r="O503" s="34" t="s">
        <v>311</v>
      </c>
      <c r="Q503" s="52">
        <f t="shared" si="7"/>
        <v>38</v>
      </c>
    </row>
    <row r="504" spans="1:17" x14ac:dyDescent="0.25">
      <c r="A504" s="34" t="s">
        <v>4303</v>
      </c>
      <c r="B504" s="34" t="s">
        <v>4304</v>
      </c>
      <c r="C504" s="35" t="s">
        <v>4305</v>
      </c>
      <c r="E504" s="50">
        <v>46085</v>
      </c>
      <c r="F504" s="34" t="s">
        <v>4253</v>
      </c>
      <c r="G504" s="34">
        <v>42.7</v>
      </c>
      <c r="H504" s="34" t="s">
        <v>227</v>
      </c>
      <c r="I504" s="34" t="s">
        <v>21</v>
      </c>
      <c r="J504" s="34" t="s">
        <v>111</v>
      </c>
      <c r="K504" s="35" t="s">
        <v>239</v>
      </c>
      <c r="L504" s="34">
        <v>4001</v>
      </c>
      <c r="M504" s="34" t="s">
        <v>3855</v>
      </c>
      <c r="N504" s="34" t="s">
        <v>4337</v>
      </c>
      <c r="O504" s="34" t="s">
        <v>311</v>
      </c>
      <c r="Q504" s="52">
        <f t="shared" si="7"/>
        <v>37</v>
      </c>
    </row>
    <row r="505" spans="1:17" x14ac:dyDescent="0.25">
      <c r="A505" s="34" t="s">
        <v>4303</v>
      </c>
      <c r="B505" s="34" t="s">
        <v>4304</v>
      </c>
      <c r="C505" s="35" t="s">
        <v>4305</v>
      </c>
      <c r="E505" s="50">
        <v>46084</v>
      </c>
      <c r="F505" s="34" t="s">
        <v>4253</v>
      </c>
      <c r="G505" s="34">
        <v>25.99</v>
      </c>
      <c r="H505" s="34" t="s">
        <v>227</v>
      </c>
      <c r="I505" s="34" t="s">
        <v>21</v>
      </c>
      <c r="J505" s="34" t="s">
        <v>111</v>
      </c>
      <c r="K505" s="35" t="s">
        <v>239</v>
      </c>
      <c r="L505" s="34">
        <v>4001</v>
      </c>
      <c r="M505" s="34" t="s">
        <v>3855</v>
      </c>
      <c r="N505" s="34" t="s">
        <v>4337</v>
      </c>
      <c r="O505" s="34" t="s">
        <v>311</v>
      </c>
      <c r="Q505" s="52">
        <f t="shared" si="7"/>
        <v>37</v>
      </c>
    </row>
    <row r="506" spans="1:17" x14ac:dyDescent="0.25">
      <c r="A506" s="34" t="s">
        <v>4303</v>
      </c>
      <c r="B506" s="34" t="s">
        <v>4304</v>
      </c>
      <c r="C506" s="35" t="s">
        <v>4305</v>
      </c>
      <c r="E506" s="50">
        <v>46080</v>
      </c>
      <c r="F506" s="34" t="s">
        <v>4799</v>
      </c>
      <c r="G506" s="34">
        <v>94.48</v>
      </c>
      <c r="H506" s="34" t="s">
        <v>227</v>
      </c>
      <c r="I506" s="34" t="s">
        <v>21</v>
      </c>
      <c r="J506" s="34" t="s">
        <v>111</v>
      </c>
      <c r="K506" s="35" t="s">
        <v>239</v>
      </c>
      <c r="L506" s="34">
        <v>1035</v>
      </c>
      <c r="M506" s="34" t="s">
        <v>3855</v>
      </c>
      <c r="N506" s="34" t="s">
        <v>4337</v>
      </c>
      <c r="O506" s="34" t="s">
        <v>311</v>
      </c>
      <c r="Q506" s="52">
        <f t="shared" si="7"/>
        <v>41</v>
      </c>
    </row>
    <row r="507" spans="1:17" x14ac:dyDescent="0.25">
      <c r="A507" s="34" t="s">
        <v>4303</v>
      </c>
      <c r="B507" s="34" t="s">
        <v>4304</v>
      </c>
      <c r="C507" s="35" t="s">
        <v>4305</v>
      </c>
      <c r="E507" s="50">
        <v>46073</v>
      </c>
      <c r="F507" s="34" t="s">
        <v>4800</v>
      </c>
      <c r="G507" s="34">
        <v>25.95</v>
      </c>
      <c r="H507" s="34" t="s">
        <v>227</v>
      </c>
      <c r="I507" s="34" t="s">
        <v>21</v>
      </c>
      <c r="J507" s="34" t="s">
        <v>111</v>
      </c>
      <c r="K507" s="35" t="s">
        <v>239</v>
      </c>
      <c r="L507" s="34">
        <v>1035</v>
      </c>
      <c r="M507" s="34" t="s">
        <v>3855</v>
      </c>
      <c r="N507" s="34" t="s">
        <v>4337</v>
      </c>
      <c r="O507" s="34" t="s">
        <v>311</v>
      </c>
      <c r="Q507" s="52">
        <f t="shared" si="7"/>
        <v>42</v>
      </c>
    </row>
    <row r="508" spans="1:17" x14ac:dyDescent="0.25">
      <c r="A508" s="34" t="s">
        <v>4303</v>
      </c>
      <c r="B508" s="34" t="s">
        <v>4304</v>
      </c>
      <c r="C508" s="35" t="s">
        <v>4305</v>
      </c>
      <c r="E508" s="50">
        <v>46073</v>
      </c>
      <c r="F508" s="34" t="s">
        <v>4801</v>
      </c>
      <c r="G508" s="34">
        <v>106.93</v>
      </c>
      <c r="H508" s="34" t="s">
        <v>227</v>
      </c>
      <c r="I508" s="34" t="s">
        <v>21</v>
      </c>
      <c r="J508" s="34" t="s">
        <v>111</v>
      </c>
      <c r="K508" s="35" t="s">
        <v>239</v>
      </c>
      <c r="L508" s="34">
        <v>1035</v>
      </c>
      <c r="M508" s="34" t="s">
        <v>3855</v>
      </c>
      <c r="N508" s="34" t="s">
        <v>4337</v>
      </c>
      <c r="O508" s="34" t="s">
        <v>311</v>
      </c>
      <c r="Q508" s="52">
        <f t="shared" si="7"/>
        <v>41</v>
      </c>
    </row>
    <row r="509" spans="1:17" x14ac:dyDescent="0.25">
      <c r="A509" s="34" t="s">
        <v>4303</v>
      </c>
      <c r="B509" s="34" t="s">
        <v>4304</v>
      </c>
      <c r="C509" s="35" t="s">
        <v>4305</v>
      </c>
      <c r="E509" s="50">
        <v>46073</v>
      </c>
      <c r="F509" s="34" t="s">
        <v>4253</v>
      </c>
      <c r="G509" s="34">
        <v>45.56</v>
      </c>
      <c r="H509" s="34" t="s">
        <v>227</v>
      </c>
      <c r="I509" s="34" t="s">
        <v>21</v>
      </c>
      <c r="J509" s="34" t="s">
        <v>111</v>
      </c>
      <c r="K509" s="35" t="s">
        <v>239</v>
      </c>
      <c r="L509" s="34">
        <v>4001</v>
      </c>
      <c r="M509" s="34" t="s">
        <v>3855</v>
      </c>
      <c r="N509" s="34" t="s">
        <v>4337</v>
      </c>
      <c r="O509" s="34" t="s">
        <v>311</v>
      </c>
      <c r="Q509" s="52">
        <f t="shared" si="7"/>
        <v>37</v>
      </c>
    </row>
    <row r="510" spans="1:17" x14ac:dyDescent="0.25">
      <c r="A510" s="34" t="s">
        <v>4303</v>
      </c>
      <c r="B510" s="34" t="s">
        <v>4304</v>
      </c>
      <c r="C510" s="35" t="s">
        <v>4305</v>
      </c>
      <c r="E510" s="50">
        <v>46072</v>
      </c>
      <c r="F510" s="34" t="s">
        <v>4253</v>
      </c>
      <c r="G510" s="34">
        <v>98.98</v>
      </c>
      <c r="H510" s="34" t="s">
        <v>227</v>
      </c>
      <c r="I510" s="34" t="s">
        <v>21</v>
      </c>
      <c r="J510" s="34" t="s">
        <v>111</v>
      </c>
      <c r="K510" s="35" t="s">
        <v>239</v>
      </c>
      <c r="L510" s="34">
        <v>4001</v>
      </c>
      <c r="M510" s="34" t="s">
        <v>3855</v>
      </c>
      <c r="N510" s="34" t="s">
        <v>4337</v>
      </c>
      <c r="O510" s="34" t="s">
        <v>311</v>
      </c>
      <c r="Q510" s="52">
        <f t="shared" si="7"/>
        <v>37</v>
      </c>
    </row>
    <row r="511" spans="1:17" x14ac:dyDescent="0.25">
      <c r="A511" s="34" t="s">
        <v>4303</v>
      </c>
      <c r="B511" s="34" t="s">
        <v>4304</v>
      </c>
      <c r="C511" s="35" t="s">
        <v>4305</v>
      </c>
      <c r="E511" s="50">
        <v>46071</v>
      </c>
      <c r="F511" s="34" t="s">
        <v>4253</v>
      </c>
      <c r="G511" s="34">
        <v>38.31</v>
      </c>
      <c r="H511" s="34" t="s">
        <v>227</v>
      </c>
      <c r="I511" s="34" t="s">
        <v>21</v>
      </c>
      <c r="J511" s="34" t="s">
        <v>111</v>
      </c>
      <c r="K511" s="35" t="s">
        <v>239</v>
      </c>
      <c r="L511" s="34">
        <v>4001</v>
      </c>
      <c r="M511" s="34" t="s">
        <v>3855</v>
      </c>
      <c r="N511" s="34" t="s">
        <v>4337</v>
      </c>
      <c r="O511" s="34" t="s">
        <v>311</v>
      </c>
      <c r="Q511" s="52">
        <f t="shared" si="7"/>
        <v>37</v>
      </c>
    </row>
    <row r="512" spans="1:17" x14ac:dyDescent="0.25">
      <c r="A512" s="34" t="s">
        <v>4303</v>
      </c>
      <c r="B512" s="34" t="s">
        <v>4304</v>
      </c>
      <c r="C512" s="35" t="s">
        <v>4305</v>
      </c>
      <c r="E512" s="50">
        <v>46066</v>
      </c>
      <c r="F512" s="34" t="s">
        <v>4253</v>
      </c>
      <c r="G512" s="34">
        <v>58.98</v>
      </c>
      <c r="H512" s="34" t="s">
        <v>227</v>
      </c>
      <c r="I512" s="34" t="s">
        <v>21</v>
      </c>
      <c r="J512" s="34" t="s">
        <v>111</v>
      </c>
      <c r="K512" s="35" t="s">
        <v>239</v>
      </c>
      <c r="L512" s="34">
        <v>4001</v>
      </c>
      <c r="M512" s="34" t="s">
        <v>3855</v>
      </c>
      <c r="N512" s="34" t="s">
        <v>4337</v>
      </c>
      <c r="O512" s="34" t="s">
        <v>311</v>
      </c>
      <c r="Q512" s="52">
        <f t="shared" si="7"/>
        <v>37</v>
      </c>
    </row>
    <row r="513" spans="1:17" x14ac:dyDescent="0.25">
      <c r="A513" s="34" t="s">
        <v>4303</v>
      </c>
      <c r="B513" s="34" t="s">
        <v>4304</v>
      </c>
      <c r="C513" s="35" t="s">
        <v>4305</v>
      </c>
      <c r="E513" s="50">
        <v>46065</v>
      </c>
      <c r="F513" s="34" t="s">
        <v>4253</v>
      </c>
      <c r="G513" s="34">
        <v>39.43</v>
      </c>
      <c r="H513" s="34" t="s">
        <v>227</v>
      </c>
      <c r="I513" s="34" t="s">
        <v>21</v>
      </c>
      <c r="J513" s="34" t="s">
        <v>111</v>
      </c>
      <c r="K513" s="35" t="s">
        <v>239</v>
      </c>
      <c r="L513" s="34">
        <v>4001</v>
      </c>
      <c r="M513" s="34" t="s">
        <v>3855</v>
      </c>
      <c r="N513" s="34" t="s">
        <v>4337</v>
      </c>
      <c r="O513" s="34" t="s">
        <v>311</v>
      </c>
      <c r="Q513" s="52">
        <f t="shared" si="7"/>
        <v>37</v>
      </c>
    </row>
    <row r="514" spans="1:17" x14ac:dyDescent="0.25">
      <c r="A514" s="34" t="s">
        <v>4303</v>
      </c>
      <c r="B514" s="34" t="s">
        <v>4304</v>
      </c>
      <c r="C514" s="35" t="s">
        <v>4305</v>
      </c>
      <c r="E514" s="50">
        <v>46064</v>
      </c>
      <c r="F514" s="34" t="s">
        <v>4253</v>
      </c>
      <c r="G514" s="34">
        <v>39.909999999999997</v>
      </c>
      <c r="H514" s="34" t="s">
        <v>227</v>
      </c>
      <c r="I514" s="34" t="s">
        <v>21</v>
      </c>
      <c r="J514" s="34" t="s">
        <v>111</v>
      </c>
      <c r="K514" s="35" t="s">
        <v>239</v>
      </c>
      <c r="L514" s="34">
        <v>4001</v>
      </c>
      <c r="M514" s="34" t="s">
        <v>3855</v>
      </c>
      <c r="N514" s="34" t="s">
        <v>4337</v>
      </c>
      <c r="O514" s="34" t="s">
        <v>311</v>
      </c>
      <c r="Q514" s="52">
        <f t="shared" si="7"/>
        <v>37</v>
      </c>
    </row>
    <row r="515" spans="1:17" x14ac:dyDescent="0.25">
      <c r="A515" s="34" t="s">
        <v>4303</v>
      </c>
      <c r="B515" s="34" t="s">
        <v>4304</v>
      </c>
      <c r="C515" s="35" t="s">
        <v>4305</v>
      </c>
      <c r="E515" s="50">
        <v>46063</v>
      </c>
      <c r="F515" s="34" t="s">
        <v>4253</v>
      </c>
      <c r="G515" s="34">
        <v>40.08</v>
      </c>
      <c r="H515" s="34" t="s">
        <v>227</v>
      </c>
      <c r="I515" s="34" t="s">
        <v>21</v>
      </c>
      <c r="J515" s="34" t="s">
        <v>111</v>
      </c>
      <c r="K515" s="35" t="s">
        <v>239</v>
      </c>
      <c r="L515" s="34">
        <v>4001</v>
      </c>
      <c r="M515" s="34" t="s">
        <v>3855</v>
      </c>
      <c r="N515" s="34" t="s">
        <v>4337</v>
      </c>
      <c r="O515" s="34" t="s">
        <v>311</v>
      </c>
      <c r="Q515" s="52">
        <f t="shared" ref="Q515:Q559" si="8">LEN(F515&amp;K515)+12</f>
        <v>37</v>
      </c>
    </row>
    <row r="516" spans="1:17" x14ac:dyDescent="0.25">
      <c r="A516" s="34" t="s">
        <v>4303</v>
      </c>
      <c r="B516" s="34" t="s">
        <v>4304</v>
      </c>
      <c r="C516" s="35" t="s">
        <v>4305</v>
      </c>
      <c r="E516" s="50">
        <v>46062</v>
      </c>
      <c r="F516" s="34" t="s">
        <v>4315</v>
      </c>
      <c r="G516" s="34">
        <v>65.489999999999995</v>
      </c>
      <c r="H516" s="34" t="s">
        <v>227</v>
      </c>
      <c r="I516" s="34" t="s">
        <v>21</v>
      </c>
      <c r="J516" s="34" t="s">
        <v>111</v>
      </c>
      <c r="K516" s="35" t="s">
        <v>239</v>
      </c>
      <c r="L516" s="34">
        <v>4001</v>
      </c>
      <c r="M516" s="34" t="s">
        <v>3855</v>
      </c>
      <c r="N516" s="34" t="s">
        <v>4337</v>
      </c>
      <c r="O516" s="34" t="s">
        <v>311</v>
      </c>
      <c r="Q516" s="52">
        <f t="shared" si="8"/>
        <v>60</v>
      </c>
    </row>
    <row r="517" spans="1:17" x14ac:dyDescent="0.25">
      <c r="A517" s="34" t="s">
        <v>4303</v>
      </c>
      <c r="B517" s="34" t="s">
        <v>4304</v>
      </c>
      <c r="C517" s="35" t="s">
        <v>4305</v>
      </c>
      <c r="E517" s="50">
        <v>46058</v>
      </c>
      <c r="F517" s="34" t="s">
        <v>4253</v>
      </c>
      <c r="G517" s="34">
        <v>39.729999999999997</v>
      </c>
      <c r="H517" s="34" t="s">
        <v>227</v>
      </c>
      <c r="I517" s="34" t="s">
        <v>21</v>
      </c>
      <c r="J517" s="34" t="s">
        <v>111</v>
      </c>
      <c r="K517" s="35" t="s">
        <v>239</v>
      </c>
      <c r="L517" s="34">
        <v>4001</v>
      </c>
      <c r="M517" s="34" t="s">
        <v>3855</v>
      </c>
      <c r="N517" s="34" t="s">
        <v>4337</v>
      </c>
      <c r="O517" s="34" t="s">
        <v>311</v>
      </c>
      <c r="Q517" s="52">
        <f t="shared" si="8"/>
        <v>37</v>
      </c>
    </row>
    <row r="518" spans="1:17" x14ac:dyDescent="0.25">
      <c r="A518" s="34" t="s">
        <v>4303</v>
      </c>
      <c r="B518" s="34" t="s">
        <v>4304</v>
      </c>
      <c r="C518" s="35" t="s">
        <v>4305</v>
      </c>
      <c r="E518" s="50">
        <v>46086</v>
      </c>
      <c r="F518" s="34" t="s">
        <v>4253</v>
      </c>
      <c r="G518" s="34">
        <v>44.83</v>
      </c>
      <c r="H518" s="34" t="s">
        <v>227</v>
      </c>
      <c r="I518" s="34" t="s">
        <v>21</v>
      </c>
      <c r="J518" s="34" t="s">
        <v>111</v>
      </c>
      <c r="K518" s="35" t="s">
        <v>239</v>
      </c>
      <c r="L518" s="34">
        <v>4001</v>
      </c>
      <c r="M518" s="34" t="s">
        <v>3855</v>
      </c>
      <c r="N518" s="34" t="s">
        <v>4337</v>
      </c>
      <c r="O518" s="34" t="s">
        <v>311</v>
      </c>
      <c r="Q518" s="52">
        <f t="shared" si="8"/>
        <v>37</v>
      </c>
    </row>
    <row r="519" spans="1:17" x14ac:dyDescent="0.25">
      <c r="A519" s="34" t="s">
        <v>4316</v>
      </c>
      <c r="B519" s="34" t="s">
        <v>4317</v>
      </c>
      <c r="C519" s="35" t="s">
        <v>4318</v>
      </c>
      <c r="E519" s="50">
        <v>46066</v>
      </c>
      <c r="F519" s="34" t="s">
        <v>4253</v>
      </c>
      <c r="G519" s="34">
        <v>43.98</v>
      </c>
      <c r="H519" s="34" t="s">
        <v>227</v>
      </c>
      <c r="I519" s="34" t="s">
        <v>21</v>
      </c>
      <c r="J519" s="34" t="s">
        <v>111</v>
      </c>
      <c r="K519" s="35" t="s">
        <v>239</v>
      </c>
      <c r="L519" s="34">
        <v>4001</v>
      </c>
      <c r="M519" s="34" t="s">
        <v>3855</v>
      </c>
      <c r="N519" s="34" t="s">
        <v>4337</v>
      </c>
      <c r="O519" s="34" t="s">
        <v>1272</v>
      </c>
      <c r="Q519" s="52">
        <f t="shared" si="8"/>
        <v>37</v>
      </c>
    </row>
    <row r="520" spans="1:17" x14ac:dyDescent="0.25">
      <c r="A520" s="34" t="s">
        <v>4316</v>
      </c>
      <c r="B520" s="34" t="s">
        <v>4317</v>
      </c>
      <c r="C520" s="35" t="s">
        <v>4318</v>
      </c>
      <c r="E520" s="50">
        <v>46065</v>
      </c>
      <c r="F520" s="34" t="s">
        <v>4253</v>
      </c>
      <c r="G520" s="34">
        <v>80.989999999999995</v>
      </c>
      <c r="H520" s="34" t="s">
        <v>227</v>
      </c>
      <c r="I520" s="34" t="s">
        <v>21</v>
      </c>
      <c r="J520" s="34" t="s">
        <v>111</v>
      </c>
      <c r="K520" s="35" t="s">
        <v>239</v>
      </c>
      <c r="L520" s="34">
        <v>4001</v>
      </c>
      <c r="M520" s="34" t="s">
        <v>3855</v>
      </c>
      <c r="N520" s="34" t="s">
        <v>4337</v>
      </c>
      <c r="O520" s="34" t="s">
        <v>1272</v>
      </c>
      <c r="Q520" s="52">
        <f t="shared" si="8"/>
        <v>37</v>
      </c>
    </row>
    <row r="521" spans="1:17" x14ac:dyDescent="0.25">
      <c r="A521" s="34" t="s">
        <v>4316</v>
      </c>
      <c r="B521" s="34" t="s">
        <v>4317</v>
      </c>
      <c r="C521" s="35" t="s">
        <v>4318</v>
      </c>
      <c r="E521" s="50">
        <v>46064</v>
      </c>
      <c r="F521" s="34" t="s">
        <v>4253</v>
      </c>
      <c r="G521" s="34">
        <v>44.97</v>
      </c>
      <c r="H521" s="34" t="s">
        <v>227</v>
      </c>
      <c r="I521" s="34" t="s">
        <v>21</v>
      </c>
      <c r="J521" s="34" t="s">
        <v>111</v>
      </c>
      <c r="K521" s="35" t="s">
        <v>239</v>
      </c>
      <c r="L521" s="34">
        <v>4001</v>
      </c>
      <c r="M521" s="34" t="s">
        <v>3855</v>
      </c>
      <c r="N521" s="34" t="s">
        <v>4337</v>
      </c>
      <c r="O521" s="34" t="s">
        <v>1272</v>
      </c>
      <c r="Q521" s="52">
        <f t="shared" si="8"/>
        <v>37</v>
      </c>
    </row>
    <row r="522" spans="1:17" x14ac:dyDescent="0.25">
      <c r="A522" s="34" t="s">
        <v>4316</v>
      </c>
      <c r="B522" s="34" t="s">
        <v>4317</v>
      </c>
      <c r="C522" s="35" t="s">
        <v>4318</v>
      </c>
      <c r="E522" s="50">
        <v>46063</v>
      </c>
      <c r="F522" s="34" t="s">
        <v>4253</v>
      </c>
      <c r="G522" s="34">
        <v>40.98</v>
      </c>
      <c r="H522" s="34" t="s">
        <v>227</v>
      </c>
      <c r="I522" s="34" t="s">
        <v>21</v>
      </c>
      <c r="J522" s="34" t="s">
        <v>111</v>
      </c>
      <c r="K522" s="35" t="s">
        <v>239</v>
      </c>
      <c r="L522" s="34">
        <v>4001</v>
      </c>
      <c r="M522" s="34" t="s">
        <v>3855</v>
      </c>
      <c r="N522" s="34" t="s">
        <v>4337</v>
      </c>
      <c r="O522" s="34" t="s">
        <v>1272</v>
      </c>
      <c r="Q522" s="52">
        <f t="shared" si="8"/>
        <v>37</v>
      </c>
    </row>
    <row r="523" spans="1:17" x14ac:dyDescent="0.25">
      <c r="A523" s="34" t="s">
        <v>4316</v>
      </c>
      <c r="B523" s="34" t="s">
        <v>4317</v>
      </c>
      <c r="C523" s="35" t="s">
        <v>4318</v>
      </c>
      <c r="E523" s="50">
        <v>46063</v>
      </c>
      <c r="F523" s="34" t="s">
        <v>4319</v>
      </c>
      <c r="G523" s="34">
        <v>-519.16999999999996</v>
      </c>
      <c r="H523" s="34" t="s">
        <v>227</v>
      </c>
      <c r="I523" s="34" t="s">
        <v>3594</v>
      </c>
      <c r="J523" s="34" t="s">
        <v>47</v>
      </c>
      <c r="K523" s="35" t="s">
        <v>41</v>
      </c>
      <c r="L523" s="34">
        <v>1035</v>
      </c>
      <c r="M523" s="34" t="s">
        <v>3855</v>
      </c>
      <c r="N523" s="34" t="s">
        <v>4337</v>
      </c>
      <c r="O523" s="34" t="s">
        <v>1272</v>
      </c>
      <c r="Q523" s="52">
        <f t="shared" si="8"/>
        <v>40</v>
      </c>
    </row>
    <row r="524" spans="1:17" x14ac:dyDescent="0.25">
      <c r="A524" s="34" t="s">
        <v>4316</v>
      </c>
      <c r="B524" s="34" t="s">
        <v>4317</v>
      </c>
      <c r="C524" s="35" t="s">
        <v>4318</v>
      </c>
      <c r="E524" s="50">
        <v>46063</v>
      </c>
      <c r="F524" s="34" t="s">
        <v>4320</v>
      </c>
      <c r="G524" s="34">
        <v>30</v>
      </c>
      <c r="H524" s="34" t="s">
        <v>227</v>
      </c>
      <c r="I524" s="34" t="s">
        <v>3594</v>
      </c>
      <c r="J524" s="34" t="s">
        <v>30</v>
      </c>
      <c r="K524" s="35" t="s">
        <v>790</v>
      </c>
      <c r="L524" s="34">
        <v>1035</v>
      </c>
      <c r="M524" s="34" t="s">
        <v>3855</v>
      </c>
      <c r="N524" s="34" t="s">
        <v>4337</v>
      </c>
      <c r="O524" s="34" t="s">
        <v>1272</v>
      </c>
      <c r="Q524" s="52">
        <f t="shared" si="8"/>
        <v>42</v>
      </c>
    </row>
    <row r="525" spans="1:17" x14ac:dyDescent="0.25">
      <c r="A525" s="34" t="s">
        <v>4316</v>
      </c>
      <c r="B525" s="34" t="s">
        <v>4317</v>
      </c>
      <c r="C525" s="35" t="s">
        <v>4318</v>
      </c>
      <c r="E525" s="50">
        <v>46059</v>
      </c>
      <c r="F525" s="34" t="s">
        <v>4253</v>
      </c>
      <c r="G525" s="34">
        <v>65.98</v>
      </c>
      <c r="H525" s="34" t="s">
        <v>227</v>
      </c>
      <c r="I525" s="34" t="s">
        <v>21</v>
      </c>
      <c r="J525" s="34" t="s">
        <v>111</v>
      </c>
      <c r="K525" s="35" t="s">
        <v>239</v>
      </c>
      <c r="L525" s="34">
        <v>4001</v>
      </c>
      <c r="M525" s="34" t="s">
        <v>3855</v>
      </c>
      <c r="N525" s="34" t="s">
        <v>4337</v>
      </c>
      <c r="O525" s="34" t="s">
        <v>1272</v>
      </c>
      <c r="Q525" s="52">
        <f t="shared" si="8"/>
        <v>37</v>
      </c>
    </row>
    <row r="526" spans="1:17" x14ac:dyDescent="0.25">
      <c r="A526" s="34" t="s">
        <v>4316</v>
      </c>
      <c r="B526" s="34" t="s">
        <v>4317</v>
      </c>
      <c r="C526" s="35" t="s">
        <v>4318</v>
      </c>
      <c r="E526" s="50">
        <v>46058</v>
      </c>
      <c r="F526" s="34" t="s">
        <v>4253</v>
      </c>
      <c r="G526" s="34">
        <v>22.12</v>
      </c>
      <c r="H526" s="34" t="s">
        <v>227</v>
      </c>
      <c r="I526" s="34" t="s">
        <v>21</v>
      </c>
      <c r="J526" s="34" t="s">
        <v>111</v>
      </c>
      <c r="K526" s="35" t="s">
        <v>239</v>
      </c>
      <c r="L526" s="34">
        <v>4001</v>
      </c>
      <c r="M526" s="34" t="s">
        <v>3855</v>
      </c>
      <c r="N526" s="34" t="s">
        <v>4337</v>
      </c>
      <c r="O526" s="34" t="s">
        <v>1272</v>
      </c>
      <c r="Q526" s="52">
        <f t="shared" si="8"/>
        <v>37</v>
      </c>
    </row>
    <row r="527" spans="1:17" x14ac:dyDescent="0.25">
      <c r="A527" s="34" t="s">
        <v>4316</v>
      </c>
      <c r="B527" s="34" t="s">
        <v>4317</v>
      </c>
      <c r="C527" s="35" t="s">
        <v>4318</v>
      </c>
      <c r="E527" s="50">
        <v>46087</v>
      </c>
      <c r="F527" s="34" t="s">
        <v>4253</v>
      </c>
      <c r="G527" s="34">
        <v>47.28</v>
      </c>
      <c r="H527" s="34" t="s">
        <v>227</v>
      </c>
      <c r="I527" s="34" t="s">
        <v>21</v>
      </c>
      <c r="J527" s="34" t="s">
        <v>111</v>
      </c>
      <c r="K527" s="35" t="s">
        <v>239</v>
      </c>
      <c r="L527" s="34">
        <v>4001</v>
      </c>
      <c r="M527" s="34" t="s">
        <v>3855</v>
      </c>
      <c r="N527" s="34" t="s">
        <v>4337</v>
      </c>
      <c r="O527" s="34" t="s">
        <v>1272</v>
      </c>
      <c r="Q527" s="52">
        <f t="shared" si="8"/>
        <v>37</v>
      </c>
    </row>
    <row r="528" spans="1:17" x14ac:dyDescent="0.25">
      <c r="A528" s="34" t="s">
        <v>4316</v>
      </c>
      <c r="B528" s="34" t="s">
        <v>4317</v>
      </c>
      <c r="C528" s="35" t="s">
        <v>4318</v>
      </c>
      <c r="E528" s="50">
        <v>46086</v>
      </c>
      <c r="F528" s="34" t="s">
        <v>4253</v>
      </c>
      <c r="G528" s="34">
        <v>42.78</v>
      </c>
      <c r="H528" s="34" t="s">
        <v>227</v>
      </c>
      <c r="I528" s="34" t="s">
        <v>21</v>
      </c>
      <c r="J528" s="34" t="s">
        <v>111</v>
      </c>
      <c r="K528" s="35" t="s">
        <v>239</v>
      </c>
      <c r="L528" s="34">
        <v>4001</v>
      </c>
      <c r="M528" s="34" t="s">
        <v>3855</v>
      </c>
      <c r="N528" s="34" t="s">
        <v>4337</v>
      </c>
      <c r="O528" s="34" t="s">
        <v>1272</v>
      </c>
      <c r="Q528" s="52">
        <f t="shared" si="8"/>
        <v>37</v>
      </c>
    </row>
    <row r="529" spans="1:17" x14ac:dyDescent="0.25">
      <c r="A529" s="34" t="s">
        <v>4316</v>
      </c>
      <c r="B529" s="34" t="s">
        <v>4317</v>
      </c>
      <c r="C529" s="35" t="s">
        <v>4318</v>
      </c>
      <c r="E529" s="50">
        <v>46085</v>
      </c>
      <c r="F529" s="34" t="s">
        <v>4321</v>
      </c>
      <c r="G529" s="34">
        <v>62.97</v>
      </c>
      <c r="H529" s="34" t="s">
        <v>227</v>
      </c>
      <c r="I529" s="34" t="s">
        <v>21</v>
      </c>
      <c r="J529" s="34" t="s">
        <v>111</v>
      </c>
      <c r="K529" s="35" t="s">
        <v>239</v>
      </c>
      <c r="L529" s="34">
        <v>4246</v>
      </c>
      <c r="M529" s="34" t="s">
        <v>3855</v>
      </c>
      <c r="N529" s="34" t="s">
        <v>4337</v>
      </c>
      <c r="O529" s="34" t="s">
        <v>1272</v>
      </c>
      <c r="Q529" s="52">
        <f t="shared" si="8"/>
        <v>44</v>
      </c>
    </row>
    <row r="530" spans="1:17" x14ac:dyDescent="0.25">
      <c r="A530" s="34" t="s">
        <v>4316</v>
      </c>
      <c r="B530" s="34" t="s">
        <v>4317</v>
      </c>
      <c r="C530" s="35" t="s">
        <v>4318</v>
      </c>
      <c r="E530" s="50">
        <v>46085</v>
      </c>
      <c r="F530" s="34" t="s">
        <v>4322</v>
      </c>
      <c r="G530" s="34">
        <v>14.24</v>
      </c>
      <c r="H530" s="34" t="s">
        <v>227</v>
      </c>
      <c r="I530" s="34" t="s">
        <v>16</v>
      </c>
      <c r="J530" s="34" t="s">
        <v>218</v>
      </c>
      <c r="K530" s="35" t="s">
        <v>1169</v>
      </c>
      <c r="L530" s="34">
        <v>4001</v>
      </c>
      <c r="M530" s="34" t="s">
        <v>3855</v>
      </c>
      <c r="N530" s="34" t="s">
        <v>4337</v>
      </c>
      <c r="O530" s="34" t="s">
        <v>1272</v>
      </c>
      <c r="Q530" s="52">
        <f t="shared" si="8"/>
        <v>49</v>
      </c>
    </row>
    <row r="531" spans="1:17" x14ac:dyDescent="0.25">
      <c r="A531" s="34" t="s">
        <v>4316</v>
      </c>
      <c r="B531" s="34" t="s">
        <v>4317</v>
      </c>
      <c r="C531" s="35" t="s">
        <v>4318</v>
      </c>
      <c r="E531" s="50">
        <v>46084</v>
      </c>
      <c r="F531" s="34" t="s">
        <v>4253</v>
      </c>
      <c r="G531" s="34">
        <v>61.98</v>
      </c>
      <c r="H531" s="34" t="s">
        <v>227</v>
      </c>
      <c r="I531" s="34" t="s">
        <v>21</v>
      </c>
      <c r="J531" s="34" t="s">
        <v>111</v>
      </c>
      <c r="K531" s="35" t="s">
        <v>239</v>
      </c>
      <c r="L531" s="34">
        <v>4001</v>
      </c>
      <c r="M531" s="34" t="s">
        <v>3855</v>
      </c>
      <c r="N531" s="34" t="s">
        <v>4337</v>
      </c>
      <c r="O531" s="34" t="s">
        <v>1272</v>
      </c>
      <c r="Q531" s="52">
        <f t="shared" si="8"/>
        <v>37</v>
      </c>
    </row>
    <row r="532" spans="1:17" x14ac:dyDescent="0.25">
      <c r="A532" s="34" t="s">
        <v>4316</v>
      </c>
      <c r="B532" s="34" t="s">
        <v>4317</v>
      </c>
      <c r="C532" s="35" t="s">
        <v>4318</v>
      </c>
      <c r="E532" s="50">
        <v>46076</v>
      </c>
      <c r="F532" s="34" t="s">
        <v>4166</v>
      </c>
      <c r="G532" s="34">
        <v>13.82</v>
      </c>
      <c r="H532" s="34" t="s">
        <v>227</v>
      </c>
      <c r="I532" s="34" t="s">
        <v>16</v>
      </c>
      <c r="J532" s="34" t="s">
        <v>4132</v>
      </c>
      <c r="K532" s="35" t="s">
        <v>4360</v>
      </c>
      <c r="L532" s="34">
        <v>1035</v>
      </c>
      <c r="M532" s="34" t="s">
        <v>3855</v>
      </c>
      <c r="N532" s="34" t="s">
        <v>4337</v>
      </c>
      <c r="O532" s="34" t="s">
        <v>1272</v>
      </c>
      <c r="Q532" s="52">
        <f t="shared" si="8"/>
        <v>42</v>
      </c>
    </row>
    <row r="533" spans="1:17" x14ac:dyDescent="0.25">
      <c r="A533" s="34" t="s">
        <v>4316</v>
      </c>
      <c r="B533" s="34" t="s">
        <v>4317</v>
      </c>
      <c r="C533" s="35" t="s">
        <v>4318</v>
      </c>
      <c r="E533" s="50">
        <v>46076</v>
      </c>
      <c r="F533" s="34" t="s">
        <v>4166</v>
      </c>
      <c r="G533" s="34">
        <v>136.97</v>
      </c>
      <c r="H533" s="34" t="s">
        <v>227</v>
      </c>
      <c r="I533" s="34" t="s">
        <v>16</v>
      </c>
      <c r="J533" s="34" t="s">
        <v>4132</v>
      </c>
      <c r="K533" s="35" t="s">
        <v>4360</v>
      </c>
      <c r="L533" s="34">
        <v>1035</v>
      </c>
      <c r="M533" s="34" t="s">
        <v>3855</v>
      </c>
      <c r="N533" s="34" t="s">
        <v>4337</v>
      </c>
      <c r="O533" s="34" t="s">
        <v>1272</v>
      </c>
      <c r="Q533" s="52">
        <f t="shared" si="8"/>
        <v>42</v>
      </c>
    </row>
    <row r="534" spans="1:17" x14ac:dyDescent="0.25">
      <c r="A534" s="34" t="s">
        <v>4316</v>
      </c>
      <c r="B534" s="34" t="s">
        <v>4317</v>
      </c>
      <c r="C534" s="35" t="s">
        <v>4318</v>
      </c>
      <c r="E534" s="50">
        <v>46073</v>
      </c>
      <c r="F534" s="34" t="s">
        <v>4296</v>
      </c>
      <c r="G534" s="34">
        <v>158.38</v>
      </c>
      <c r="H534" s="34" t="s">
        <v>227</v>
      </c>
      <c r="I534" s="34" t="s">
        <v>21</v>
      </c>
      <c r="J534" s="34" t="s">
        <v>111</v>
      </c>
      <c r="K534" s="35" t="s">
        <v>239</v>
      </c>
      <c r="L534" s="34">
        <v>1035</v>
      </c>
      <c r="M534" s="34" t="s">
        <v>3855</v>
      </c>
      <c r="N534" s="34" t="s">
        <v>4337</v>
      </c>
      <c r="O534" s="34" t="s">
        <v>1272</v>
      </c>
      <c r="Q534" s="52">
        <f t="shared" si="8"/>
        <v>24</v>
      </c>
    </row>
    <row r="535" spans="1:17" x14ac:dyDescent="0.25">
      <c r="A535" s="34" t="s">
        <v>4316</v>
      </c>
      <c r="B535" s="34" t="s">
        <v>4317</v>
      </c>
      <c r="C535" s="35" t="s">
        <v>4318</v>
      </c>
      <c r="E535" s="50">
        <v>46073</v>
      </c>
      <c r="F535" s="34" t="s">
        <v>4253</v>
      </c>
      <c r="G535" s="34">
        <v>40.97</v>
      </c>
      <c r="H535" s="34" t="s">
        <v>227</v>
      </c>
      <c r="I535" s="34" t="s">
        <v>21</v>
      </c>
      <c r="J535" s="34" t="s">
        <v>111</v>
      </c>
      <c r="K535" s="35" t="s">
        <v>239</v>
      </c>
      <c r="L535" s="34">
        <v>4001</v>
      </c>
      <c r="M535" s="34" t="s">
        <v>3855</v>
      </c>
      <c r="N535" s="34" t="s">
        <v>4337</v>
      </c>
      <c r="O535" s="34" t="s">
        <v>1272</v>
      </c>
      <c r="Q535" s="52">
        <f t="shared" si="8"/>
        <v>37</v>
      </c>
    </row>
    <row r="536" spans="1:17" x14ac:dyDescent="0.25">
      <c r="A536" s="34" t="s">
        <v>4316</v>
      </c>
      <c r="B536" s="34" t="s">
        <v>4317</v>
      </c>
      <c r="C536" s="35" t="s">
        <v>4318</v>
      </c>
      <c r="E536" s="50">
        <v>46072</v>
      </c>
      <c r="F536" s="34" t="s">
        <v>4253</v>
      </c>
      <c r="G536" s="34">
        <v>41.97</v>
      </c>
      <c r="H536" s="34" t="s">
        <v>227</v>
      </c>
      <c r="I536" s="34" t="s">
        <v>21</v>
      </c>
      <c r="J536" s="34" t="s">
        <v>111</v>
      </c>
      <c r="K536" s="35" t="s">
        <v>239</v>
      </c>
      <c r="L536" s="34">
        <v>4001</v>
      </c>
      <c r="M536" s="34" t="s">
        <v>3855</v>
      </c>
      <c r="N536" s="34" t="s">
        <v>4337</v>
      </c>
      <c r="O536" s="34" t="s">
        <v>1272</v>
      </c>
      <c r="Q536" s="52">
        <f t="shared" si="8"/>
        <v>37</v>
      </c>
    </row>
    <row r="537" spans="1:17" x14ac:dyDescent="0.25">
      <c r="A537" s="34" t="s">
        <v>4316</v>
      </c>
      <c r="B537" s="34" t="s">
        <v>4317</v>
      </c>
      <c r="C537" s="35" t="s">
        <v>4318</v>
      </c>
      <c r="E537" s="50">
        <v>46072</v>
      </c>
      <c r="F537" s="34" t="s">
        <v>4323</v>
      </c>
      <c r="G537" s="34">
        <v>17.97</v>
      </c>
      <c r="H537" s="34" t="s">
        <v>227</v>
      </c>
      <c r="I537" s="34" t="s">
        <v>16</v>
      </c>
      <c r="J537" s="34" t="s">
        <v>4309</v>
      </c>
      <c r="K537" s="35" t="s">
        <v>725</v>
      </c>
      <c r="L537" s="34">
        <v>4001</v>
      </c>
      <c r="M537" s="34" t="s">
        <v>3855</v>
      </c>
      <c r="N537" s="34" t="s">
        <v>4337</v>
      </c>
      <c r="O537" s="34" t="s">
        <v>1272</v>
      </c>
      <c r="Q537" s="52">
        <f t="shared" si="8"/>
        <v>64</v>
      </c>
    </row>
    <row r="538" spans="1:17" x14ac:dyDescent="0.25">
      <c r="A538" s="34" t="s">
        <v>4316</v>
      </c>
      <c r="B538" s="34" t="s">
        <v>4317</v>
      </c>
      <c r="C538" s="35" t="s">
        <v>4318</v>
      </c>
      <c r="E538" s="50">
        <v>46071</v>
      </c>
      <c r="F538" s="34" t="s">
        <v>4253</v>
      </c>
      <c r="G538" s="34">
        <v>39.54</v>
      </c>
      <c r="H538" s="34" t="s">
        <v>227</v>
      </c>
      <c r="I538" s="34" t="s">
        <v>21</v>
      </c>
      <c r="J538" s="34" t="s">
        <v>111</v>
      </c>
      <c r="K538" s="35" t="s">
        <v>239</v>
      </c>
      <c r="L538" s="34">
        <v>4001</v>
      </c>
      <c r="M538" s="34" t="s">
        <v>3855</v>
      </c>
      <c r="N538" s="34" t="s">
        <v>4337</v>
      </c>
      <c r="O538" s="34" t="s">
        <v>1272</v>
      </c>
      <c r="Q538" s="52">
        <f t="shared" si="8"/>
        <v>37</v>
      </c>
    </row>
    <row r="539" spans="1:17" x14ac:dyDescent="0.25">
      <c r="A539" s="34" t="s">
        <v>4324</v>
      </c>
      <c r="B539" s="34" t="s">
        <v>3851</v>
      </c>
      <c r="C539" s="35" t="s">
        <v>4325</v>
      </c>
      <c r="E539" s="50">
        <v>46066</v>
      </c>
      <c r="F539" s="34" t="s">
        <v>4253</v>
      </c>
      <c r="G539" s="34">
        <v>35.1</v>
      </c>
      <c r="H539" s="34" t="s">
        <v>227</v>
      </c>
      <c r="I539" s="34" t="s">
        <v>21</v>
      </c>
      <c r="J539" s="34" t="s">
        <v>111</v>
      </c>
      <c r="K539" s="35" t="s">
        <v>239</v>
      </c>
      <c r="L539" s="34">
        <v>4001</v>
      </c>
      <c r="M539" s="34" t="s">
        <v>3855</v>
      </c>
      <c r="N539" s="34" t="s">
        <v>4337</v>
      </c>
      <c r="O539" s="34" t="s">
        <v>1278</v>
      </c>
      <c r="Q539" s="52">
        <f t="shared" si="8"/>
        <v>37</v>
      </c>
    </row>
    <row r="540" spans="1:17" x14ac:dyDescent="0.25">
      <c r="A540" s="34" t="s">
        <v>4324</v>
      </c>
      <c r="B540" s="34" t="s">
        <v>3851</v>
      </c>
      <c r="C540" s="35" t="s">
        <v>4325</v>
      </c>
      <c r="E540" s="50">
        <v>46065</v>
      </c>
      <c r="F540" s="34" t="s">
        <v>4253</v>
      </c>
      <c r="G540" s="34">
        <v>55.98</v>
      </c>
      <c r="H540" s="34" t="s">
        <v>227</v>
      </c>
      <c r="I540" s="34" t="s">
        <v>21</v>
      </c>
      <c r="J540" s="34" t="s">
        <v>111</v>
      </c>
      <c r="K540" s="35" t="s">
        <v>239</v>
      </c>
      <c r="L540" s="34">
        <v>4001</v>
      </c>
      <c r="M540" s="34" t="s">
        <v>3855</v>
      </c>
      <c r="N540" s="34" t="s">
        <v>4337</v>
      </c>
      <c r="O540" s="34" t="s">
        <v>1278</v>
      </c>
      <c r="Q540" s="52">
        <f t="shared" si="8"/>
        <v>37</v>
      </c>
    </row>
    <row r="541" spans="1:17" x14ac:dyDescent="0.25">
      <c r="A541" s="34" t="s">
        <v>4324</v>
      </c>
      <c r="B541" s="34" t="s">
        <v>3851</v>
      </c>
      <c r="C541" s="35" t="s">
        <v>4325</v>
      </c>
      <c r="E541" s="50">
        <v>46064</v>
      </c>
      <c r="F541" s="34" t="s">
        <v>4326</v>
      </c>
      <c r="G541" s="34">
        <v>130.88</v>
      </c>
      <c r="H541" s="34" t="s">
        <v>227</v>
      </c>
      <c r="I541" s="34" t="s">
        <v>21</v>
      </c>
      <c r="J541" s="34" t="s">
        <v>111</v>
      </c>
      <c r="K541" s="35" t="s">
        <v>239</v>
      </c>
      <c r="L541" s="34">
        <v>4239</v>
      </c>
      <c r="M541" s="34" t="s">
        <v>3855</v>
      </c>
      <c r="N541" s="34" t="s">
        <v>4337</v>
      </c>
      <c r="O541" s="34" t="s">
        <v>1278</v>
      </c>
      <c r="Q541" s="52">
        <f t="shared" si="8"/>
        <v>46</v>
      </c>
    </row>
    <row r="542" spans="1:17" x14ac:dyDescent="0.25">
      <c r="A542" s="34" t="s">
        <v>4324</v>
      </c>
      <c r="B542" s="34" t="s">
        <v>3851</v>
      </c>
      <c r="C542" s="35" t="s">
        <v>4325</v>
      </c>
      <c r="E542" s="50">
        <v>46063</v>
      </c>
      <c r="F542" s="34" t="s">
        <v>4327</v>
      </c>
      <c r="G542" s="34">
        <v>41.38</v>
      </c>
      <c r="H542" s="34" t="s">
        <v>227</v>
      </c>
      <c r="I542" s="34" t="s">
        <v>16</v>
      </c>
      <c r="J542" s="34" t="s">
        <v>55</v>
      </c>
      <c r="K542" s="35" t="s">
        <v>232</v>
      </c>
      <c r="L542" s="34">
        <v>4239</v>
      </c>
      <c r="M542" s="34" t="s">
        <v>3855</v>
      </c>
      <c r="N542" s="34" t="s">
        <v>4337</v>
      </c>
      <c r="O542" s="34" t="s">
        <v>1278</v>
      </c>
      <c r="Q542" s="52">
        <f t="shared" si="8"/>
        <v>52</v>
      </c>
    </row>
    <row r="543" spans="1:17" x14ac:dyDescent="0.25">
      <c r="A543" s="34" t="s">
        <v>4324</v>
      </c>
      <c r="B543" s="34" t="s">
        <v>3851</v>
      </c>
      <c r="C543" s="35" t="s">
        <v>4325</v>
      </c>
      <c r="E543" s="50">
        <v>46063</v>
      </c>
      <c r="F543" s="34" t="s">
        <v>4327</v>
      </c>
      <c r="G543" s="34">
        <v>46.78</v>
      </c>
      <c r="H543" s="34" t="s">
        <v>227</v>
      </c>
      <c r="I543" s="34" t="s">
        <v>16</v>
      </c>
      <c r="J543" s="34" t="s">
        <v>4284</v>
      </c>
      <c r="K543" s="35" t="s">
        <v>1014</v>
      </c>
      <c r="L543" s="34">
        <v>4239</v>
      </c>
      <c r="M543" s="34" t="s">
        <v>3855</v>
      </c>
      <c r="N543" s="34" t="s">
        <v>4337</v>
      </c>
      <c r="O543" s="34" t="s">
        <v>1278</v>
      </c>
      <c r="Q543" s="52">
        <f t="shared" si="8"/>
        <v>57</v>
      </c>
    </row>
    <row r="544" spans="1:17" x14ac:dyDescent="0.25">
      <c r="A544" s="34" t="s">
        <v>4324</v>
      </c>
      <c r="B544" s="34" t="s">
        <v>3851</v>
      </c>
      <c r="C544" s="35" t="s">
        <v>4325</v>
      </c>
      <c r="E544" s="50">
        <v>46063</v>
      </c>
      <c r="F544" s="34" t="s">
        <v>4328</v>
      </c>
      <c r="G544" s="34">
        <v>32.9</v>
      </c>
      <c r="H544" s="34" t="s">
        <v>227</v>
      </c>
      <c r="I544" s="34" t="s">
        <v>16</v>
      </c>
      <c r="J544" s="34" t="s">
        <v>4329</v>
      </c>
      <c r="K544" s="35" t="s">
        <v>4474</v>
      </c>
      <c r="L544" s="34">
        <v>4239</v>
      </c>
      <c r="M544" s="34" t="s">
        <v>3855</v>
      </c>
      <c r="N544" s="34" t="s">
        <v>4337</v>
      </c>
      <c r="O544" s="34" t="s">
        <v>1278</v>
      </c>
      <c r="Q544" s="52">
        <f t="shared" si="8"/>
        <v>51</v>
      </c>
    </row>
    <row r="545" spans="1:17" x14ac:dyDescent="0.25">
      <c r="A545" s="34" t="s">
        <v>4324</v>
      </c>
      <c r="B545" s="34" t="s">
        <v>3851</v>
      </c>
      <c r="C545" s="35" t="s">
        <v>4325</v>
      </c>
      <c r="E545" s="50">
        <v>46062</v>
      </c>
      <c r="F545" s="34" t="s">
        <v>4330</v>
      </c>
      <c r="G545" s="34">
        <v>91.98</v>
      </c>
      <c r="H545" s="34" t="s">
        <v>227</v>
      </c>
      <c r="I545" s="34" t="s">
        <v>21</v>
      </c>
      <c r="J545" s="34" t="s">
        <v>111</v>
      </c>
      <c r="K545" s="35" t="s">
        <v>239</v>
      </c>
      <c r="L545" s="34">
        <v>4239</v>
      </c>
      <c r="M545" s="34" t="s">
        <v>3855</v>
      </c>
      <c r="N545" s="34" t="s">
        <v>4337</v>
      </c>
      <c r="O545" s="34" t="s">
        <v>1278</v>
      </c>
      <c r="Q545" s="52">
        <f t="shared" si="8"/>
        <v>47</v>
      </c>
    </row>
    <row r="546" spans="1:17" x14ac:dyDescent="0.25">
      <c r="A546" s="34" t="s">
        <v>4324</v>
      </c>
      <c r="B546" s="34" t="s">
        <v>3851</v>
      </c>
      <c r="C546" s="35" t="s">
        <v>4325</v>
      </c>
      <c r="E546" s="50">
        <v>46061</v>
      </c>
      <c r="F546" s="34" t="s">
        <v>4327</v>
      </c>
      <c r="G546" s="34">
        <v>39.299999999999997</v>
      </c>
      <c r="H546" s="34" t="s">
        <v>227</v>
      </c>
      <c r="I546" s="34" t="s">
        <v>16</v>
      </c>
      <c r="J546" s="34" t="s">
        <v>4331</v>
      </c>
      <c r="K546" s="35" t="s">
        <v>4439</v>
      </c>
      <c r="L546" s="34">
        <v>4239</v>
      </c>
      <c r="M546" s="34" t="s">
        <v>3855</v>
      </c>
      <c r="N546" s="34" t="s">
        <v>4337</v>
      </c>
      <c r="O546" s="34" t="s">
        <v>1278</v>
      </c>
      <c r="Q546" s="52">
        <f t="shared" si="8"/>
        <v>55</v>
      </c>
    </row>
    <row r="547" spans="1:17" x14ac:dyDescent="0.25">
      <c r="A547" s="34" t="s">
        <v>4324</v>
      </c>
      <c r="B547" s="34" t="s">
        <v>3851</v>
      </c>
      <c r="C547" s="35" t="s">
        <v>4325</v>
      </c>
      <c r="E547" s="50">
        <v>46061</v>
      </c>
      <c r="F547" s="34" t="s">
        <v>4332</v>
      </c>
      <c r="G547" s="34">
        <v>4.95</v>
      </c>
      <c r="H547" s="34" t="s">
        <v>227</v>
      </c>
      <c r="I547" s="34" t="s">
        <v>3922</v>
      </c>
      <c r="J547" s="34" t="s">
        <v>4333</v>
      </c>
      <c r="K547" s="35" t="s">
        <v>835</v>
      </c>
      <c r="L547" s="34">
        <v>4239</v>
      </c>
      <c r="M547" s="34" t="s">
        <v>3855</v>
      </c>
      <c r="N547" s="34" t="s">
        <v>4337</v>
      </c>
      <c r="O547" s="34" t="s">
        <v>1278</v>
      </c>
      <c r="Q547" s="52">
        <f t="shared" si="8"/>
        <v>55</v>
      </c>
    </row>
    <row r="548" spans="1:17" x14ac:dyDescent="0.25">
      <c r="A548" s="34" t="s">
        <v>4324</v>
      </c>
      <c r="B548" s="34" t="s">
        <v>3851</v>
      </c>
      <c r="C548" s="35" t="s">
        <v>4325</v>
      </c>
      <c r="E548" s="50">
        <v>46058</v>
      </c>
      <c r="F548" s="34" t="s">
        <v>4253</v>
      </c>
      <c r="G548" s="34">
        <v>51.11</v>
      </c>
      <c r="H548" s="34" t="s">
        <v>227</v>
      </c>
      <c r="I548" s="34" t="s">
        <v>21</v>
      </c>
      <c r="J548" s="34" t="s">
        <v>111</v>
      </c>
      <c r="K548" s="35" t="s">
        <v>239</v>
      </c>
      <c r="L548" s="34">
        <v>4001</v>
      </c>
      <c r="M548" s="34" t="s">
        <v>3855</v>
      </c>
      <c r="N548" s="34" t="s">
        <v>4337</v>
      </c>
      <c r="O548" s="34" t="s">
        <v>1278</v>
      </c>
      <c r="Q548" s="52">
        <f t="shared" si="8"/>
        <v>37</v>
      </c>
    </row>
    <row r="549" spans="1:17" x14ac:dyDescent="0.25">
      <c r="A549" s="34" t="s">
        <v>4324</v>
      </c>
      <c r="B549" s="34" t="s">
        <v>3851</v>
      </c>
      <c r="C549" s="35" t="s">
        <v>4325</v>
      </c>
      <c r="E549" s="50">
        <v>46063</v>
      </c>
      <c r="F549" s="34" t="s">
        <v>4334</v>
      </c>
      <c r="G549" s="34">
        <v>1757.41</v>
      </c>
      <c r="H549" s="34" t="s">
        <v>227</v>
      </c>
      <c r="I549" s="34" t="s">
        <v>3864</v>
      </c>
      <c r="J549" s="34" t="s">
        <v>4284</v>
      </c>
      <c r="K549" s="35" t="s">
        <v>1014</v>
      </c>
      <c r="L549" s="34">
        <v>4239</v>
      </c>
      <c r="M549" s="34" t="s">
        <v>3855</v>
      </c>
      <c r="N549" s="34" t="s">
        <v>4337</v>
      </c>
      <c r="O549" s="34" t="s">
        <v>1278</v>
      </c>
      <c r="Q549" s="52">
        <f t="shared" si="8"/>
        <v>53</v>
      </c>
    </row>
    <row r="550" spans="1:17" x14ac:dyDescent="0.25">
      <c r="A550" s="34" t="s">
        <v>4324</v>
      </c>
      <c r="B550" s="34" t="s">
        <v>3851</v>
      </c>
      <c r="C550" s="35" t="s">
        <v>4325</v>
      </c>
      <c r="E550" s="50">
        <v>46087</v>
      </c>
      <c r="F550" s="34" t="s">
        <v>4253</v>
      </c>
      <c r="G550" s="34">
        <v>59.85</v>
      </c>
      <c r="H550" s="34" t="s">
        <v>227</v>
      </c>
      <c r="I550" s="34" t="s">
        <v>21</v>
      </c>
      <c r="J550" s="34" t="s">
        <v>111</v>
      </c>
      <c r="K550" s="35" t="s">
        <v>239</v>
      </c>
      <c r="L550" s="34">
        <v>4001</v>
      </c>
      <c r="M550" s="34" t="s">
        <v>3855</v>
      </c>
      <c r="N550" s="34" t="s">
        <v>4337</v>
      </c>
      <c r="O550" s="34" t="s">
        <v>1278</v>
      </c>
      <c r="Q550" s="52">
        <f t="shared" si="8"/>
        <v>37</v>
      </c>
    </row>
    <row r="551" spans="1:17" x14ac:dyDescent="0.25">
      <c r="A551" s="34" t="s">
        <v>4324</v>
      </c>
      <c r="B551" s="34" t="s">
        <v>3851</v>
      </c>
      <c r="C551" s="35" t="s">
        <v>4325</v>
      </c>
      <c r="E551" s="50">
        <v>46086</v>
      </c>
      <c r="F551" s="34" t="s">
        <v>4253</v>
      </c>
      <c r="G551" s="34">
        <v>69.98</v>
      </c>
      <c r="H551" s="34" t="s">
        <v>227</v>
      </c>
      <c r="I551" s="34" t="s">
        <v>21</v>
      </c>
      <c r="J551" s="34" t="s">
        <v>111</v>
      </c>
      <c r="K551" s="35" t="s">
        <v>239</v>
      </c>
      <c r="L551" s="34">
        <v>4001</v>
      </c>
      <c r="M551" s="34" t="s">
        <v>3855</v>
      </c>
      <c r="N551" s="34" t="s">
        <v>4337</v>
      </c>
      <c r="O551" s="34" t="s">
        <v>1278</v>
      </c>
      <c r="Q551" s="52">
        <f t="shared" si="8"/>
        <v>37</v>
      </c>
    </row>
    <row r="552" spans="1:17" x14ac:dyDescent="0.25">
      <c r="A552" s="34" t="s">
        <v>4324</v>
      </c>
      <c r="B552" s="34" t="s">
        <v>3851</v>
      </c>
      <c r="C552" s="35" t="s">
        <v>4325</v>
      </c>
      <c r="E552" s="50">
        <v>46085</v>
      </c>
      <c r="F552" s="34" t="s">
        <v>4253</v>
      </c>
      <c r="G552" s="34">
        <v>83.83</v>
      </c>
      <c r="H552" s="34" t="s">
        <v>227</v>
      </c>
      <c r="I552" s="34" t="s">
        <v>21</v>
      </c>
      <c r="J552" s="34" t="s">
        <v>111</v>
      </c>
      <c r="K552" s="35" t="s">
        <v>239</v>
      </c>
      <c r="L552" s="34">
        <v>4001</v>
      </c>
      <c r="M552" s="34" t="s">
        <v>3855</v>
      </c>
      <c r="N552" s="34" t="s">
        <v>4337</v>
      </c>
      <c r="O552" s="34" t="s">
        <v>1278</v>
      </c>
      <c r="Q552" s="52">
        <f t="shared" si="8"/>
        <v>37</v>
      </c>
    </row>
    <row r="553" spans="1:17" x14ac:dyDescent="0.25">
      <c r="A553" s="34" t="s">
        <v>4324</v>
      </c>
      <c r="B553" s="34" t="s">
        <v>3851</v>
      </c>
      <c r="C553" s="35" t="s">
        <v>4325</v>
      </c>
      <c r="E553" s="50">
        <v>46084</v>
      </c>
      <c r="F553" s="34" t="s">
        <v>4253</v>
      </c>
      <c r="G553" s="34">
        <v>60.98</v>
      </c>
      <c r="H553" s="34" t="s">
        <v>227</v>
      </c>
      <c r="I553" s="34" t="s">
        <v>21</v>
      </c>
      <c r="J553" s="34" t="s">
        <v>111</v>
      </c>
      <c r="K553" s="35" t="s">
        <v>239</v>
      </c>
      <c r="L553" s="34">
        <v>4001</v>
      </c>
      <c r="M553" s="34" t="s">
        <v>3855</v>
      </c>
      <c r="N553" s="34" t="s">
        <v>4337</v>
      </c>
      <c r="O553" s="34" t="s">
        <v>1278</v>
      </c>
      <c r="Q553" s="52">
        <f t="shared" si="8"/>
        <v>37</v>
      </c>
    </row>
    <row r="554" spans="1:17" x14ac:dyDescent="0.25">
      <c r="A554" s="34" t="s">
        <v>4324</v>
      </c>
      <c r="B554" s="34" t="s">
        <v>3851</v>
      </c>
      <c r="C554" s="35" t="s">
        <v>4325</v>
      </c>
      <c r="E554" s="50">
        <v>46083</v>
      </c>
      <c r="F554" s="34" t="s">
        <v>4335</v>
      </c>
      <c r="G554" s="34">
        <v>159.61000000000001</v>
      </c>
      <c r="H554" s="34" t="s">
        <v>227</v>
      </c>
      <c r="I554" s="34" t="s">
        <v>21</v>
      </c>
      <c r="J554" s="34" t="s">
        <v>111</v>
      </c>
      <c r="K554" s="35" t="s">
        <v>239</v>
      </c>
      <c r="L554" s="34">
        <v>1035</v>
      </c>
      <c r="M554" s="34" t="s">
        <v>3855</v>
      </c>
      <c r="N554" s="34" t="s">
        <v>4337</v>
      </c>
      <c r="O554" s="34" t="s">
        <v>1278</v>
      </c>
      <c r="Q554" s="52">
        <f t="shared" si="8"/>
        <v>24</v>
      </c>
    </row>
    <row r="555" spans="1:17" x14ac:dyDescent="0.25">
      <c r="A555" s="34" t="s">
        <v>4324</v>
      </c>
      <c r="B555" s="34" t="s">
        <v>3851</v>
      </c>
      <c r="C555" s="35" t="s">
        <v>4325</v>
      </c>
      <c r="E555" s="50">
        <v>46079</v>
      </c>
      <c r="F555" s="34" t="s">
        <v>4336</v>
      </c>
      <c r="G555" s="34">
        <v>26.99</v>
      </c>
      <c r="H555" s="34" t="s">
        <v>227</v>
      </c>
      <c r="I555" s="34" t="s">
        <v>21</v>
      </c>
      <c r="J555" s="34" t="s">
        <v>111</v>
      </c>
      <c r="K555" s="35" t="s">
        <v>239</v>
      </c>
      <c r="L555" s="34">
        <v>1035</v>
      </c>
      <c r="M555" s="34" t="s">
        <v>3855</v>
      </c>
      <c r="N555" s="34" t="s">
        <v>4337</v>
      </c>
      <c r="O555" s="34" t="s">
        <v>1278</v>
      </c>
      <c r="Q555" s="52">
        <f t="shared" si="8"/>
        <v>27</v>
      </c>
    </row>
    <row r="556" spans="1:17" x14ac:dyDescent="0.25">
      <c r="A556" s="34" t="s">
        <v>4324</v>
      </c>
      <c r="B556" s="34" t="s">
        <v>3851</v>
      </c>
      <c r="C556" s="35" t="s">
        <v>4325</v>
      </c>
      <c r="E556" s="50">
        <v>46073</v>
      </c>
      <c r="F556" s="34" t="s">
        <v>4296</v>
      </c>
      <c r="G556" s="34">
        <v>215.83</v>
      </c>
      <c r="H556" s="34" t="s">
        <v>227</v>
      </c>
      <c r="I556" s="34" t="s">
        <v>21</v>
      </c>
      <c r="J556" s="34" t="s">
        <v>111</v>
      </c>
      <c r="K556" s="35" t="s">
        <v>239</v>
      </c>
      <c r="L556" s="34">
        <v>1035</v>
      </c>
      <c r="M556" s="34" t="s">
        <v>3855</v>
      </c>
      <c r="N556" s="34" t="s">
        <v>4337</v>
      </c>
      <c r="O556" s="34" t="s">
        <v>1278</v>
      </c>
      <c r="Q556" s="52">
        <f t="shared" si="8"/>
        <v>24</v>
      </c>
    </row>
    <row r="557" spans="1:17" x14ac:dyDescent="0.25">
      <c r="A557" s="34" t="s">
        <v>4324</v>
      </c>
      <c r="B557" s="34" t="s">
        <v>3851</v>
      </c>
      <c r="C557" s="35" t="s">
        <v>4325</v>
      </c>
      <c r="E557" s="50">
        <v>46073</v>
      </c>
      <c r="F557" s="34" t="s">
        <v>4327</v>
      </c>
      <c r="G557" s="34">
        <v>30.82</v>
      </c>
      <c r="H557" s="34" t="s">
        <v>227</v>
      </c>
      <c r="I557" s="34" t="s">
        <v>16</v>
      </c>
      <c r="J557" s="34" t="s">
        <v>4219</v>
      </c>
      <c r="K557" s="35" t="s">
        <v>1053</v>
      </c>
      <c r="L557" s="34">
        <v>4239</v>
      </c>
      <c r="M557" s="34" t="s">
        <v>3855</v>
      </c>
      <c r="N557" s="34" t="s">
        <v>4337</v>
      </c>
      <c r="O557" s="34" t="s">
        <v>1278</v>
      </c>
      <c r="Q557" s="52">
        <f t="shared" si="8"/>
        <v>56</v>
      </c>
    </row>
    <row r="558" spans="1:17" x14ac:dyDescent="0.25">
      <c r="A558" s="34" t="s">
        <v>4324</v>
      </c>
      <c r="B558" s="34" t="s">
        <v>3851</v>
      </c>
      <c r="C558" s="35" t="s">
        <v>4325</v>
      </c>
      <c r="E558" s="50">
        <v>46071</v>
      </c>
      <c r="F558" s="34" t="s">
        <v>4253</v>
      </c>
      <c r="G558" s="34">
        <v>36.97</v>
      </c>
      <c r="H558" s="34" t="s">
        <v>227</v>
      </c>
      <c r="I558" s="34" t="s">
        <v>21</v>
      </c>
      <c r="J558" s="34" t="s">
        <v>111</v>
      </c>
      <c r="K558" s="35" t="s">
        <v>239</v>
      </c>
      <c r="L558" s="34">
        <v>4001</v>
      </c>
      <c r="M558" s="34" t="s">
        <v>3855</v>
      </c>
      <c r="N558" s="34" t="s">
        <v>4337</v>
      </c>
      <c r="O558" s="34" t="s">
        <v>1278</v>
      </c>
      <c r="Q558" s="52">
        <f t="shared" si="8"/>
        <v>37</v>
      </c>
    </row>
    <row r="559" spans="1:17" x14ac:dyDescent="0.25">
      <c r="A559" s="34" t="s">
        <v>4324</v>
      </c>
      <c r="B559" s="34" t="s">
        <v>3851</v>
      </c>
      <c r="C559" s="35" t="s">
        <v>4325</v>
      </c>
      <c r="E559" s="50">
        <v>46071</v>
      </c>
      <c r="F559" s="34" t="s">
        <v>4253</v>
      </c>
      <c r="G559" s="34">
        <v>33.979999999999997</v>
      </c>
      <c r="H559" s="34" t="s">
        <v>227</v>
      </c>
      <c r="I559" s="34" t="s">
        <v>21</v>
      </c>
      <c r="J559" s="34" t="s">
        <v>111</v>
      </c>
      <c r="K559" s="35" t="s">
        <v>239</v>
      </c>
      <c r="L559" s="34">
        <v>4001</v>
      </c>
      <c r="M559" s="34" t="s">
        <v>3855</v>
      </c>
      <c r="N559" s="34" t="s">
        <v>4337</v>
      </c>
      <c r="O559" s="34" t="s">
        <v>1278</v>
      </c>
      <c r="Q559" s="52">
        <f t="shared" si="8"/>
        <v>37</v>
      </c>
    </row>
    <row r="560" spans="1:17" ht="15.75" thickBot="1" x14ac:dyDescent="0.3">
      <c r="E560" s="50"/>
      <c r="F560" s="38" t="s">
        <v>4504</v>
      </c>
      <c r="G560" s="54">
        <f>SUM(G2:G559)</f>
        <v>119802.45999999996</v>
      </c>
    </row>
    <row r="561" spans="3:11" s="34" customFormat="1" ht="15.75" thickTop="1" x14ac:dyDescent="0.25">
      <c r="C561" s="35"/>
      <c r="E561" s="50"/>
      <c r="K561" s="35"/>
    </row>
    <row r="562" spans="3:11" s="34" customFormat="1" x14ac:dyDescent="0.25">
      <c r="C562" s="35"/>
      <c r="E562" s="50"/>
      <c r="F562" s="55" t="s">
        <v>4802</v>
      </c>
      <c r="G562" s="56">
        <f>AEA_Posted!G396</f>
        <v>69485.200000000041</v>
      </c>
      <c r="K562" s="35"/>
    </row>
    <row r="563" spans="3:11" s="34" customFormat="1" x14ac:dyDescent="0.25">
      <c r="C563" s="35"/>
      <c r="E563" s="50"/>
      <c r="F563" s="55" t="s">
        <v>34</v>
      </c>
      <c r="G563" s="56">
        <f>SBF_Posted!G155</f>
        <v>47059.169999999969</v>
      </c>
      <c r="K563" s="35"/>
    </row>
    <row r="564" spans="3:11" s="34" customFormat="1" x14ac:dyDescent="0.25">
      <c r="C564" s="35"/>
      <c r="E564" s="50"/>
      <c r="F564" s="55" t="s">
        <v>171</v>
      </c>
      <c r="G564" s="56">
        <f>DEBT_Reviewed!G12</f>
        <v>3258.09</v>
      </c>
      <c r="K564" s="35"/>
    </row>
    <row r="565" spans="3:11" s="34" customFormat="1" ht="15.75" thickBot="1" x14ac:dyDescent="0.3">
      <c r="C565" s="35"/>
      <c r="E565" s="50"/>
      <c r="G565" s="58">
        <f>SUM(G562:G564)</f>
        <v>119802.46</v>
      </c>
      <c r="K565" s="35"/>
    </row>
    <row r="566" spans="3:11" s="34" customFormat="1" ht="15.75" thickTop="1" x14ac:dyDescent="0.25">
      <c r="C566" s="35"/>
      <c r="E566" s="50"/>
      <c r="G566" s="57">
        <f>G560-G565</f>
        <v>0</v>
      </c>
      <c r="K566" s="35"/>
    </row>
    <row r="567" spans="3:11" s="34" customFormat="1" x14ac:dyDescent="0.25">
      <c r="C567" s="35"/>
      <c r="E567" s="50"/>
      <c r="K567" s="35"/>
    </row>
    <row r="568" spans="3:11" s="34" customFormat="1" x14ac:dyDescent="0.25">
      <c r="C568" s="35"/>
      <c r="E568" s="50"/>
      <c r="K568" s="35"/>
    </row>
    <row r="569" spans="3:11" s="34" customFormat="1" x14ac:dyDescent="0.25">
      <c r="C569" s="35"/>
      <c r="E569" s="50"/>
      <c r="K569" s="35"/>
    </row>
    <row r="570" spans="3:11" s="34" customFormat="1" x14ac:dyDescent="0.25">
      <c r="C570" s="35"/>
      <c r="E570" s="50"/>
      <c r="K570" s="35"/>
    </row>
    <row r="571" spans="3:11" s="34" customFormat="1" x14ac:dyDescent="0.25">
      <c r="C571" s="35"/>
      <c r="E571" s="50"/>
      <c r="K571" s="35"/>
    </row>
    <row r="572" spans="3:11" s="34" customFormat="1" x14ac:dyDescent="0.25">
      <c r="C572" s="35"/>
      <c r="E572" s="50"/>
      <c r="K572" s="35"/>
    </row>
    <row r="573" spans="3:11" s="34" customFormat="1" x14ac:dyDescent="0.25">
      <c r="C573" s="35"/>
      <c r="E573" s="50"/>
      <c r="K573" s="35"/>
    </row>
    <row r="574" spans="3:11" s="34" customFormat="1" x14ac:dyDescent="0.25">
      <c r="C574" s="35"/>
      <c r="E574" s="50"/>
      <c r="K574" s="35"/>
    </row>
    <row r="575" spans="3:11" s="34" customFormat="1" x14ac:dyDescent="0.25">
      <c r="C575" s="35"/>
      <c r="E575" s="50"/>
      <c r="K575" s="35"/>
    </row>
    <row r="576" spans="3:11" s="34" customFormat="1" x14ac:dyDescent="0.25">
      <c r="C576" s="35"/>
      <c r="E576" s="50"/>
      <c r="K576" s="35"/>
    </row>
    <row r="577" spans="3:11" s="34" customFormat="1" x14ac:dyDescent="0.25">
      <c r="C577" s="35"/>
      <c r="E577" s="50"/>
      <c r="K577" s="35"/>
    </row>
    <row r="578" spans="3:11" s="34" customFormat="1" x14ac:dyDescent="0.25">
      <c r="C578" s="35"/>
      <c r="E578" s="50"/>
      <c r="K578" s="35"/>
    </row>
    <row r="579" spans="3:11" s="34" customFormat="1" x14ac:dyDescent="0.25">
      <c r="C579" s="35"/>
      <c r="E579" s="50"/>
      <c r="K579" s="35"/>
    </row>
    <row r="580" spans="3:11" s="34" customFormat="1" x14ac:dyDescent="0.25">
      <c r="C580" s="35"/>
      <c r="E580" s="50"/>
      <c r="K580" s="35"/>
    </row>
    <row r="581" spans="3:11" s="34" customFormat="1" x14ac:dyDescent="0.25">
      <c r="C581" s="35"/>
      <c r="E581" s="50"/>
      <c r="K581" s="35"/>
    </row>
    <row r="582" spans="3:11" s="34" customFormat="1" x14ac:dyDescent="0.25">
      <c r="C582" s="35"/>
      <c r="E582" s="50"/>
      <c r="K582" s="35"/>
    </row>
    <row r="583" spans="3:11" s="34" customFormat="1" x14ac:dyDescent="0.25">
      <c r="C583" s="35"/>
      <c r="E583" s="50"/>
      <c r="K583" s="35"/>
    </row>
    <row r="584" spans="3:11" s="34" customFormat="1" x14ac:dyDescent="0.25">
      <c r="C584" s="35"/>
      <c r="E584" s="50"/>
      <c r="K584" s="35"/>
    </row>
    <row r="585" spans="3:11" s="34" customFormat="1" x14ac:dyDescent="0.25">
      <c r="C585" s="35"/>
      <c r="E585" s="50"/>
      <c r="K585" s="35"/>
    </row>
    <row r="586" spans="3:11" s="34" customFormat="1" x14ac:dyDescent="0.25">
      <c r="C586" s="35"/>
      <c r="E586" s="50"/>
      <c r="K586" s="35"/>
    </row>
    <row r="587" spans="3:11" s="34" customFormat="1" x14ac:dyDescent="0.25">
      <c r="C587" s="35"/>
      <c r="E587" s="50"/>
      <c r="K587" s="35"/>
    </row>
    <row r="588" spans="3:11" s="34" customFormat="1" x14ac:dyDescent="0.25">
      <c r="C588" s="35"/>
      <c r="E588" s="50"/>
      <c r="K588" s="35"/>
    </row>
    <row r="589" spans="3:11" s="34" customFormat="1" x14ac:dyDescent="0.25">
      <c r="C589" s="35"/>
      <c r="E589" s="50"/>
      <c r="K589" s="35"/>
    </row>
    <row r="590" spans="3:11" s="34" customFormat="1" x14ac:dyDescent="0.25">
      <c r="C590" s="35"/>
      <c r="E590" s="50"/>
      <c r="K590" s="35"/>
    </row>
    <row r="591" spans="3:11" s="34" customFormat="1" x14ac:dyDescent="0.25">
      <c r="C591" s="35"/>
      <c r="E591" s="50"/>
      <c r="K591" s="35"/>
    </row>
    <row r="592" spans="3:11" s="34" customFormat="1" x14ac:dyDescent="0.25">
      <c r="C592" s="35"/>
      <c r="E592" s="50"/>
      <c r="K592" s="35"/>
    </row>
    <row r="593" spans="3:11" s="34" customFormat="1" x14ac:dyDescent="0.25">
      <c r="C593" s="35"/>
      <c r="E593" s="50"/>
      <c r="K593" s="35"/>
    </row>
    <row r="594" spans="3:11" s="34" customFormat="1" x14ac:dyDescent="0.25">
      <c r="C594" s="35"/>
      <c r="E594" s="50"/>
      <c r="K594" s="35"/>
    </row>
    <row r="595" spans="3:11" s="34" customFormat="1" x14ac:dyDescent="0.25">
      <c r="C595" s="35"/>
      <c r="E595" s="50"/>
      <c r="K595" s="35"/>
    </row>
    <row r="596" spans="3:11" s="34" customFormat="1" x14ac:dyDescent="0.25">
      <c r="C596" s="35"/>
      <c r="E596" s="50"/>
      <c r="K596" s="35"/>
    </row>
    <row r="597" spans="3:11" s="34" customFormat="1" x14ac:dyDescent="0.25">
      <c r="C597" s="35"/>
      <c r="E597" s="50"/>
      <c r="K597" s="35"/>
    </row>
    <row r="598" spans="3:11" s="34" customFormat="1" x14ac:dyDescent="0.25">
      <c r="C598" s="35"/>
      <c r="E598" s="50"/>
      <c r="K598" s="35"/>
    </row>
    <row r="599" spans="3:11" s="34" customFormat="1" x14ac:dyDescent="0.25">
      <c r="C599" s="35"/>
      <c r="E599" s="50"/>
      <c r="K599" s="35"/>
    </row>
    <row r="600" spans="3:11" s="34" customFormat="1" x14ac:dyDescent="0.25">
      <c r="C600" s="35"/>
      <c r="E600" s="50"/>
      <c r="K600" s="35"/>
    </row>
    <row r="601" spans="3:11" s="34" customFormat="1" x14ac:dyDescent="0.25">
      <c r="C601" s="35"/>
      <c r="E601" s="50"/>
      <c r="K601" s="35"/>
    </row>
    <row r="602" spans="3:11" s="34" customFormat="1" x14ac:dyDescent="0.25">
      <c r="C602" s="35"/>
      <c r="E602" s="50"/>
      <c r="K602" s="35"/>
    </row>
    <row r="603" spans="3:11" s="34" customFormat="1" x14ac:dyDescent="0.25">
      <c r="C603" s="35"/>
      <c r="E603" s="50"/>
      <c r="K603" s="35"/>
    </row>
    <row r="604" spans="3:11" s="34" customFormat="1" x14ac:dyDescent="0.25">
      <c r="C604" s="35"/>
      <c r="E604" s="50"/>
      <c r="K604" s="35"/>
    </row>
    <row r="605" spans="3:11" s="34" customFormat="1" x14ac:dyDescent="0.25">
      <c r="C605" s="35"/>
      <c r="E605" s="50"/>
      <c r="K605" s="35"/>
    </row>
    <row r="606" spans="3:11" s="34" customFormat="1" x14ac:dyDescent="0.25">
      <c r="C606" s="35"/>
      <c r="E606" s="50"/>
      <c r="K606" s="35"/>
    </row>
    <row r="607" spans="3:11" s="34" customFormat="1" x14ac:dyDescent="0.25">
      <c r="C607" s="35"/>
      <c r="E607" s="50"/>
      <c r="K607" s="35"/>
    </row>
    <row r="608" spans="3:11" s="34" customFormat="1" x14ac:dyDescent="0.25">
      <c r="C608" s="35"/>
      <c r="E608" s="50"/>
      <c r="K608" s="35"/>
    </row>
    <row r="609" spans="3:11" s="34" customFormat="1" x14ac:dyDescent="0.25">
      <c r="C609" s="35"/>
      <c r="E609" s="50"/>
      <c r="K609" s="35"/>
    </row>
    <row r="610" spans="3:11" s="34" customFormat="1" x14ac:dyDescent="0.25">
      <c r="C610" s="35"/>
      <c r="E610" s="50"/>
      <c r="K610" s="35"/>
    </row>
    <row r="611" spans="3:11" s="34" customFormat="1" x14ac:dyDescent="0.25">
      <c r="C611" s="35"/>
      <c r="E611" s="50"/>
      <c r="K611" s="35"/>
    </row>
    <row r="612" spans="3:11" s="34" customFormat="1" x14ac:dyDescent="0.25">
      <c r="C612" s="35"/>
      <c r="E612" s="50"/>
      <c r="K612" s="35"/>
    </row>
    <row r="613" spans="3:11" s="34" customFormat="1" x14ac:dyDescent="0.25">
      <c r="C613" s="35"/>
      <c r="E613" s="50"/>
      <c r="K613" s="35"/>
    </row>
    <row r="614" spans="3:11" s="34" customFormat="1" x14ac:dyDescent="0.25">
      <c r="C614" s="35"/>
      <c r="E614" s="50"/>
      <c r="K614" s="35"/>
    </row>
    <row r="615" spans="3:11" s="34" customFormat="1" x14ac:dyDescent="0.25">
      <c r="C615" s="35"/>
      <c r="E615" s="50"/>
      <c r="K615" s="35"/>
    </row>
    <row r="616" spans="3:11" s="34" customFormat="1" x14ac:dyDescent="0.25">
      <c r="C616" s="35"/>
      <c r="E616" s="50"/>
      <c r="K616" s="35"/>
    </row>
    <row r="617" spans="3:11" s="34" customFormat="1" x14ac:dyDescent="0.25">
      <c r="C617" s="35"/>
      <c r="E617" s="50"/>
      <c r="K617" s="35"/>
    </row>
    <row r="618" spans="3:11" s="34" customFormat="1" x14ac:dyDescent="0.25">
      <c r="C618" s="35"/>
      <c r="E618" s="50"/>
      <c r="K618" s="35"/>
    </row>
    <row r="619" spans="3:11" s="34" customFormat="1" x14ac:dyDescent="0.25">
      <c r="C619" s="35"/>
      <c r="E619" s="50"/>
      <c r="K619" s="35"/>
    </row>
    <row r="620" spans="3:11" s="34" customFormat="1" x14ac:dyDescent="0.25">
      <c r="C620" s="35"/>
      <c r="E620" s="50"/>
      <c r="K620" s="35"/>
    </row>
    <row r="621" spans="3:11" s="34" customFormat="1" x14ac:dyDescent="0.25">
      <c r="C621" s="35"/>
      <c r="E621" s="50"/>
      <c r="K621" s="35"/>
    </row>
    <row r="622" spans="3:11" s="34" customFormat="1" x14ac:dyDescent="0.25">
      <c r="C622" s="35"/>
      <c r="E622" s="50"/>
      <c r="K622" s="35"/>
    </row>
    <row r="623" spans="3:11" s="34" customFormat="1" x14ac:dyDescent="0.25">
      <c r="C623" s="35"/>
      <c r="E623" s="50"/>
      <c r="K623" s="35"/>
    </row>
    <row r="624" spans="3:11" s="34" customFormat="1" x14ac:dyDescent="0.25">
      <c r="C624" s="35"/>
      <c r="E624" s="50"/>
      <c r="K624" s="35"/>
    </row>
    <row r="625" spans="3:11" s="34" customFormat="1" x14ac:dyDescent="0.25">
      <c r="C625" s="35"/>
      <c r="E625" s="50"/>
      <c r="K625" s="35"/>
    </row>
    <row r="626" spans="3:11" s="34" customFormat="1" x14ac:dyDescent="0.25">
      <c r="C626" s="35"/>
      <c r="E626" s="50"/>
      <c r="K626" s="35"/>
    </row>
    <row r="627" spans="3:11" s="34" customFormat="1" x14ac:dyDescent="0.25">
      <c r="C627" s="35"/>
      <c r="E627" s="50"/>
      <c r="K627" s="35"/>
    </row>
    <row r="628" spans="3:11" s="34" customFormat="1" x14ac:dyDescent="0.25">
      <c r="C628" s="35"/>
      <c r="E628" s="50"/>
      <c r="K628" s="35"/>
    </row>
    <row r="629" spans="3:11" s="34" customFormat="1" x14ac:dyDescent="0.25">
      <c r="C629" s="35"/>
      <c r="E629" s="50"/>
      <c r="K629" s="35"/>
    </row>
    <row r="630" spans="3:11" s="34" customFormat="1" x14ac:dyDescent="0.25">
      <c r="C630" s="35"/>
      <c r="E630" s="50"/>
      <c r="K630" s="35"/>
    </row>
    <row r="631" spans="3:11" s="34" customFormat="1" x14ac:dyDescent="0.25">
      <c r="C631" s="35"/>
      <c r="E631" s="50"/>
      <c r="K631" s="35"/>
    </row>
    <row r="632" spans="3:11" s="34" customFormat="1" x14ac:dyDescent="0.25">
      <c r="C632" s="35"/>
      <c r="E632" s="50"/>
      <c r="K632" s="35"/>
    </row>
    <row r="633" spans="3:11" s="34" customFormat="1" x14ac:dyDescent="0.25">
      <c r="C633" s="35"/>
      <c r="E633" s="50"/>
      <c r="K633" s="35"/>
    </row>
    <row r="634" spans="3:11" s="34" customFormat="1" x14ac:dyDescent="0.25">
      <c r="C634" s="35"/>
      <c r="E634" s="50"/>
      <c r="K634" s="35"/>
    </row>
    <row r="635" spans="3:11" s="34" customFormat="1" x14ac:dyDescent="0.25">
      <c r="C635" s="35"/>
      <c r="E635" s="50"/>
      <c r="K635" s="35"/>
    </row>
    <row r="636" spans="3:11" s="34" customFormat="1" x14ac:dyDescent="0.25">
      <c r="C636" s="35"/>
      <c r="E636" s="50"/>
      <c r="K636" s="35"/>
    </row>
    <row r="637" spans="3:11" s="34" customFormat="1" x14ac:dyDescent="0.25">
      <c r="C637" s="35"/>
      <c r="E637" s="50"/>
      <c r="K637" s="35"/>
    </row>
    <row r="638" spans="3:11" s="34" customFormat="1" x14ac:dyDescent="0.25">
      <c r="C638" s="35"/>
      <c r="E638" s="50"/>
      <c r="K638" s="35"/>
    </row>
    <row r="639" spans="3:11" s="34" customFormat="1" x14ac:dyDescent="0.25">
      <c r="C639" s="35"/>
      <c r="E639" s="50"/>
      <c r="K639" s="35"/>
    </row>
    <row r="640" spans="3:11" s="34" customFormat="1" x14ac:dyDescent="0.25">
      <c r="C640" s="35"/>
      <c r="E640" s="50"/>
      <c r="K640" s="35"/>
    </row>
    <row r="641" spans="3:11" s="34" customFormat="1" x14ac:dyDescent="0.25">
      <c r="C641" s="35"/>
      <c r="E641" s="50"/>
      <c r="K641" s="35"/>
    </row>
    <row r="642" spans="3:11" s="34" customFormat="1" x14ac:dyDescent="0.25">
      <c r="C642" s="35"/>
      <c r="E642" s="50"/>
      <c r="K642" s="35"/>
    </row>
    <row r="643" spans="3:11" s="34" customFormat="1" x14ac:dyDescent="0.25">
      <c r="C643" s="35"/>
      <c r="E643" s="50"/>
      <c r="K643" s="35"/>
    </row>
    <row r="644" spans="3:11" s="34" customFormat="1" x14ac:dyDescent="0.25">
      <c r="C644" s="35"/>
      <c r="E644" s="50"/>
      <c r="K644" s="35"/>
    </row>
    <row r="645" spans="3:11" s="34" customFormat="1" x14ac:dyDescent="0.25">
      <c r="C645" s="35"/>
      <c r="E645" s="50"/>
      <c r="K645" s="35"/>
    </row>
    <row r="646" spans="3:11" s="34" customFormat="1" x14ac:dyDescent="0.25">
      <c r="C646" s="35"/>
      <c r="E646" s="50"/>
      <c r="K646" s="35"/>
    </row>
    <row r="647" spans="3:11" s="34" customFormat="1" x14ac:dyDescent="0.25">
      <c r="C647" s="35"/>
      <c r="E647" s="50"/>
      <c r="K647" s="35"/>
    </row>
    <row r="648" spans="3:11" s="34" customFormat="1" x14ac:dyDescent="0.25">
      <c r="C648" s="35"/>
      <c r="E648" s="50"/>
      <c r="K648" s="35"/>
    </row>
    <row r="649" spans="3:11" s="34" customFormat="1" x14ac:dyDescent="0.25">
      <c r="C649" s="35"/>
      <c r="E649" s="50"/>
      <c r="K649" s="35"/>
    </row>
    <row r="650" spans="3:11" s="34" customFormat="1" x14ac:dyDescent="0.25">
      <c r="C650" s="35"/>
      <c r="E650" s="50"/>
      <c r="K650" s="35"/>
    </row>
    <row r="651" spans="3:11" s="34" customFormat="1" x14ac:dyDescent="0.25">
      <c r="C651" s="35"/>
      <c r="E651" s="50"/>
      <c r="K651" s="35"/>
    </row>
    <row r="652" spans="3:11" s="34" customFormat="1" x14ac:dyDescent="0.25">
      <c r="C652" s="35"/>
      <c r="E652" s="50"/>
      <c r="K652" s="35"/>
    </row>
    <row r="653" spans="3:11" s="34" customFormat="1" x14ac:dyDescent="0.25">
      <c r="C653" s="35"/>
      <c r="E653" s="50"/>
      <c r="K653" s="35"/>
    </row>
    <row r="654" spans="3:11" s="34" customFormat="1" x14ac:dyDescent="0.25">
      <c r="C654" s="35"/>
      <c r="E654" s="50"/>
      <c r="K654" s="35"/>
    </row>
    <row r="655" spans="3:11" s="34" customFormat="1" x14ac:dyDescent="0.25">
      <c r="C655" s="35"/>
      <c r="E655" s="50"/>
      <c r="K655" s="35"/>
    </row>
    <row r="656" spans="3:11" s="34" customFormat="1" x14ac:dyDescent="0.25">
      <c r="C656" s="35"/>
      <c r="E656" s="50"/>
      <c r="K656" s="35"/>
    </row>
    <row r="657" spans="3:11" s="34" customFormat="1" x14ac:dyDescent="0.25">
      <c r="C657" s="35"/>
      <c r="E657" s="50"/>
      <c r="K657" s="35"/>
    </row>
    <row r="658" spans="3:11" s="34" customFormat="1" x14ac:dyDescent="0.25">
      <c r="C658" s="35"/>
      <c r="E658" s="50"/>
      <c r="K658" s="35"/>
    </row>
    <row r="659" spans="3:11" s="34" customFormat="1" x14ac:dyDescent="0.25">
      <c r="C659" s="35"/>
      <c r="E659" s="50"/>
      <c r="K659" s="35"/>
    </row>
    <row r="660" spans="3:11" s="34" customFormat="1" x14ac:dyDescent="0.25">
      <c r="C660" s="35"/>
      <c r="E660" s="50"/>
      <c r="K660" s="35"/>
    </row>
    <row r="661" spans="3:11" s="34" customFormat="1" x14ac:dyDescent="0.25">
      <c r="C661" s="35"/>
      <c r="E661" s="50"/>
      <c r="K661" s="35"/>
    </row>
    <row r="662" spans="3:11" s="34" customFormat="1" x14ac:dyDescent="0.25">
      <c r="C662" s="35"/>
      <c r="E662" s="50"/>
      <c r="K662" s="35"/>
    </row>
    <row r="663" spans="3:11" s="34" customFormat="1" x14ac:dyDescent="0.25">
      <c r="C663" s="35"/>
      <c r="E663" s="50"/>
      <c r="K663" s="35"/>
    </row>
    <row r="664" spans="3:11" s="34" customFormat="1" x14ac:dyDescent="0.25">
      <c r="C664" s="35"/>
      <c r="E664" s="50"/>
      <c r="K664" s="35"/>
    </row>
    <row r="665" spans="3:11" s="34" customFormat="1" x14ac:dyDescent="0.25">
      <c r="C665" s="35"/>
      <c r="E665" s="50"/>
      <c r="K665" s="35"/>
    </row>
    <row r="666" spans="3:11" s="34" customFormat="1" x14ac:dyDescent="0.25">
      <c r="C666" s="35"/>
      <c r="E666" s="50"/>
      <c r="K666" s="35"/>
    </row>
    <row r="667" spans="3:11" s="34" customFormat="1" x14ac:dyDescent="0.25">
      <c r="C667" s="35"/>
      <c r="E667" s="50"/>
      <c r="K667" s="35"/>
    </row>
    <row r="668" spans="3:11" s="34" customFormat="1" x14ac:dyDescent="0.25">
      <c r="C668" s="35"/>
      <c r="E668" s="50"/>
      <c r="K668" s="35"/>
    </row>
    <row r="669" spans="3:11" s="34" customFormat="1" x14ac:dyDescent="0.25">
      <c r="C669" s="35"/>
      <c r="E669" s="50"/>
      <c r="K669" s="35"/>
    </row>
    <row r="670" spans="3:11" s="34" customFormat="1" x14ac:dyDescent="0.25">
      <c r="C670" s="35"/>
      <c r="E670" s="50"/>
      <c r="K670" s="35"/>
    </row>
    <row r="671" spans="3:11" s="34" customFormat="1" x14ac:dyDescent="0.25">
      <c r="C671" s="35"/>
      <c r="E671" s="50"/>
      <c r="K671" s="35"/>
    </row>
    <row r="672" spans="3:11" s="34" customFormat="1" x14ac:dyDescent="0.25">
      <c r="C672" s="35"/>
      <c r="E672" s="50"/>
      <c r="K672" s="35"/>
    </row>
    <row r="673" spans="3:11" s="34" customFormat="1" x14ac:dyDescent="0.25">
      <c r="C673" s="35"/>
      <c r="E673" s="50"/>
      <c r="K673" s="35"/>
    </row>
    <row r="674" spans="3:11" s="34" customFormat="1" x14ac:dyDescent="0.25">
      <c r="C674" s="35"/>
      <c r="E674" s="50"/>
      <c r="K674" s="35"/>
    </row>
    <row r="675" spans="3:11" s="34" customFormat="1" x14ac:dyDescent="0.25">
      <c r="C675" s="35"/>
      <c r="E675" s="50"/>
      <c r="K675" s="35"/>
    </row>
    <row r="676" spans="3:11" s="34" customFormat="1" x14ac:dyDescent="0.25">
      <c r="C676" s="35"/>
      <c r="E676" s="50"/>
      <c r="K676" s="35"/>
    </row>
    <row r="677" spans="3:11" s="34" customFormat="1" x14ac:dyDescent="0.25">
      <c r="C677" s="35"/>
      <c r="E677" s="50"/>
      <c r="K677" s="35"/>
    </row>
    <row r="678" spans="3:11" s="34" customFormat="1" x14ac:dyDescent="0.25">
      <c r="C678" s="35"/>
      <c r="E678" s="50"/>
      <c r="K678" s="35"/>
    </row>
    <row r="679" spans="3:11" s="34" customFormat="1" x14ac:dyDescent="0.25">
      <c r="C679" s="35"/>
      <c r="E679" s="50"/>
      <c r="K679" s="35"/>
    </row>
    <row r="680" spans="3:11" s="34" customFormat="1" x14ac:dyDescent="0.25">
      <c r="C680" s="35"/>
      <c r="E680" s="50"/>
      <c r="K680" s="35"/>
    </row>
    <row r="681" spans="3:11" s="34" customFormat="1" x14ac:dyDescent="0.25">
      <c r="C681" s="35"/>
      <c r="E681" s="50"/>
      <c r="K681" s="35"/>
    </row>
    <row r="682" spans="3:11" s="34" customFormat="1" x14ac:dyDescent="0.25">
      <c r="C682" s="35"/>
      <c r="E682" s="50"/>
      <c r="K682" s="35"/>
    </row>
    <row r="683" spans="3:11" s="34" customFormat="1" x14ac:dyDescent="0.25">
      <c r="C683" s="35"/>
      <c r="E683" s="50"/>
      <c r="K683" s="35"/>
    </row>
    <row r="684" spans="3:11" s="34" customFormat="1" x14ac:dyDescent="0.25">
      <c r="C684" s="35"/>
      <c r="E684" s="50"/>
      <c r="K684" s="35"/>
    </row>
    <row r="685" spans="3:11" s="34" customFormat="1" x14ac:dyDescent="0.25">
      <c r="C685" s="35"/>
      <c r="E685" s="50"/>
      <c r="K685" s="35"/>
    </row>
    <row r="686" spans="3:11" s="34" customFormat="1" x14ac:dyDescent="0.25">
      <c r="C686" s="35"/>
      <c r="E686" s="50"/>
      <c r="K686" s="35"/>
    </row>
    <row r="687" spans="3:11" s="34" customFormat="1" x14ac:dyDescent="0.25">
      <c r="C687" s="35"/>
      <c r="E687" s="50"/>
      <c r="K687" s="35"/>
    </row>
    <row r="688" spans="3:11" s="34" customFormat="1" x14ac:dyDescent="0.25">
      <c r="C688" s="35"/>
      <c r="E688" s="50"/>
      <c r="K688" s="35"/>
    </row>
    <row r="689" spans="3:11" s="34" customFormat="1" x14ac:dyDescent="0.25">
      <c r="C689" s="35"/>
      <c r="E689" s="50"/>
      <c r="K689" s="35"/>
    </row>
    <row r="690" spans="3:11" s="34" customFormat="1" x14ac:dyDescent="0.25">
      <c r="C690" s="35"/>
      <c r="E690" s="50"/>
      <c r="K690" s="35"/>
    </row>
    <row r="691" spans="3:11" s="34" customFormat="1" x14ac:dyDescent="0.25">
      <c r="C691" s="35"/>
      <c r="E691" s="50"/>
      <c r="K691" s="35"/>
    </row>
    <row r="692" spans="3:11" s="34" customFormat="1" x14ac:dyDescent="0.25">
      <c r="C692" s="35"/>
      <c r="E692" s="50"/>
      <c r="K692" s="35"/>
    </row>
    <row r="693" spans="3:11" s="34" customFormat="1" x14ac:dyDescent="0.25">
      <c r="C693" s="35"/>
      <c r="E693" s="50"/>
      <c r="K693" s="35"/>
    </row>
    <row r="694" spans="3:11" s="34" customFormat="1" x14ac:dyDescent="0.25">
      <c r="C694" s="35"/>
      <c r="E694" s="50"/>
      <c r="K694" s="35"/>
    </row>
    <row r="695" spans="3:11" s="34" customFormat="1" x14ac:dyDescent="0.25">
      <c r="C695" s="35"/>
      <c r="E695" s="50"/>
      <c r="K695" s="35"/>
    </row>
    <row r="696" spans="3:11" s="34" customFormat="1" x14ac:dyDescent="0.25">
      <c r="C696" s="35"/>
      <c r="E696" s="50"/>
      <c r="K696" s="35"/>
    </row>
    <row r="697" spans="3:11" s="34" customFormat="1" x14ac:dyDescent="0.25">
      <c r="C697" s="35"/>
      <c r="E697" s="50"/>
      <c r="K697" s="35"/>
    </row>
    <row r="698" spans="3:11" s="34" customFormat="1" x14ac:dyDescent="0.25">
      <c r="C698" s="35"/>
      <c r="E698" s="50"/>
      <c r="K698" s="35"/>
    </row>
    <row r="699" spans="3:11" s="34" customFormat="1" x14ac:dyDescent="0.25">
      <c r="C699" s="35"/>
      <c r="E699" s="50"/>
      <c r="K699" s="35"/>
    </row>
    <row r="700" spans="3:11" s="34" customFormat="1" x14ac:dyDescent="0.25">
      <c r="C700" s="35"/>
      <c r="E700" s="50"/>
      <c r="K700" s="35"/>
    </row>
    <row r="701" spans="3:11" s="34" customFormat="1" x14ac:dyDescent="0.25">
      <c r="C701" s="35"/>
      <c r="E701" s="50"/>
      <c r="K701" s="35"/>
    </row>
    <row r="702" spans="3:11" s="34" customFormat="1" x14ac:dyDescent="0.25">
      <c r="C702" s="35"/>
      <c r="E702" s="50"/>
      <c r="K702" s="35"/>
    </row>
    <row r="703" spans="3:11" s="34" customFormat="1" x14ac:dyDescent="0.25">
      <c r="C703" s="35"/>
      <c r="E703" s="50"/>
      <c r="K703" s="35"/>
    </row>
    <row r="704" spans="3:11" s="34" customFormat="1" x14ac:dyDescent="0.25">
      <c r="C704" s="35"/>
      <c r="E704" s="50"/>
      <c r="K704" s="35"/>
    </row>
    <row r="705" spans="3:11" s="34" customFormat="1" x14ac:dyDescent="0.25">
      <c r="C705" s="35"/>
      <c r="E705" s="50"/>
      <c r="K705" s="35"/>
    </row>
    <row r="706" spans="3:11" s="34" customFormat="1" x14ac:dyDescent="0.25">
      <c r="C706" s="35"/>
      <c r="E706" s="50"/>
      <c r="K706" s="35"/>
    </row>
    <row r="707" spans="3:11" s="34" customFormat="1" x14ac:dyDescent="0.25">
      <c r="C707" s="35"/>
      <c r="E707" s="50"/>
      <c r="K707" s="35"/>
    </row>
    <row r="708" spans="3:11" s="34" customFormat="1" x14ac:dyDescent="0.25">
      <c r="C708" s="35"/>
      <c r="E708" s="50"/>
      <c r="K708" s="35"/>
    </row>
    <row r="709" spans="3:11" s="34" customFormat="1" x14ac:dyDescent="0.25">
      <c r="C709" s="35"/>
      <c r="E709" s="50"/>
      <c r="K709" s="35"/>
    </row>
    <row r="710" spans="3:11" s="34" customFormat="1" x14ac:dyDescent="0.25">
      <c r="C710" s="35"/>
      <c r="E710" s="50"/>
      <c r="K710" s="35"/>
    </row>
    <row r="711" spans="3:11" s="34" customFormat="1" x14ac:dyDescent="0.25">
      <c r="C711" s="35"/>
      <c r="E711" s="50"/>
      <c r="K711" s="35"/>
    </row>
    <row r="712" spans="3:11" s="34" customFormat="1" x14ac:dyDescent="0.25">
      <c r="C712" s="35"/>
      <c r="E712" s="50"/>
      <c r="K712" s="35"/>
    </row>
    <row r="713" spans="3:11" s="34" customFormat="1" x14ac:dyDescent="0.25">
      <c r="C713" s="35"/>
      <c r="E713" s="50"/>
      <c r="K713" s="35"/>
    </row>
    <row r="714" spans="3:11" s="34" customFormat="1" x14ac:dyDescent="0.25">
      <c r="C714" s="35"/>
      <c r="E714" s="50"/>
      <c r="K714" s="35"/>
    </row>
    <row r="715" spans="3:11" s="34" customFormat="1" x14ac:dyDescent="0.25">
      <c r="C715" s="35"/>
      <c r="E715" s="50"/>
      <c r="K715" s="35"/>
    </row>
    <row r="716" spans="3:11" s="34" customFormat="1" x14ac:dyDescent="0.25">
      <c r="C716" s="35"/>
      <c r="E716" s="50"/>
      <c r="K716" s="35"/>
    </row>
    <row r="717" spans="3:11" s="34" customFormat="1" x14ac:dyDescent="0.25">
      <c r="C717" s="35"/>
      <c r="E717" s="50"/>
      <c r="K717" s="35"/>
    </row>
    <row r="718" spans="3:11" s="34" customFormat="1" x14ac:dyDescent="0.25">
      <c r="C718" s="35"/>
      <c r="E718" s="50"/>
      <c r="K718" s="35"/>
    </row>
    <row r="719" spans="3:11" s="34" customFormat="1" x14ac:dyDescent="0.25">
      <c r="C719" s="35"/>
      <c r="E719" s="50"/>
      <c r="K719" s="35"/>
    </row>
    <row r="720" spans="3:11" s="34" customFormat="1" x14ac:dyDescent="0.25">
      <c r="C720" s="35"/>
      <c r="E720" s="50"/>
      <c r="K720" s="35"/>
    </row>
    <row r="721" spans="3:11" s="34" customFormat="1" x14ac:dyDescent="0.25">
      <c r="C721" s="35"/>
      <c r="E721" s="50"/>
      <c r="K721" s="35"/>
    </row>
    <row r="722" spans="3:11" s="34" customFormat="1" x14ac:dyDescent="0.25">
      <c r="C722" s="35"/>
      <c r="E722" s="50"/>
      <c r="K722" s="35"/>
    </row>
    <row r="723" spans="3:11" s="34" customFormat="1" x14ac:dyDescent="0.25">
      <c r="C723" s="35"/>
      <c r="E723" s="50"/>
      <c r="K723" s="35"/>
    </row>
    <row r="724" spans="3:11" s="34" customFormat="1" x14ac:dyDescent="0.25">
      <c r="C724" s="35"/>
      <c r="E724" s="50"/>
      <c r="K724" s="35"/>
    </row>
    <row r="725" spans="3:11" s="34" customFormat="1" x14ac:dyDescent="0.25">
      <c r="C725" s="35"/>
      <c r="E725" s="50"/>
      <c r="K725" s="35"/>
    </row>
    <row r="726" spans="3:11" s="34" customFormat="1" x14ac:dyDescent="0.25">
      <c r="C726" s="35"/>
      <c r="E726" s="50"/>
      <c r="K726" s="35"/>
    </row>
    <row r="727" spans="3:11" s="34" customFormat="1" x14ac:dyDescent="0.25">
      <c r="C727" s="35"/>
      <c r="E727" s="50"/>
      <c r="K727" s="35"/>
    </row>
    <row r="728" spans="3:11" s="34" customFormat="1" x14ac:dyDescent="0.25">
      <c r="C728" s="35"/>
      <c r="E728" s="50"/>
      <c r="K728" s="35"/>
    </row>
    <row r="729" spans="3:11" s="34" customFormat="1" x14ac:dyDescent="0.25">
      <c r="C729" s="35"/>
      <c r="E729" s="50"/>
      <c r="K729" s="35"/>
    </row>
    <row r="730" spans="3:11" s="34" customFormat="1" x14ac:dyDescent="0.25">
      <c r="C730" s="35"/>
      <c r="E730" s="50"/>
      <c r="K730" s="35"/>
    </row>
    <row r="731" spans="3:11" s="34" customFormat="1" x14ac:dyDescent="0.25">
      <c r="C731" s="35"/>
      <c r="E731" s="50"/>
      <c r="K731" s="35"/>
    </row>
    <row r="732" spans="3:11" s="34" customFormat="1" x14ac:dyDescent="0.25">
      <c r="C732" s="35"/>
      <c r="E732" s="50"/>
      <c r="K732" s="35"/>
    </row>
    <row r="733" spans="3:11" s="34" customFormat="1" x14ac:dyDescent="0.25">
      <c r="C733" s="35"/>
      <c r="E733" s="50"/>
      <c r="K733" s="35"/>
    </row>
    <row r="734" spans="3:11" s="34" customFormat="1" x14ac:dyDescent="0.25">
      <c r="C734" s="35"/>
      <c r="E734" s="50"/>
      <c r="K734" s="35"/>
    </row>
    <row r="735" spans="3:11" s="34" customFormat="1" x14ac:dyDescent="0.25">
      <c r="C735" s="35"/>
      <c r="E735" s="50"/>
      <c r="K735" s="35"/>
    </row>
    <row r="736" spans="3:11" s="34" customFormat="1" x14ac:dyDescent="0.25">
      <c r="C736" s="35"/>
      <c r="E736" s="50"/>
      <c r="K736" s="35"/>
    </row>
    <row r="737" spans="3:11" s="34" customFormat="1" x14ac:dyDescent="0.25">
      <c r="C737" s="35"/>
      <c r="E737" s="50"/>
      <c r="K737" s="35"/>
    </row>
    <row r="738" spans="3:11" s="34" customFormat="1" x14ac:dyDescent="0.25">
      <c r="C738" s="35"/>
      <c r="E738" s="50"/>
      <c r="K738" s="35"/>
    </row>
    <row r="739" spans="3:11" s="34" customFormat="1" x14ac:dyDescent="0.25">
      <c r="C739" s="35"/>
      <c r="E739" s="50"/>
      <c r="K739" s="35"/>
    </row>
    <row r="740" spans="3:11" s="34" customFormat="1" x14ac:dyDescent="0.25">
      <c r="C740" s="35"/>
      <c r="E740" s="50"/>
      <c r="K740" s="35"/>
    </row>
    <row r="741" spans="3:11" s="34" customFormat="1" x14ac:dyDescent="0.25">
      <c r="C741" s="35"/>
      <c r="E741" s="50"/>
      <c r="K741" s="35"/>
    </row>
    <row r="742" spans="3:11" s="34" customFormat="1" x14ac:dyDescent="0.25">
      <c r="C742" s="35"/>
      <c r="E742" s="50"/>
      <c r="K742" s="35"/>
    </row>
    <row r="743" spans="3:11" s="34" customFormat="1" x14ac:dyDescent="0.25">
      <c r="C743" s="35"/>
      <c r="E743" s="50"/>
      <c r="K743" s="35"/>
    </row>
    <row r="744" spans="3:11" s="34" customFormat="1" x14ac:dyDescent="0.25">
      <c r="C744" s="35"/>
      <c r="E744" s="50"/>
      <c r="K744" s="35"/>
    </row>
    <row r="745" spans="3:11" s="34" customFormat="1" x14ac:dyDescent="0.25">
      <c r="C745" s="35"/>
      <c r="E745" s="50"/>
      <c r="K745" s="35"/>
    </row>
    <row r="746" spans="3:11" s="34" customFormat="1" x14ac:dyDescent="0.25">
      <c r="C746" s="35"/>
      <c r="E746" s="50"/>
      <c r="K746" s="35"/>
    </row>
    <row r="747" spans="3:11" s="34" customFormat="1" x14ac:dyDescent="0.25">
      <c r="C747" s="35"/>
      <c r="E747" s="50"/>
      <c r="K747" s="35"/>
    </row>
    <row r="748" spans="3:11" s="34" customFormat="1" x14ac:dyDescent="0.25">
      <c r="C748" s="35"/>
      <c r="E748" s="50"/>
      <c r="K748" s="35"/>
    </row>
    <row r="749" spans="3:11" s="34" customFormat="1" x14ac:dyDescent="0.25">
      <c r="C749" s="35"/>
      <c r="E749" s="50"/>
      <c r="K749" s="35"/>
    </row>
    <row r="750" spans="3:11" s="34" customFormat="1" x14ac:dyDescent="0.25">
      <c r="C750" s="35"/>
      <c r="E750" s="50"/>
      <c r="K750" s="35"/>
    </row>
    <row r="751" spans="3:11" s="34" customFormat="1" x14ac:dyDescent="0.25">
      <c r="C751" s="35"/>
      <c r="E751" s="50"/>
      <c r="K751" s="35"/>
    </row>
    <row r="752" spans="3:11" s="34" customFormat="1" x14ac:dyDescent="0.25">
      <c r="C752" s="35"/>
      <c r="E752" s="50"/>
      <c r="K752" s="35"/>
    </row>
    <row r="753" spans="3:11" s="34" customFormat="1" x14ac:dyDescent="0.25">
      <c r="C753" s="35"/>
      <c r="E753" s="50"/>
      <c r="K753" s="35"/>
    </row>
    <row r="754" spans="3:11" s="34" customFormat="1" x14ac:dyDescent="0.25">
      <c r="C754" s="35"/>
      <c r="E754" s="50"/>
      <c r="K754" s="35"/>
    </row>
    <row r="755" spans="3:11" s="34" customFormat="1" x14ac:dyDescent="0.25">
      <c r="C755" s="35"/>
      <c r="E755" s="50"/>
      <c r="K755" s="35"/>
    </row>
    <row r="756" spans="3:11" s="34" customFormat="1" x14ac:dyDescent="0.25">
      <c r="C756" s="35"/>
      <c r="E756" s="50"/>
      <c r="K756" s="35"/>
    </row>
    <row r="757" spans="3:11" s="34" customFormat="1" x14ac:dyDescent="0.25">
      <c r="C757" s="35"/>
      <c r="E757" s="50"/>
      <c r="K757" s="35"/>
    </row>
    <row r="758" spans="3:11" s="34" customFormat="1" x14ac:dyDescent="0.25">
      <c r="C758" s="35"/>
      <c r="E758" s="50"/>
      <c r="K758" s="35"/>
    </row>
    <row r="759" spans="3:11" s="34" customFormat="1" x14ac:dyDescent="0.25">
      <c r="C759" s="35"/>
      <c r="E759" s="50"/>
      <c r="K759" s="35"/>
    </row>
    <row r="760" spans="3:11" s="34" customFormat="1" x14ac:dyDescent="0.25">
      <c r="C760" s="35"/>
      <c r="E760" s="50"/>
      <c r="K760" s="35"/>
    </row>
    <row r="761" spans="3:11" s="34" customFormat="1" x14ac:dyDescent="0.25">
      <c r="C761" s="35"/>
      <c r="E761" s="50"/>
      <c r="K761" s="35"/>
    </row>
    <row r="762" spans="3:11" s="34" customFormat="1" x14ac:dyDescent="0.25">
      <c r="C762" s="35"/>
      <c r="E762" s="50"/>
      <c r="K762" s="35"/>
    </row>
    <row r="763" spans="3:11" s="34" customFormat="1" x14ac:dyDescent="0.25">
      <c r="C763" s="35"/>
      <c r="E763" s="50"/>
      <c r="K763" s="35"/>
    </row>
    <row r="764" spans="3:11" s="34" customFormat="1" x14ac:dyDescent="0.25">
      <c r="C764" s="35"/>
      <c r="E764" s="50"/>
      <c r="K764" s="35"/>
    </row>
    <row r="765" spans="3:11" s="34" customFormat="1" x14ac:dyDescent="0.25">
      <c r="C765" s="35"/>
      <c r="E765" s="50"/>
      <c r="K765" s="35"/>
    </row>
    <row r="766" spans="3:11" s="34" customFormat="1" x14ac:dyDescent="0.25">
      <c r="C766" s="35"/>
      <c r="E766" s="50"/>
      <c r="K766" s="35"/>
    </row>
    <row r="767" spans="3:11" s="34" customFormat="1" x14ac:dyDescent="0.25">
      <c r="C767" s="35"/>
      <c r="E767" s="50"/>
      <c r="K767" s="35"/>
    </row>
    <row r="768" spans="3:11" s="34" customFormat="1" x14ac:dyDescent="0.25">
      <c r="C768" s="35"/>
      <c r="E768" s="50"/>
      <c r="K768" s="35"/>
    </row>
    <row r="769" spans="3:11" s="34" customFormat="1" x14ac:dyDescent="0.25">
      <c r="C769" s="35"/>
      <c r="E769" s="50"/>
      <c r="K769" s="35"/>
    </row>
    <row r="770" spans="3:11" s="34" customFormat="1" x14ac:dyDescent="0.25">
      <c r="C770" s="35"/>
      <c r="E770" s="50"/>
      <c r="K770" s="35"/>
    </row>
    <row r="771" spans="3:11" s="34" customFormat="1" x14ac:dyDescent="0.25">
      <c r="C771" s="35"/>
      <c r="E771" s="50"/>
      <c r="K771" s="35"/>
    </row>
    <row r="772" spans="3:11" s="34" customFormat="1" x14ac:dyDescent="0.25">
      <c r="C772" s="35"/>
      <c r="E772" s="50"/>
      <c r="K772" s="35"/>
    </row>
    <row r="773" spans="3:11" s="34" customFormat="1" x14ac:dyDescent="0.25">
      <c r="C773" s="35"/>
      <c r="E773" s="50"/>
      <c r="K773" s="35"/>
    </row>
    <row r="774" spans="3:11" s="34" customFormat="1" x14ac:dyDescent="0.25">
      <c r="C774" s="35"/>
      <c r="E774" s="50"/>
      <c r="K774" s="35"/>
    </row>
    <row r="775" spans="3:11" s="34" customFormat="1" x14ac:dyDescent="0.25">
      <c r="C775" s="35"/>
      <c r="E775" s="50"/>
      <c r="K775" s="35"/>
    </row>
    <row r="776" spans="3:11" s="34" customFormat="1" x14ac:dyDescent="0.25">
      <c r="C776" s="35"/>
      <c r="E776" s="50"/>
      <c r="K776" s="35"/>
    </row>
    <row r="777" spans="3:11" s="34" customFormat="1" x14ac:dyDescent="0.25">
      <c r="C777" s="35"/>
      <c r="E777" s="50"/>
      <c r="K777" s="35"/>
    </row>
    <row r="778" spans="3:11" s="34" customFormat="1" x14ac:dyDescent="0.25">
      <c r="C778" s="35"/>
      <c r="E778" s="50"/>
      <c r="K778" s="35"/>
    </row>
    <row r="779" spans="3:11" s="34" customFormat="1" x14ac:dyDescent="0.25">
      <c r="C779" s="35"/>
      <c r="E779" s="50"/>
      <c r="K779" s="35"/>
    </row>
    <row r="780" spans="3:11" s="34" customFormat="1" x14ac:dyDescent="0.25">
      <c r="C780" s="35"/>
      <c r="E780" s="50"/>
      <c r="K780" s="35"/>
    </row>
    <row r="781" spans="3:11" s="34" customFormat="1" x14ac:dyDescent="0.25">
      <c r="C781" s="35"/>
      <c r="E781" s="50"/>
      <c r="K781" s="35"/>
    </row>
    <row r="782" spans="3:11" s="34" customFormat="1" x14ac:dyDescent="0.25">
      <c r="C782" s="35"/>
      <c r="E782" s="50"/>
      <c r="K782" s="35"/>
    </row>
    <row r="783" spans="3:11" s="34" customFormat="1" x14ac:dyDescent="0.25">
      <c r="C783" s="35"/>
      <c r="E783" s="50"/>
      <c r="K783" s="35"/>
    </row>
    <row r="784" spans="3:11" s="34" customFormat="1" x14ac:dyDescent="0.25">
      <c r="C784" s="35"/>
      <c r="E784" s="50"/>
      <c r="K784" s="35"/>
    </row>
    <row r="785" spans="3:11" s="34" customFormat="1" x14ac:dyDescent="0.25">
      <c r="C785" s="35"/>
      <c r="E785" s="50"/>
      <c r="K785" s="35"/>
    </row>
    <row r="786" spans="3:11" s="34" customFormat="1" x14ac:dyDescent="0.25">
      <c r="C786" s="35"/>
      <c r="E786" s="50"/>
      <c r="K786" s="35"/>
    </row>
    <row r="787" spans="3:11" s="34" customFormat="1" x14ac:dyDescent="0.25">
      <c r="C787" s="35"/>
      <c r="E787" s="50"/>
      <c r="K787" s="35"/>
    </row>
    <row r="788" spans="3:11" s="34" customFormat="1" x14ac:dyDescent="0.25">
      <c r="C788" s="35"/>
      <c r="E788" s="50"/>
      <c r="K788" s="35"/>
    </row>
    <row r="789" spans="3:11" s="34" customFormat="1" x14ac:dyDescent="0.25">
      <c r="C789" s="35"/>
      <c r="E789" s="50"/>
      <c r="K789" s="35"/>
    </row>
    <row r="790" spans="3:11" s="34" customFormat="1" x14ac:dyDescent="0.25">
      <c r="C790" s="35"/>
      <c r="E790" s="50"/>
      <c r="K790" s="35"/>
    </row>
    <row r="791" spans="3:11" s="34" customFormat="1" x14ac:dyDescent="0.25">
      <c r="C791" s="35"/>
      <c r="E791" s="50"/>
      <c r="K791" s="35"/>
    </row>
    <row r="792" spans="3:11" s="34" customFormat="1" x14ac:dyDescent="0.25">
      <c r="C792" s="35"/>
      <c r="E792" s="50"/>
      <c r="K792" s="35"/>
    </row>
    <row r="793" spans="3:11" s="34" customFormat="1" x14ac:dyDescent="0.25">
      <c r="C793" s="35"/>
      <c r="E793" s="50"/>
      <c r="K793" s="35"/>
    </row>
    <row r="794" spans="3:11" s="34" customFormat="1" x14ac:dyDescent="0.25">
      <c r="C794" s="35"/>
      <c r="E794" s="50"/>
      <c r="K794" s="35"/>
    </row>
    <row r="795" spans="3:11" s="34" customFormat="1" x14ac:dyDescent="0.25">
      <c r="C795" s="35"/>
      <c r="E795" s="50"/>
      <c r="K795" s="35"/>
    </row>
    <row r="796" spans="3:11" s="34" customFormat="1" x14ac:dyDescent="0.25">
      <c r="C796" s="35"/>
      <c r="E796" s="50"/>
      <c r="K796" s="35"/>
    </row>
    <row r="797" spans="3:11" s="34" customFormat="1" x14ac:dyDescent="0.25">
      <c r="C797" s="35"/>
      <c r="E797" s="50"/>
      <c r="K797" s="35"/>
    </row>
    <row r="798" spans="3:11" s="34" customFormat="1" x14ac:dyDescent="0.25">
      <c r="C798" s="35"/>
      <c r="E798" s="50"/>
      <c r="K798" s="35"/>
    </row>
    <row r="799" spans="3:11" s="34" customFormat="1" x14ac:dyDescent="0.25">
      <c r="C799" s="35"/>
      <c r="E799" s="50"/>
      <c r="K799" s="35"/>
    </row>
    <row r="800" spans="3:11" s="34" customFormat="1" x14ac:dyDescent="0.25">
      <c r="C800" s="35"/>
      <c r="E800" s="50"/>
      <c r="K800" s="35"/>
    </row>
    <row r="801" spans="3:11" s="34" customFormat="1" x14ac:dyDescent="0.25">
      <c r="C801" s="35"/>
      <c r="E801" s="50"/>
      <c r="K801" s="35"/>
    </row>
    <row r="802" spans="3:11" s="34" customFormat="1" x14ac:dyDescent="0.25">
      <c r="C802" s="35"/>
      <c r="E802" s="50"/>
      <c r="K802" s="35"/>
    </row>
    <row r="803" spans="3:11" s="34" customFormat="1" x14ac:dyDescent="0.25">
      <c r="C803" s="35"/>
      <c r="E803" s="50"/>
      <c r="K803" s="35"/>
    </row>
    <row r="804" spans="3:11" s="34" customFormat="1" x14ac:dyDescent="0.25">
      <c r="C804" s="35"/>
      <c r="E804" s="50"/>
      <c r="K804" s="35"/>
    </row>
    <row r="805" spans="3:11" s="34" customFormat="1" x14ac:dyDescent="0.25">
      <c r="C805" s="35"/>
      <c r="E805" s="50"/>
      <c r="K805" s="35"/>
    </row>
    <row r="806" spans="3:11" s="34" customFormat="1" x14ac:dyDescent="0.25">
      <c r="C806" s="35"/>
      <c r="E806" s="50"/>
      <c r="K806" s="35"/>
    </row>
    <row r="807" spans="3:11" s="34" customFormat="1" x14ac:dyDescent="0.25">
      <c r="C807" s="35"/>
      <c r="E807" s="50"/>
      <c r="K807" s="35"/>
    </row>
    <row r="808" spans="3:11" s="34" customFormat="1" x14ac:dyDescent="0.25">
      <c r="C808" s="35"/>
      <c r="E808" s="50"/>
      <c r="K808" s="35"/>
    </row>
    <row r="809" spans="3:11" s="34" customFormat="1" x14ac:dyDescent="0.25">
      <c r="C809" s="35"/>
      <c r="E809" s="50"/>
      <c r="K809" s="35"/>
    </row>
    <row r="810" spans="3:11" s="34" customFormat="1" x14ac:dyDescent="0.25">
      <c r="C810" s="35"/>
      <c r="E810" s="50"/>
      <c r="K810" s="35"/>
    </row>
    <row r="811" spans="3:11" s="34" customFormat="1" x14ac:dyDescent="0.25">
      <c r="C811" s="35"/>
      <c r="E811" s="50"/>
      <c r="K811" s="35"/>
    </row>
    <row r="812" spans="3:11" s="34" customFormat="1" x14ac:dyDescent="0.25">
      <c r="C812" s="35"/>
      <c r="E812" s="50"/>
      <c r="K812" s="35"/>
    </row>
    <row r="813" spans="3:11" s="34" customFormat="1" x14ac:dyDescent="0.25">
      <c r="C813" s="35"/>
      <c r="E813" s="50"/>
      <c r="K813" s="35"/>
    </row>
    <row r="814" spans="3:11" s="34" customFormat="1" x14ac:dyDescent="0.25">
      <c r="C814" s="35"/>
      <c r="E814" s="50"/>
      <c r="K814" s="35"/>
    </row>
    <row r="815" spans="3:11" s="34" customFormat="1" x14ac:dyDescent="0.25">
      <c r="C815" s="35"/>
      <c r="E815" s="50"/>
      <c r="K815" s="35"/>
    </row>
    <row r="816" spans="3:11" s="34" customFormat="1" x14ac:dyDescent="0.25">
      <c r="C816" s="35"/>
      <c r="E816" s="50"/>
      <c r="K816" s="35"/>
    </row>
    <row r="817" spans="3:11" s="34" customFormat="1" x14ac:dyDescent="0.25">
      <c r="C817" s="35"/>
      <c r="E817" s="50"/>
      <c r="K817" s="35"/>
    </row>
    <row r="818" spans="3:11" s="34" customFormat="1" x14ac:dyDescent="0.25">
      <c r="C818" s="35"/>
      <c r="E818" s="50"/>
      <c r="K818" s="35"/>
    </row>
    <row r="819" spans="3:11" s="34" customFormat="1" x14ac:dyDescent="0.25">
      <c r="C819" s="35"/>
      <c r="E819" s="50"/>
      <c r="K819" s="35"/>
    </row>
    <row r="820" spans="3:11" s="34" customFormat="1" x14ac:dyDescent="0.25">
      <c r="C820" s="35"/>
      <c r="E820" s="50"/>
      <c r="K820" s="35"/>
    </row>
    <row r="821" spans="3:11" s="34" customFormat="1" x14ac:dyDescent="0.25">
      <c r="C821" s="35"/>
      <c r="E821" s="50"/>
      <c r="K821" s="35"/>
    </row>
    <row r="822" spans="3:11" s="34" customFormat="1" x14ac:dyDescent="0.25">
      <c r="C822" s="35"/>
      <c r="E822" s="50"/>
      <c r="K822" s="35"/>
    </row>
    <row r="823" spans="3:11" s="34" customFormat="1" x14ac:dyDescent="0.25">
      <c r="C823" s="35"/>
      <c r="E823" s="50"/>
      <c r="K823" s="35"/>
    </row>
    <row r="824" spans="3:11" s="34" customFormat="1" x14ac:dyDescent="0.25">
      <c r="C824" s="35"/>
      <c r="E824" s="50"/>
      <c r="K824" s="35"/>
    </row>
    <row r="825" spans="3:11" s="34" customFormat="1" x14ac:dyDescent="0.25">
      <c r="C825" s="35"/>
      <c r="E825" s="50"/>
      <c r="K825" s="35"/>
    </row>
    <row r="826" spans="3:11" s="34" customFormat="1" x14ac:dyDescent="0.25">
      <c r="C826" s="35"/>
      <c r="E826" s="50"/>
      <c r="K826" s="35"/>
    </row>
    <row r="827" spans="3:11" s="34" customFormat="1" x14ac:dyDescent="0.25">
      <c r="C827" s="35"/>
      <c r="E827" s="50"/>
      <c r="K827" s="35"/>
    </row>
    <row r="828" spans="3:11" s="34" customFormat="1" x14ac:dyDescent="0.25">
      <c r="C828" s="35"/>
      <c r="E828" s="50"/>
      <c r="K828" s="35"/>
    </row>
    <row r="829" spans="3:11" s="34" customFormat="1" x14ac:dyDescent="0.25">
      <c r="C829" s="35"/>
      <c r="E829" s="50"/>
      <c r="K829" s="35"/>
    </row>
    <row r="830" spans="3:11" s="34" customFormat="1" x14ac:dyDescent="0.25">
      <c r="C830" s="35"/>
      <c r="E830" s="50"/>
      <c r="K830" s="35"/>
    </row>
    <row r="831" spans="3:11" s="34" customFormat="1" x14ac:dyDescent="0.25">
      <c r="C831" s="35"/>
      <c r="E831" s="50"/>
      <c r="K831" s="35"/>
    </row>
    <row r="832" spans="3:11" s="34" customFormat="1" x14ac:dyDescent="0.25">
      <c r="C832" s="35"/>
      <c r="E832" s="50"/>
      <c r="K832" s="35"/>
    </row>
    <row r="833" spans="3:11" s="34" customFormat="1" x14ac:dyDescent="0.25">
      <c r="C833" s="35"/>
      <c r="E833" s="50"/>
      <c r="K833" s="35"/>
    </row>
    <row r="834" spans="3:11" s="34" customFormat="1" x14ac:dyDescent="0.25">
      <c r="C834" s="35"/>
      <c r="E834" s="50"/>
      <c r="K834" s="35"/>
    </row>
    <row r="835" spans="3:11" s="34" customFormat="1" x14ac:dyDescent="0.25">
      <c r="C835" s="35"/>
      <c r="E835" s="50"/>
      <c r="K835" s="35"/>
    </row>
    <row r="836" spans="3:11" s="34" customFormat="1" x14ac:dyDescent="0.25">
      <c r="C836" s="35"/>
      <c r="E836" s="50"/>
      <c r="K836" s="35"/>
    </row>
    <row r="837" spans="3:11" s="34" customFormat="1" x14ac:dyDescent="0.25">
      <c r="C837" s="35"/>
      <c r="E837" s="50"/>
      <c r="K837" s="35"/>
    </row>
    <row r="838" spans="3:11" s="34" customFormat="1" x14ac:dyDescent="0.25">
      <c r="C838" s="35"/>
      <c r="E838" s="50"/>
      <c r="K838" s="35"/>
    </row>
    <row r="839" spans="3:11" s="34" customFormat="1" x14ac:dyDescent="0.25">
      <c r="C839" s="35"/>
      <c r="E839" s="50"/>
      <c r="K839" s="35"/>
    </row>
    <row r="840" spans="3:11" s="34" customFormat="1" x14ac:dyDescent="0.25">
      <c r="C840" s="35"/>
      <c r="E840" s="50"/>
      <c r="K840" s="35"/>
    </row>
    <row r="841" spans="3:11" s="34" customFormat="1" x14ac:dyDescent="0.25">
      <c r="C841" s="35"/>
      <c r="E841" s="50"/>
      <c r="K841" s="35"/>
    </row>
    <row r="842" spans="3:11" s="34" customFormat="1" x14ac:dyDescent="0.25">
      <c r="C842" s="35"/>
      <c r="E842" s="50"/>
      <c r="K842" s="35"/>
    </row>
    <row r="843" spans="3:11" s="34" customFormat="1" x14ac:dyDescent="0.25">
      <c r="C843" s="35"/>
      <c r="E843" s="50"/>
      <c r="K843" s="35"/>
    </row>
    <row r="844" spans="3:11" s="34" customFormat="1" x14ac:dyDescent="0.25">
      <c r="C844" s="35"/>
      <c r="E844" s="50"/>
      <c r="K844" s="35"/>
    </row>
    <row r="845" spans="3:11" s="34" customFormat="1" x14ac:dyDescent="0.25">
      <c r="C845" s="35"/>
      <c r="E845" s="50"/>
      <c r="K845" s="35"/>
    </row>
    <row r="846" spans="3:11" s="34" customFormat="1" x14ac:dyDescent="0.25">
      <c r="C846" s="35"/>
      <c r="E846" s="50"/>
      <c r="K846" s="35"/>
    </row>
    <row r="847" spans="3:11" s="34" customFormat="1" x14ac:dyDescent="0.25">
      <c r="C847" s="35"/>
      <c r="E847" s="50"/>
      <c r="K847" s="35"/>
    </row>
    <row r="848" spans="3:11" s="34" customFormat="1" x14ac:dyDescent="0.25">
      <c r="C848" s="35"/>
      <c r="E848" s="50"/>
      <c r="K848" s="35"/>
    </row>
    <row r="849" spans="3:11" s="34" customFormat="1" x14ac:dyDescent="0.25">
      <c r="C849" s="35"/>
      <c r="E849" s="50"/>
      <c r="K849" s="35"/>
    </row>
    <row r="850" spans="3:11" s="34" customFormat="1" x14ac:dyDescent="0.25">
      <c r="C850" s="35"/>
      <c r="E850" s="50"/>
      <c r="K850" s="35"/>
    </row>
    <row r="851" spans="3:11" s="34" customFormat="1" x14ac:dyDescent="0.25">
      <c r="C851" s="35"/>
      <c r="E851" s="50"/>
      <c r="K851" s="35"/>
    </row>
    <row r="852" spans="3:11" s="34" customFormat="1" x14ac:dyDescent="0.25">
      <c r="C852" s="35"/>
      <c r="E852" s="50"/>
      <c r="K852" s="35"/>
    </row>
    <row r="853" spans="3:11" s="34" customFormat="1" x14ac:dyDescent="0.25">
      <c r="C853" s="35"/>
      <c r="E853" s="50"/>
      <c r="K853" s="35"/>
    </row>
    <row r="854" spans="3:11" s="34" customFormat="1" x14ac:dyDescent="0.25">
      <c r="C854" s="35"/>
      <c r="E854" s="50"/>
      <c r="K854" s="35"/>
    </row>
    <row r="855" spans="3:11" s="34" customFormat="1" x14ac:dyDescent="0.25">
      <c r="C855" s="35"/>
      <c r="E855" s="50"/>
      <c r="K855" s="35"/>
    </row>
    <row r="856" spans="3:11" s="34" customFormat="1" x14ac:dyDescent="0.25">
      <c r="C856" s="35"/>
      <c r="E856" s="50"/>
      <c r="K856" s="35"/>
    </row>
    <row r="857" spans="3:11" s="34" customFormat="1" x14ac:dyDescent="0.25">
      <c r="C857" s="35"/>
      <c r="E857" s="50"/>
      <c r="K857" s="35"/>
    </row>
    <row r="858" spans="3:11" s="34" customFormat="1" x14ac:dyDescent="0.25">
      <c r="C858" s="35"/>
      <c r="E858" s="50"/>
      <c r="K858" s="35"/>
    </row>
    <row r="859" spans="3:11" s="34" customFormat="1" x14ac:dyDescent="0.25">
      <c r="C859" s="35"/>
      <c r="E859" s="50"/>
      <c r="K859" s="35"/>
    </row>
    <row r="860" spans="3:11" s="34" customFormat="1" x14ac:dyDescent="0.25">
      <c r="C860" s="35"/>
      <c r="E860" s="50"/>
      <c r="K860" s="35"/>
    </row>
    <row r="861" spans="3:11" s="34" customFormat="1" x14ac:dyDescent="0.25">
      <c r="C861" s="35"/>
      <c r="E861" s="50"/>
      <c r="K861" s="35"/>
    </row>
    <row r="862" spans="3:11" s="34" customFormat="1" x14ac:dyDescent="0.25">
      <c r="C862" s="35"/>
      <c r="E862" s="50"/>
      <c r="K862" s="35"/>
    </row>
    <row r="863" spans="3:11" s="34" customFormat="1" x14ac:dyDescent="0.25">
      <c r="C863" s="35"/>
      <c r="E863" s="50"/>
      <c r="K863" s="35"/>
    </row>
    <row r="864" spans="3:11" s="34" customFormat="1" x14ac:dyDescent="0.25">
      <c r="C864" s="35"/>
      <c r="E864" s="50"/>
      <c r="K864" s="35"/>
    </row>
    <row r="865" spans="3:11" s="34" customFormat="1" x14ac:dyDescent="0.25">
      <c r="C865" s="35"/>
      <c r="E865" s="50"/>
      <c r="K865" s="35"/>
    </row>
    <row r="866" spans="3:11" s="34" customFormat="1" x14ac:dyDescent="0.25">
      <c r="C866" s="35"/>
      <c r="E866" s="50"/>
      <c r="K866" s="35"/>
    </row>
    <row r="867" spans="3:11" s="34" customFormat="1" x14ac:dyDescent="0.25">
      <c r="C867" s="35"/>
      <c r="E867" s="50"/>
      <c r="K867" s="35"/>
    </row>
    <row r="868" spans="3:11" s="34" customFormat="1" x14ac:dyDescent="0.25">
      <c r="C868" s="35"/>
      <c r="E868" s="50"/>
      <c r="K868" s="35"/>
    </row>
    <row r="869" spans="3:11" s="34" customFormat="1" x14ac:dyDescent="0.25">
      <c r="C869" s="35"/>
      <c r="E869" s="50"/>
      <c r="K869" s="35"/>
    </row>
    <row r="870" spans="3:11" s="34" customFormat="1" x14ac:dyDescent="0.25">
      <c r="C870" s="35"/>
      <c r="E870" s="50"/>
      <c r="K870" s="35"/>
    </row>
    <row r="871" spans="3:11" s="34" customFormat="1" x14ac:dyDescent="0.25">
      <c r="C871" s="35"/>
      <c r="E871" s="50"/>
      <c r="K871" s="35"/>
    </row>
    <row r="872" spans="3:11" s="34" customFormat="1" x14ac:dyDescent="0.25">
      <c r="C872" s="35"/>
      <c r="E872" s="50"/>
      <c r="K872" s="35"/>
    </row>
    <row r="873" spans="3:11" s="34" customFormat="1" x14ac:dyDescent="0.25">
      <c r="C873" s="35"/>
      <c r="E873" s="50"/>
      <c r="K873" s="35"/>
    </row>
    <row r="874" spans="3:11" s="34" customFormat="1" x14ac:dyDescent="0.25">
      <c r="C874" s="35"/>
      <c r="E874" s="50"/>
      <c r="K874" s="35"/>
    </row>
    <row r="875" spans="3:11" s="34" customFormat="1" x14ac:dyDescent="0.25">
      <c r="C875" s="35"/>
      <c r="E875" s="50"/>
      <c r="K875" s="35"/>
    </row>
    <row r="876" spans="3:11" s="34" customFormat="1" x14ac:dyDescent="0.25">
      <c r="C876" s="35"/>
      <c r="E876" s="50"/>
      <c r="K876" s="35"/>
    </row>
    <row r="877" spans="3:11" s="34" customFormat="1" x14ac:dyDescent="0.25">
      <c r="C877" s="35"/>
      <c r="E877" s="50"/>
      <c r="K877" s="35"/>
    </row>
    <row r="878" spans="3:11" s="34" customFormat="1" x14ac:dyDescent="0.25">
      <c r="C878" s="35"/>
      <c r="E878" s="50"/>
      <c r="K878" s="35"/>
    </row>
    <row r="879" spans="3:11" s="34" customFormat="1" x14ac:dyDescent="0.25">
      <c r="C879" s="35"/>
      <c r="E879" s="50"/>
      <c r="K879" s="35"/>
    </row>
    <row r="880" spans="3:11" s="34" customFormat="1" x14ac:dyDescent="0.25">
      <c r="C880" s="35"/>
      <c r="E880" s="50"/>
      <c r="K880" s="35"/>
    </row>
    <row r="881" spans="3:11" s="34" customFormat="1" x14ac:dyDescent="0.25">
      <c r="C881" s="35"/>
      <c r="E881" s="50"/>
      <c r="K881" s="35"/>
    </row>
    <row r="882" spans="3:11" s="34" customFormat="1" x14ac:dyDescent="0.25">
      <c r="C882" s="35"/>
      <c r="E882" s="50"/>
      <c r="K882" s="35"/>
    </row>
    <row r="883" spans="3:11" s="34" customFormat="1" x14ac:dyDescent="0.25">
      <c r="C883" s="35"/>
      <c r="E883" s="50"/>
      <c r="K883" s="35"/>
    </row>
    <row r="884" spans="3:11" s="34" customFormat="1" x14ac:dyDescent="0.25">
      <c r="C884" s="35"/>
      <c r="E884" s="50"/>
      <c r="K884" s="35"/>
    </row>
    <row r="885" spans="3:11" s="34" customFormat="1" x14ac:dyDescent="0.25">
      <c r="C885" s="35"/>
      <c r="E885" s="50"/>
      <c r="K885" s="35"/>
    </row>
    <row r="886" spans="3:11" s="34" customFormat="1" x14ac:dyDescent="0.25">
      <c r="C886" s="35"/>
      <c r="E886" s="50"/>
      <c r="K886" s="35"/>
    </row>
    <row r="887" spans="3:11" s="34" customFormat="1" x14ac:dyDescent="0.25">
      <c r="C887" s="35"/>
      <c r="E887" s="50"/>
      <c r="K887" s="35"/>
    </row>
    <row r="888" spans="3:11" s="34" customFormat="1" x14ac:dyDescent="0.25">
      <c r="C888" s="35"/>
      <c r="E888" s="50"/>
      <c r="K888" s="35"/>
    </row>
    <row r="889" spans="3:11" s="34" customFormat="1" x14ac:dyDescent="0.25">
      <c r="C889" s="35"/>
      <c r="E889" s="50"/>
      <c r="K889" s="35"/>
    </row>
    <row r="890" spans="3:11" s="34" customFormat="1" x14ac:dyDescent="0.25">
      <c r="C890" s="35"/>
      <c r="E890" s="50"/>
      <c r="K890" s="35"/>
    </row>
    <row r="891" spans="3:11" s="34" customFormat="1" x14ac:dyDescent="0.25">
      <c r="C891" s="35"/>
      <c r="E891" s="50"/>
      <c r="K891" s="35"/>
    </row>
    <row r="892" spans="3:11" s="34" customFormat="1" x14ac:dyDescent="0.25">
      <c r="C892" s="35"/>
      <c r="E892" s="50"/>
      <c r="K892" s="35"/>
    </row>
    <row r="893" spans="3:11" s="34" customFormat="1" x14ac:dyDescent="0.25">
      <c r="C893" s="35"/>
      <c r="E893" s="50"/>
      <c r="K893" s="35"/>
    </row>
    <row r="894" spans="3:11" s="34" customFormat="1" x14ac:dyDescent="0.25">
      <c r="C894" s="35"/>
      <c r="E894" s="50"/>
      <c r="K894" s="35"/>
    </row>
    <row r="895" spans="3:11" s="34" customFormat="1" x14ac:dyDescent="0.25">
      <c r="C895" s="35"/>
      <c r="E895" s="50"/>
      <c r="K895" s="35"/>
    </row>
    <row r="896" spans="3:11" s="34" customFormat="1" x14ac:dyDescent="0.25">
      <c r="C896" s="35"/>
      <c r="E896" s="50"/>
      <c r="K896" s="35"/>
    </row>
    <row r="897" spans="3:11" s="34" customFormat="1" x14ac:dyDescent="0.25">
      <c r="C897" s="35"/>
      <c r="E897" s="50"/>
      <c r="K897" s="35"/>
    </row>
    <row r="898" spans="3:11" s="34" customFormat="1" x14ac:dyDescent="0.25">
      <c r="C898" s="35"/>
      <c r="E898" s="50"/>
      <c r="K898" s="35"/>
    </row>
    <row r="899" spans="3:11" s="34" customFormat="1" x14ac:dyDescent="0.25">
      <c r="C899" s="35"/>
      <c r="E899" s="50"/>
      <c r="K899" s="35"/>
    </row>
    <row r="900" spans="3:11" s="34" customFormat="1" x14ac:dyDescent="0.25">
      <c r="C900" s="35"/>
      <c r="E900" s="50"/>
      <c r="K900" s="35"/>
    </row>
    <row r="901" spans="3:11" s="34" customFormat="1" x14ac:dyDescent="0.25">
      <c r="C901" s="35"/>
      <c r="E901" s="50"/>
      <c r="K901" s="35"/>
    </row>
    <row r="902" spans="3:11" s="34" customFormat="1" x14ac:dyDescent="0.25">
      <c r="C902" s="35"/>
      <c r="E902" s="50"/>
      <c r="K902" s="35"/>
    </row>
    <row r="903" spans="3:11" s="34" customFormat="1" x14ac:dyDescent="0.25">
      <c r="C903" s="35"/>
      <c r="E903" s="50"/>
      <c r="K903" s="35"/>
    </row>
    <row r="904" spans="3:11" s="34" customFormat="1" x14ac:dyDescent="0.25">
      <c r="C904" s="35"/>
      <c r="E904" s="50"/>
      <c r="K904" s="35"/>
    </row>
    <row r="905" spans="3:11" s="34" customFormat="1" x14ac:dyDescent="0.25">
      <c r="C905" s="35"/>
      <c r="E905" s="50"/>
      <c r="K905" s="35"/>
    </row>
    <row r="906" spans="3:11" s="34" customFormat="1" x14ac:dyDescent="0.25">
      <c r="C906" s="35"/>
      <c r="E906" s="50"/>
      <c r="K906" s="35"/>
    </row>
    <row r="907" spans="3:11" s="34" customFormat="1" x14ac:dyDescent="0.25">
      <c r="C907" s="35"/>
      <c r="E907" s="50"/>
      <c r="K907" s="35"/>
    </row>
    <row r="908" spans="3:11" s="34" customFormat="1" x14ac:dyDescent="0.25">
      <c r="C908" s="35"/>
      <c r="E908" s="50"/>
      <c r="K908" s="35"/>
    </row>
    <row r="909" spans="3:11" s="34" customFormat="1" x14ac:dyDescent="0.25">
      <c r="C909" s="35"/>
      <c r="E909" s="50"/>
      <c r="K909" s="35"/>
    </row>
    <row r="910" spans="3:11" s="34" customFormat="1" x14ac:dyDescent="0.25">
      <c r="C910" s="35"/>
      <c r="E910" s="50"/>
      <c r="K910" s="35"/>
    </row>
    <row r="911" spans="3:11" s="34" customFormat="1" x14ac:dyDescent="0.25">
      <c r="C911" s="35"/>
      <c r="E911" s="50"/>
      <c r="K911" s="35"/>
    </row>
    <row r="912" spans="3:11" s="34" customFormat="1" x14ac:dyDescent="0.25">
      <c r="C912" s="35"/>
      <c r="E912" s="50"/>
      <c r="K912" s="35"/>
    </row>
    <row r="913" spans="3:11" s="34" customFormat="1" x14ac:dyDescent="0.25">
      <c r="C913" s="35"/>
      <c r="E913" s="50"/>
      <c r="K913" s="35"/>
    </row>
    <row r="914" spans="3:11" s="34" customFormat="1" x14ac:dyDescent="0.25">
      <c r="C914" s="35"/>
      <c r="E914" s="50"/>
      <c r="K914" s="35"/>
    </row>
    <row r="915" spans="3:11" s="34" customFormat="1" x14ac:dyDescent="0.25">
      <c r="C915" s="35"/>
      <c r="E915" s="50"/>
      <c r="K915" s="35"/>
    </row>
    <row r="916" spans="3:11" s="34" customFormat="1" x14ac:dyDescent="0.25">
      <c r="C916" s="35"/>
      <c r="E916" s="50"/>
      <c r="K916" s="35"/>
    </row>
    <row r="917" spans="3:11" s="34" customFormat="1" x14ac:dyDescent="0.25">
      <c r="C917" s="35"/>
      <c r="E917" s="50"/>
      <c r="K917" s="35"/>
    </row>
    <row r="918" spans="3:11" s="34" customFormat="1" x14ac:dyDescent="0.25">
      <c r="C918" s="35"/>
      <c r="E918" s="50"/>
      <c r="K918" s="35"/>
    </row>
    <row r="919" spans="3:11" s="34" customFormat="1" x14ac:dyDescent="0.25">
      <c r="C919" s="35"/>
      <c r="E919" s="50"/>
      <c r="K919" s="35"/>
    </row>
    <row r="920" spans="3:11" s="34" customFormat="1" x14ac:dyDescent="0.25">
      <c r="C920" s="35"/>
      <c r="E920" s="50"/>
      <c r="K920" s="35"/>
    </row>
    <row r="921" spans="3:11" s="34" customFormat="1" x14ac:dyDescent="0.25">
      <c r="C921" s="35"/>
      <c r="E921" s="50"/>
      <c r="K921" s="35"/>
    </row>
    <row r="922" spans="3:11" s="34" customFormat="1" x14ac:dyDescent="0.25">
      <c r="C922" s="35"/>
      <c r="E922" s="50"/>
      <c r="K922" s="35"/>
    </row>
    <row r="923" spans="3:11" s="34" customFormat="1" x14ac:dyDescent="0.25">
      <c r="C923" s="35"/>
      <c r="E923" s="50"/>
      <c r="K923" s="35"/>
    </row>
    <row r="924" spans="3:11" s="34" customFormat="1" x14ac:dyDescent="0.25">
      <c r="C924" s="35"/>
      <c r="E924" s="50"/>
      <c r="K924" s="35"/>
    </row>
    <row r="925" spans="3:11" s="34" customFormat="1" x14ac:dyDescent="0.25">
      <c r="C925" s="35"/>
      <c r="E925" s="50"/>
      <c r="K925" s="35"/>
    </row>
    <row r="926" spans="3:11" s="34" customFormat="1" x14ac:dyDescent="0.25">
      <c r="C926" s="35"/>
      <c r="E926" s="50"/>
      <c r="K926" s="35"/>
    </row>
    <row r="927" spans="3:11" s="34" customFormat="1" x14ac:dyDescent="0.25">
      <c r="C927" s="35"/>
      <c r="E927" s="50"/>
      <c r="K927" s="35"/>
    </row>
    <row r="928" spans="3:11" s="34" customFormat="1" x14ac:dyDescent="0.25">
      <c r="C928" s="35"/>
      <c r="E928" s="50"/>
      <c r="K928" s="35"/>
    </row>
    <row r="929" spans="3:11" s="34" customFormat="1" x14ac:dyDescent="0.25">
      <c r="C929" s="35"/>
      <c r="E929" s="50"/>
      <c r="K929" s="35"/>
    </row>
    <row r="930" spans="3:11" s="34" customFormat="1" x14ac:dyDescent="0.25">
      <c r="C930" s="35"/>
      <c r="E930" s="50"/>
      <c r="K930" s="35"/>
    </row>
    <row r="931" spans="3:11" s="34" customFormat="1" x14ac:dyDescent="0.25">
      <c r="C931" s="35"/>
      <c r="E931" s="50"/>
      <c r="K931" s="35"/>
    </row>
    <row r="932" spans="3:11" s="34" customFormat="1" x14ac:dyDescent="0.25">
      <c r="C932" s="35"/>
      <c r="E932" s="50"/>
      <c r="K932" s="35"/>
    </row>
    <row r="933" spans="3:11" s="34" customFormat="1" x14ac:dyDescent="0.25">
      <c r="C933" s="35"/>
      <c r="E933" s="50"/>
      <c r="K933" s="35"/>
    </row>
    <row r="934" spans="3:11" s="34" customFormat="1" x14ac:dyDescent="0.25">
      <c r="C934" s="35"/>
      <c r="E934" s="50"/>
      <c r="K934" s="35"/>
    </row>
    <row r="935" spans="3:11" s="34" customFormat="1" x14ac:dyDescent="0.25">
      <c r="C935" s="35"/>
      <c r="E935" s="50"/>
      <c r="K935" s="35"/>
    </row>
    <row r="936" spans="3:11" s="34" customFormat="1" x14ac:dyDescent="0.25">
      <c r="C936" s="35"/>
      <c r="E936" s="50"/>
      <c r="K936" s="35"/>
    </row>
    <row r="937" spans="3:11" s="34" customFormat="1" x14ac:dyDescent="0.25">
      <c r="C937" s="35"/>
      <c r="E937" s="50"/>
      <c r="K937" s="35"/>
    </row>
    <row r="938" spans="3:11" s="34" customFormat="1" x14ac:dyDescent="0.25">
      <c r="C938" s="35"/>
      <c r="E938" s="50"/>
      <c r="K938" s="35"/>
    </row>
    <row r="939" spans="3:11" s="34" customFormat="1" x14ac:dyDescent="0.25">
      <c r="C939" s="35"/>
      <c r="E939" s="50"/>
      <c r="K939" s="35"/>
    </row>
    <row r="940" spans="3:11" s="34" customFormat="1" x14ac:dyDescent="0.25">
      <c r="C940" s="35"/>
      <c r="E940" s="50"/>
      <c r="K940" s="35"/>
    </row>
    <row r="941" spans="3:11" s="34" customFormat="1" x14ac:dyDescent="0.25">
      <c r="C941" s="35"/>
      <c r="E941" s="50"/>
      <c r="K941" s="35"/>
    </row>
    <row r="942" spans="3:11" s="34" customFormat="1" x14ac:dyDescent="0.25">
      <c r="C942" s="35"/>
      <c r="E942" s="50"/>
      <c r="K942" s="35"/>
    </row>
    <row r="943" spans="3:11" s="34" customFormat="1" x14ac:dyDescent="0.25">
      <c r="C943" s="35"/>
      <c r="E943" s="50"/>
      <c r="K943" s="35"/>
    </row>
    <row r="944" spans="3:11" s="34" customFormat="1" x14ac:dyDescent="0.25">
      <c r="C944" s="35"/>
      <c r="E944" s="50"/>
      <c r="K944" s="35"/>
    </row>
    <row r="945" spans="3:11" s="34" customFormat="1" x14ac:dyDescent="0.25">
      <c r="C945" s="35"/>
      <c r="E945" s="50"/>
      <c r="K945" s="35"/>
    </row>
    <row r="946" spans="3:11" s="34" customFormat="1" x14ac:dyDescent="0.25">
      <c r="C946" s="35"/>
      <c r="E946" s="50"/>
      <c r="K946" s="35"/>
    </row>
    <row r="947" spans="3:11" s="34" customFormat="1" x14ac:dyDescent="0.25">
      <c r="C947" s="35"/>
      <c r="E947" s="50"/>
      <c r="K947" s="35"/>
    </row>
    <row r="948" spans="3:11" s="34" customFormat="1" x14ac:dyDescent="0.25">
      <c r="C948" s="35"/>
      <c r="E948" s="50"/>
      <c r="K948" s="35"/>
    </row>
    <row r="949" spans="3:11" s="34" customFormat="1" x14ac:dyDescent="0.25">
      <c r="C949" s="35"/>
      <c r="E949" s="50"/>
      <c r="K949" s="35"/>
    </row>
    <row r="950" spans="3:11" s="34" customFormat="1" x14ac:dyDescent="0.25">
      <c r="C950" s="35"/>
      <c r="E950" s="50"/>
      <c r="K950" s="35"/>
    </row>
    <row r="951" spans="3:11" s="34" customFormat="1" x14ac:dyDescent="0.25">
      <c r="C951" s="35"/>
      <c r="E951" s="50"/>
      <c r="K951" s="35"/>
    </row>
    <row r="952" spans="3:11" s="34" customFormat="1" x14ac:dyDescent="0.25">
      <c r="C952" s="35"/>
      <c r="E952" s="50"/>
      <c r="K952" s="35"/>
    </row>
    <row r="953" spans="3:11" s="34" customFormat="1" x14ac:dyDescent="0.25">
      <c r="C953" s="35"/>
      <c r="E953" s="50"/>
      <c r="K953" s="35"/>
    </row>
    <row r="954" spans="3:11" s="34" customFormat="1" x14ac:dyDescent="0.25">
      <c r="C954" s="35"/>
      <c r="E954" s="50"/>
      <c r="K954" s="35"/>
    </row>
    <row r="955" spans="3:11" s="34" customFormat="1" x14ac:dyDescent="0.25">
      <c r="C955" s="35"/>
      <c r="E955" s="50"/>
      <c r="K955" s="35"/>
    </row>
    <row r="956" spans="3:11" s="34" customFormat="1" x14ac:dyDescent="0.25">
      <c r="C956" s="35"/>
      <c r="E956" s="50"/>
      <c r="K956" s="35"/>
    </row>
    <row r="957" spans="3:11" s="34" customFormat="1" x14ac:dyDescent="0.25">
      <c r="C957" s="35"/>
      <c r="E957" s="50"/>
      <c r="K957" s="35"/>
    </row>
    <row r="958" spans="3:11" s="34" customFormat="1" x14ac:dyDescent="0.25">
      <c r="C958" s="35"/>
      <c r="E958" s="50"/>
      <c r="K958" s="35"/>
    </row>
    <row r="959" spans="3:11" s="34" customFormat="1" x14ac:dyDescent="0.25">
      <c r="C959" s="35"/>
      <c r="E959" s="50"/>
      <c r="K959" s="35"/>
    </row>
    <row r="960" spans="3:11" s="34" customFormat="1" x14ac:dyDescent="0.25">
      <c r="C960" s="35"/>
      <c r="E960" s="50"/>
      <c r="K960" s="35"/>
    </row>
    <row r="961" spans="3:11" s="34" customFormat="1" x14ac:dyDescent="0.25">
      <c r="C961" s="35"/>
      <c r="E961" s="50"/>
      <c r="K961" s="35"/>
    </row>
    <row r="962" spans="3:11" s="34" customFormat="1" x14ac:dyDescent="0.25">
      <c r="C962" s="35"/>
      <c r="E962" s="50"/>
      <c r="K962" s="35"/>
    </row>
    <row r="963" spans="3:11" s="34" customFormat="1" x14ac:dyDescent="0.25">
      <c r="C963" s="35"/>
      <c r="E963" s="50"/>
      <c r="K963" s="35"/>
    </row>
    <row r="964" spans="3:11" s="34" customFormat="1" x14ac:dyDescent="0.25">
      <c r="C964" s="35"/>
      <c r="E964" s="50"/>
      <c r="K964" s="35"/>
    </row>
    <row r="965" spans="3:11" s="34" customFormat="1" x14ac:dyDescent="0.25">
      <c r="C965" s="35"/>
      <c r="E965" s="50"/>
      <c r="K965" s="35"/>
    </row>
    <row r="966" spans="3:11" s="34" customFormat="1" x14ac:dyDescent="0.25">
      <c r="C966" s="35"/>
      <c r="E966" s="50"/>
      <c r="K966" s="35"/>
    </row>
    <row r="967" spans="3:11" s="34" customFormat="1" x14ac:dyDescent="0.25">
      <c r="C967" s="35"/>
      <c r="E967" s="50"/>
      <c r="K967" s="35"/>
    </row>
    <row r="968" spans="3:11" s="34" customFormat="1" x14ac:dyDescent="0.25">
      <c r="C968" s="35"/>
      <c r="E968" s="50"/>
      <c r="K968" s="35"/>
    </row>
    <row r="969" spans="3:11" s="34" customFormat="1" x14ac:dyDescent="0.25">
      <c r="C969" s="35"/>
      <c r="E969" s="50"/>
      <c r="K969" s="35"/>
    </row>
    <row r="970" spans="3:11" s="34" customFormat="1" x14ac:dyDescent="0.25">
      <c r="C970" s="35"/>
      <c r="E970" s="50"/>
      <c r="K970" s="35"/>
    </row>
    <row r="971" spans="3:11" s="34" customFormat="1" x14ac:dyDescent="0.25">
      <c r="C971" s="35"/>
      <c r="E971" s="50"/>
      <c r="K971" s="35"/>
    </row>
    <row r="972" spans="3:11" s="34" customFormat="1" x14ac:dyDescent="0.25">
      <c r="C972" s="35"/>
      <c r="E972" s="50"/>
      <c r="K972" s="35"/>
    </row>
    <row r="973" spans="3:11" s="34" customFormat="1" x14ac:dyDescent="0.25">
      <c r="C973" s="35"/>
      <c r="E973" s="50"/>
      <c r="K973" s="35"/>
    </row>
    <row r="974" spans="3:11" s="34" customFormat="1" x14ac:dyDescent="0.25">
      <c r="C974" s="35"/>
      <c r="E974" s="50"/>
      <c r="K974" s="35"/>
    </row>
    <row r="975" spans="3:11" s="34" customFormat="1" x14ac:dyDescent="0.25">
      <c r="C975" s="35"/>
      <c r="E975" s="50"/>
      <c r="K975" s="35"/>
    </row>
    <row r="976" spans="3:11" s="34" customFormat="1" x14ac:dyDescent="0.25">
      <c r="C976" s="35"/>
      <c r="E976" s="50"/>
      <c r="K976" s="35"/>
    </row>
    <row r="977" spans="3:11" s="34" customFormat="1" x14ac:dyDescent="0.25">
      <c r="C977" s="35"/>
      <c r="E977" s="50"/>
      <c r="K977" s="35"/>
    </row>
    <row r="978" spans="3:11" s="34" customFormat="1" x14ac:dyDescent="0.25">
      <c r="C978" s="35"/>
      <c r="E978" s="50"/>
      <c r="K978" s="35"/>
    </row>
    <row r="979" spans="3:11" s="34" customFormat="1" x14ac:dyDescent="0.25">
      <c r="C979" s="35"/>
      <c r="E979" s="50"/>
      <c r="K979" s="35"/>
    </row>
    <row r="980" spans="3:11" s="34" customFormat="1" x14ac:dyDescent="0.25">
      <c r="C980" s="35"/>
      <c r="E980" s="50"/>
      <c r="K980" s="35"/>
    </row>
    <row r="981" spans="3:11" s="34" customFormat="1" x14ac:dyDescent="0.25">
      <c r="C981" s="35"/>
      <c r="E981" s="50"/>
      <c r="K981" s="35"/>
    </row>
    <row r="982" spans="3:11" s="34" customFormat="1" x14ac:dyDescent="0.25">
      <c r="C982" s="35"/>
      <c r="E982" s="50"/>
      <c r="K982" s="35"/>
    </row>
    <row r="983" spans="3:11" s="34" customFormat="1" x14ac:dyDescent="0.25">
      <c r="C983" s="35"/>
      <c r="E983" s="50"/>
      <c r="K983" s="35"/>
    </row>
    <row r="984" spans="3:11" s="34" customFormat="1" x14ac:dyDescent="0.25">
      <c r="C984" s="35"/>
      <c r="E984" s="50"/>
      <c r="K984" s="35"/>
    </row>
    <row r="985" spans="3:11" s="34" customFormat="1" x14ac:dyDescent="0.25">
      <c r="C985" s="35"/>
      <c r="E985" s="50"/>
      <c r="K985" s="35"/>
    </row>
    <row r="986" spans="3:11" s="34" customFormat="1" x14ac:dyDescent="0.25">
      <c r="C986" s="35"/>
      <c r="E986" s="50"/>
      <c r="K986" s="35"/>
    </row>
    <row r="987" spans="3:11" s="34" customFormat="1" x14ac:dyDescent="0.25">
      <c r="C987" s="35"/>
      <c r="E987" s="50"/>
      <c r="K987" s="35"/>
    </row>
    <row r="988" spans="3:11" s="34" customFormat="1" x14ac:dyDescent="0.25">
      <c r="C988" s="35"/>
      <c r="E988" s="50"/>
      <c r="K988" s="35"/>
    </row>
    <row r="989" spans="3:11" s="34" customFormat="1" x14ac:dyDescent="0.25">
      <c r="C989" s="35"/>
      <c r="E989" s="50"/>
      <c r="K989" s="35"/>
    </row>
    <row r="990" spans="3:11" s="34" customFormat="1" x14ac:dyDescent="0.25">
      <c r="C990" s="35"/>
      <c r="E990" s="50"/>
      <c r="K990" s="35"/>
    </row>
    <row r="991" spans="3:11" s="34" customFormat="1" x14ac:dyDescent="0.25">
      <c r="C991" s="35"/>
      <c r="E991" s="50"/>
      <c r="K991" s="35"/>
    </row>
    <row r="992" spans="3:11" s="34" customFormat="1" x14ac:dyDescent="0.25">
      <c r="C992" s="35"/>
      <c r="E992" s="50"/>
      <c r="K992" s="35"/>
    </row>
    <row r="993" spans="3:11" s="34" customFormat="1" x14ac:dyDescent="0.25">
      <c r="C993" s="35"/>
      <c r="E993" s="50"/>
      <c r="K993" s="35"/>
    </row>
    <row r="994" spans="3:11" s="34" customFormat="1" x14ac:dyDescent="0.25">
      <c r="C994" s="35"/>
      <c r="E994" s="50"/>
      <c r="K994" s="35"/>
    </row>
    <row r="995" spans="3:11" s="34" customFormat="1" x14ac:dyDescent="0.25">
      <c r="C995" s="35"/>
      <c r="E995" s="50"/>
      <c r="K995" s="35"/>
    </row>
    <row r="996" spans="3:11" s="34" customFormat="1" x14ac:dyDescent="0.25">
      <c r="C996" s="35"/>
      <c r="E996" s="50"/>
      <c r="K996" s="35"/>
    </row>
    <row r="997" spans="3:11" s="34" customFormat="1" x14ac:dyDescent="0.25">
      <c r="C997" s="35"/>
      <c r="E997" s="50"/>
      <c r="K997" s="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B5506-4845-429F-9360-661EE2F16047}">
  <dimension ref="A1:P397"/>
  <sheetViews>
    <sheetView topLeftCell="B1" zoomScale="80" zoomScaleNormal="80" workbookViewId="0">
      <pane ySplit="1" topLeftCell="A362" activePane="bottomLeft" state="frozen"/>
      <selection pane="bottomLeft" activeCell="G385" sqref="G385"/>
    </sheetView>
  </sheetViews>
  <sheetFormatPr defaultColWidth="9.140625" defaultRowHeight="15" x14ac:dyDescent="0.25"/>
  <cols>
    <col min="1" max="1" width="14.85546875" style="34" customWidth="1"/>
    <col min="2" max="2" width="17.140625" style="34" customWidth="1"/>
    <col min="3" max="3" width="13.42578125" style="35" customWidth="1"/>
    <col min="4" max="4" width="4.28515625" style="34" customWidth="1"/>
    <col min="5" max="5" width="12" style="34" customWidth="1"/>
    <col min="6" max="6" width="67.28515625" style="34" bestFit="1" customWidth="1"/>
    <col min="7" max="7" width="15.140625" style="34" bestFit="1" customWidth="1"/>
    <col min="8" max="8" width="19.5703125" style="34" customWidth="1"/>
    <col min="9" max="9" width="18.7109375" style="34" customWidth="1"/>
    <col min="10" max="10" width="20" style="35" customWidth="1"/>
    <col min="11" max="11" width="8" style="34" bestFit="1" customWidth="1"/>
    <col min="12" max="12" width="11.28515625" style="34" bestFit="1" customWidth="1"/>
    <col min="13" max="13" width="22.7109375" style="34" bestFit="1" customWidth="1"/>
    <col min="14" max="14" width="12.42578125" style="34" bestFit="1" customWidth="1"/>
    <col min="15" max="15" width="60.5703125" style="47" customWidth="1"/>
    <col min="16" max="16" width="4.5703125" style="34" bestFit="1" customWidth="1"/>
    <col min="17" max="16384" width="9.140625" style="34"/>
  </cols>
  <sheetData>
    <row r="1" spans="1:16" s="37" customFormat="1" x14ac:dyDescent="0.25">
      <c r="A1" s="36" t="s">
        <v>0</v>
      </c>
      <c r="B1" s="36" t="s">
        <v>1</v>
      </c>
      <c r="C1" s="36" t="s">
        <v>2</v>
      </c>
      <c r="D1" s="36" t="s">
        <v>3</v>
      </c>
      <c r="E1" s="36" t="s">
        <v>4</v>
      </c>
      <c r="F1" s="36" t="s">
        <v>5</v>
      </c>
      <c r="G1" s="36" t="s">
        <v>6</v>
      </c>
      <c r="H1" s="36" t="s">
        <v>7</v>
      </c>
      <c r="I1" s="36" t="s">
        <v>8</v>
      </c>
      <c r="J1" s="36" t="s">
        <v>10</v>
      </c>
      <c r="K1" s="36" t="s">
        <v>11</v>
      </c>
      <c r="L1" s="36" t="s">
        <v>12</v>
      </c>
      <c r="M1" s="36" t="s">
        <v>13</v>
      </c>
      <c r="N1" s="36" t="s">
        <v>14</v>
      </c>
      <c r="O1" s="46"/>
      <c r="P1" s="37" t="s">
        <v>4495</v>
      </c>
    </row>
    <row r="2" spans="1:16" s="28" customFormat="1" x14ac:dyDescent="0.25">
      <c r="A2" s="28" t="s">
        <v>4156</v>
      </c>
      <c r="B2" s="28" t="s">
        <v>4157</v>
      </c>
      <c r="C2" s="41" t="s">
        <v>4158</v>
      </c>
      <c r="E2" s="42">
        <v>46071</v>
      </c>
      <c r="F2" s="28" t="s">
        <v>4525</v>
      </c>
      <c r="G2" s="28">
        <v>-2097.29</v>
      </c>
      <c r="H2" s="28" t="s">
        <v>227</v>
      </c>
      <c r="I2" s="28" t="s">
        <v>3594</v>
      </c>
      <c r="J2" s="41" t="s">
        <v>29</v>
      </c>
      <c r="K2" s="28">
        <v>1035</v>
      </c>
      <c r="L2" s="28" t="s">
        <v>4160</v>
      </c>
      <c r="M2" s="28" t="s">
        <v>4337</v>
      </c>
      <c r="N2" s="28" t="s">
        <v>267</v>
      </c>
      <c r="O2" s="47"/>
      <c r="P2" s="28">
        <f t="shared" ref="P2:P65" si="0">LEN(F2&amp;J2)+12</f>
        <v>48</v>
      </c>
    </row>
    <row r="3" spans="1:16" s="28" customFormat="1" x14ac:dyDescent="0.25">
      <c r="A3" s="28" t="s">
        <v>4088</v>
      </c>
      <c r="C3" s="41" t="s">
        <v>4089</v>
      </c>
      <c r="E3" s="42">
        <v>46066</v>
      </c>
      <c r="F3" s="61" t="s">
        <v>4526</v>
      </c>
      <c r="G3" s="28">
        <v>4.51</v>
      </c>
      <c r="H3" s="28" t="s">
        <v>227</v>
      </c>
      <c r="I3" s="55" t="s">
        <v>21</v>
      </c>
      <c r="J3" s="41" t="s">
        <v>239</v>
      </c>
      <c r="K3" s="55">
        <v>1001</v>
      </c>
      <c r="L3" s="55" t="s">
        <v>4091</v>
      </c>
      <c r="M3" s="28" t="s">
        <v>4337</v>
      </c>
      <c r="N3" s="28" t="s">
        <v>433</v>
      </c>
      <c r="O3" s="47"/>
      <c r="P3" s="28">
        <f t="shared" si="0"/>
        <v>41</v>
      </c>
    </row>
    <row r="4" spans="1:16" s="28" customFormat="1" x14ac:dyDescent="0.25">
      <c r="A4" s="28" t="s">
        <v>4088</v>
      </c>
      <c r="C4" s="41" t="s">
        <v>4089</v>
      </c>
      <c r="E4" s="42">
        <v>46066</v>
      </c>
      <c r="F4" s="55" t="s">
        <v>4253</v>
      </c>
      <c r="G4" s="28">
        <v>45.16</v>
      </c>
      <c r="H4" s="28" t="s">
        <v>227</v>
      </c>
      <c r="I4" s="55" t="s">
        <v>21</v>
      </c>
      <c r="J4" s="41" t="s">
        <v>239</v>
      </c>
      <c r="K4" s="55">
        <v>1001</v>
      </c>
      <c r="L4" s="55" t="s">
        <v>4091</v>
      </c>
      <c r="M4" s="28" t="s">
        <v>4337</v>
      </c>
      <c r="N4" s="28" t="s">
        <v>433</v>
      </c>
      <c r="O4" s="47"/>
      <c r="P4" s="28">
        <f t="shared" si="0"/>
        <v>37</v>
      </c>
    </row>
    <row r="5" spans="1:16" s="28" customFormat="1" x14ac:dyDescent="0.25">
      <c r="A5" s="28" t="s">
        <v>4088</v>
      </c>
      <c r="C5" s="41" t="s">
        <v>4089</v>
      </c>
      <c r="E5" s="42">
        <v>46079</v>
      </c>
      <c r="F5" s="43" t="s">
        <v>3899</v>
      </c>
      <c r="G5" s="28">
        <v>52.26</v>
      </c>
      <c r="H5" s="28" t="s">
        <v>227</v>
      </c>
      <c r="I5" s="28" t="s">
        <v>4093</v>
      </c>
      <c r="J5" s="41" t="s">
        <v>934</v>
      </c>
      <c r="K5" s="28">
        <v>1008</v>
      </c>
      <c r="L5" s="28" t="s">
        <v>4091</v>
      </c>
      <c r="M5" s="28" t="s">
        <v>4337</v>
      </c>
      <c r="N5" s="49" t="s">
        <v>433</v>
      </c>
      <c r="O5" s="47"/>
      <c r="P5" s="28">
        <f t="shared" si="0"/>
        <v>29</v>
      </c>
    </row>
    <row r="6" spans="1:16" s="28" customFormat="1" x14ac:dyDescent="0.25">
      <c r="A6" s="28" t="s">
        <v>4088</v>
      </c>
      <c r="C6" s="41" t="s">
        <v>4089</v>
      </c>
      <c r="E6" s="42">
        <v>46086</v>
      </c>
      <c r="F6" s="43" t="s">
        <v>4527</v>
      </c>
      <c r="G6" s="28">
        <v>173.98</v>
      </c>
      <c r="H6" s="28" t="s">
        <v>227</v>
      </c>
      <c r="I6" s="28" t="s">
        <v>21</v>
      </c>
      <c r="J6" s="41" t="s">
        <v>239</v>
      </c>
      <c r="K6" s="28">
        <v>1001</v>
      </c>
      <c r="L6" s="28" t="s">
        <v>4091</v>
      </c>
      <c r="M6" s="28" t="s">
        <v>4337</v>
      </c>
      <c r="N6" s="28" t="s">
        <v>433</v>
      </c>
      <c r="O6" s="47"/>
      <c r="P6" s="28">
        <f t="shared" si="0"/>
        <v>44</v>
      </c>
    </row>
    <row r="7" spans="1:16" s="28" customFormat="1" x14ac:dyDescent="0.25">
      <c r="A7" s="28" t="s">
        <v>3832</v>
      </c>
      <c r="B7" s="28" t="s">
        <v>3833</v>
      </c>
      <c r="C7" s="41" t="s">
        <v>3834</v>
      </c>
      <c r="E7" s="42">
        <v>46064</v>
      </c>
      <c r="F7" s="43" t="s">
        <v>4512</v>
      </c>
      <c r="G7" s="28">
        <v>-4027.97</v>
      </c>
      <c r="H7" s="28" t="s">
        <v>227</v>
      </c>
      <c r="I7" s="28" t="s">
        <v>3594</v>
      </c>
      <c r="J7" s="41" t="s">
        <v>41</v>
      </c>
      <c r="K7" s="28">
        <v>1035</v>
      </c>
      <c r="L7" s="28" t="s">
        <v>3836</v>
      </c>
      <c r="M7" s="28" t="s">
        <v>4337</v>
      </c>
      <c r="N7" s="28" t="s">
        <v>520</v>
      </c>
      <c r="O7" s="47"/>
      <c r="P7" s="28">
        <f t="shared" si="0"/>
        <v>47</v>
      </c>
    </row>
    <row r="8" spans="1:16" s="28" customFormat="1" x14ac:dyDescent="0.25">
      <c r="A8" s="28" t="s">
        <v>3905</v>
      </c>
      <c r="B8" s="28" t="s">
        <v>4174</v>
      </c>
      <c r="C8" s="41" t="s">
        <v>4175</v>
      </c>
      <c r="E8" s="42">
        <v>46074</v>
      </c>
      <c r="F8" s="43" t="s">
        <v>4529</v>
      </c>
      <c r="G8" s="28">
        <v>-293.08999999999997</v>
      </c>
      <c r="H8" s="28" t="s">
        <v>227</v>
      </c>
      <c r="I8" s="28" t="s">
        <v>3594</v>
      </c>
      <c r="J8" s="41" t="s">
        <v>119</v>
      </c>
      <c r="K8" s="28">
        <v>1035</v>
      </c>
      <c r="L8" s="28" t="s">
        <v>3909</v>
      </c>
      <c r="M8" s="28" t="s">
        <v>4337</v>
      </c>
      <c r="N8" s="28" t="s">
        <v>455</v>
      </c>
      <c r="O8" s="47"/>
      <c r="P8" s="28">
        <f t="shared" si="0"/>
        <v>46</v>
      </c>
    </row>
    <row r="9" spans="1:16" s="28" customFormat="1" x14ac:dyDescent="0.25">
      <c r="A9" s="28" t="s">
        <v>3905</v>
      </c>
      <c r="B9" s="28" t="s">
        <v>4174</v>
      </c>
      <c r="C9" s="41" t="s">
        <v>4175</v>
      </c>
      <c r="E9" s="42">
        <v>46075</v>
      </c>
      <c r="F9" s="43" t="s">
        <v>4528</v>
      </c>
      <c r="G9" s="28">
        <v>-1638.49</v>
      </c>
      <c r="H9" s="28" t="s">
        <v>227</v>
      </c>
      <c r="I9" s="28" t="s">
        <v>3594</v>
      </c>
      <c r="J9" s="41" t="s">
        <v>41</v>
      </c>
      <c r="K9" s="28">
        <v>1035</v>
      </c>
      <c r="L9" s="28" t="s">
        <v>3909</v>
      </c>
      <c r="M9" s="28" t="s">
        <v>4337</v>
      </c>
      <c r="N9" s="28" t="s">
        <v>455</v>
      </c>
      <c r="O9" s="47"/>
      <c r="P9" s="28">
        <f t="shared" si="0"/>
        <v>44</v>
      </c>
    </row>
    <row r="10" spans="1:16" s="28" customFormat="1" x14ac:dyDescent="0.25">
      <c r="A10" s="28" t="s">
        <v>3905</v>
      </c>
      <c r="B10" s="28" t="s">
        <v>4174</v>
      </c>
      <c r="C10" s="41" t="s">
        <v>4175</v>
      </c>
      <c r="E10" s="42">
        <v>46077</v>
      </c>
      <c r="F10" s="43" t="s">
        <v>4530</v>
      </c>
      <c r="G10" s="28">
        <v>-83</v>
      </c>
      <c r="H10" s="28" t="s">
        <v>227</v>
      </c>
      <c r="I10" s="28" t="s">
        <v>3594</v>
      </c>
      <c r="J10" s="41" t="s">
        <v>119</v>
      </c>
      <c r="K10" s="28">
        <v>1035</v>
      </c>
      <c r="L10" s="28" t="s">
        <v>3909</v>
      </c>
      <c r="M10" s="28" t="s">
        <v>4337</v>
      </c>
      <c r="N10" s="28" t="s">
        <v>455</v>
      </c>
      <c r="O10" s="47"/>
      <c r="P10" s="28">
        <f t="shared" si="0"/>
        <v>62</v>
      </c>
    </row>
    <row r="11" spans="1:16" s="28" customFormat="1" x14ac:dyDescent="0.25">
      <c r="A11" s="28" t="s">
        <v>4078</v>
      </c>
      <c r="B11" s="28" t="s">
        <v>4079</v>
      </c>
      <c r="C11" s="41" t="s">
        <v>4080</v>
      </c>
      <c r="E11" s="42">
        <v>46057</v>
      </c>
      <c r="F11" s="61" t="s">
        <v>4532</v>
      </c>
      <c r="G11" s="55">
        <v>124.51</v>
      </c>
      <c r="H11" s="55" t="s">
        <v>227</v>
      </c>
      <c r="I11" s="55" t="s">
        <v>16</v>
      </c>
      <c r="J11" s="35" t="s">
        <v>231</v>
      </c>
      <c r="K11" s="55">
        <v>6001</v>
      </c>
      <c r="L11" s="55" t="s">
        <v>3836</v>
      </c>
      <c r="M11" s="28" t="s">
        <v>4337</v>
      </c>
      <c r="N11" s="28" t="s">
        <v>524</v>
      </c>
      <c r="O11" s="47"/>
      <c r="P11" s="28">
        <f t="shared" si="0"/>
        <v>37</v>
      </c>
    </row>
    <row r="12" spans="1:16" s="28" customFormat="1" x14ac:dyDescent="0.25">
      <c r="A12" s="28" t="s">
        <v>4078</v>
      </c>
      <c r="B12" s="28" t="s">
        <v>4079</v>
      </c>
      <c r="C12" s="41" t="s">
        <v>4080</v>
      </c>
      <c r="E12" s="42">
        <v>46058</v>
      </c>
      <c r="F12" s="43" t="s">
        <v>4531</v>
      </c>
      <c r="G12" s="28">
        <v>-1176.96</v>
      </c>
      <c r="H12" s="28" t="s">
        <v>227</v>
      </c>
      <c r="I12" s="28" t="s">
        <v>3594</v>
      </c>
      <c r="J12" s="41" t="s">
        <v>601</v>
      </c>
      <c r="K12" s="28">
        <v>1035</v>
      </c>
      <c r="L12" s="28" t="s">
        <v>3836</v>
      </c>
      <c r="M12" s="28" t="s">
        <v>4337</v>
      </c>
      <c r="N12" s="28" t="s">
        <v>524</v>
      </c>
      <c r="O12" s="47"/>
      <c r="P12" s="28">
        <f t="shared" si="0"/>
        <v>50</v>
      </c>
    </row>
    <row r="13" spans="1:16" s="28" customFormat="1" x14ac:dyDescent="0.25">
      <c r="A13" s="28" t="s">
        <v>4078</v>
      </c>
      <c r="B13" s="28" t="s">
        <v>4079</v>
      </c>
      <c r="C13" s="41" t="s">
        <v>4080</v>
      </c>
      <c r="E13" s="42">
        <v>46059</v>
      </c>
      <c r="F13" s="55" t="s">
        <v>4083</v>
      </c>
      <c r="G13" s="55">
        <v>103.99</v>
      </c>
      <c r="H13" s="55" t="s">
        <v>227</v>
      </c>
      <c r="I13" s="55" t="s">
        <v>21</v>
      </c>
      <c r="J13" s="35" t="s">
        <v>239</v>
      </c>
      <c r="K13" s="55">
        <v>6001</v>
      </c>
      <c r="L13" s="55" t="s">
        <v>3836</v>
      </c>
      <c r="M13" s="28" t="s">
        <v>4337</v>
      </c>
      <c r="N13" s="28" t="s">
        <v>524</v>
      </c>
      <c r="O13" s="47"/>
      <c r="P13" s="28">
        <f t="shared" si="0"/>
        <v>42</v>
      </c>
    </row>
    <row r="14" spans="1:16" s="28" customFormat="1" x14ac:dyDescent="0.25">
      <c r="A14" s="28" t="s">
        <v>4078</v>
      </c>
      <c r="B14" s="28" t="s">
        <v>4079</v>
      </c>
      <c r="C14" s="41" t="s">
        <v>4080</v>
      </c>
      <c r="E14" s="42">
        <v>46059</v>
      </c>
      <c r="F14" s="61" t="s">
        <v>4533</v>
      </c>
      <c r="G14" s="55">
        <v>41.93</v>
      </c>
      <c r="H14" s="55" t="s">
        <v>227</v>
      </c>
      <c r="I14" s="55" t="s">
        <v>16</v>
      </c>
      <c r="J14" s="35" t="s">
        <v>979</v>
      </c>
      <c r="K14" s="55">
        <v>6001</v>
      </c>
      <c r="L14" s="55" t="s">
        <v>3836</v>
      </c>
      <c r="M14" s="28" t="s">
        <v>4337</v>
      </c>
      <c r="N14" s="28" t="s">
        <v>524</v>
      </c>
      <c r="O14" s="47"/>
      <c r="P14" s="28">
        <f t="shared" si="0"/>
        <v>46</v>
      </c>
    </row>
    <row r="15" spans="1:16" s="28" customFormat="1" x14ac:dyDescent="0.25">
      <c r="A15" s="28" t="s">
        <v>4078</v>
      </c>
      <c r="B15" s="28" t="s">
        <v>4079</v>
      </c>
      <c r="C15" s="41" t="s">
        <v>4080</v>
      </c>
      <c r="E15" s="42">
        <v>46059</v>
      </c>
      <c r="F15" s="55" t="s">
        <v>4087</v>
      </c>
      <c r="G15" s="55">
        <v>482.15</v>
      </c>
      <c r="H15" s="55" t="s">
        <v>227</v>
      </c>
      <c r="I15" s="55" t="s">
        <v>3864</v>
      </c>
      <c r="J15" s="35" t="s">
        <v>979</v>
      </c>
      <c r="K15" s="55">
        <v>6001</v>
      </c>
      <c r="L15" s="55" t="s">
        <v>3836</v>
      </c>
      <c r="M15" s="28" t="s">
        <v>4337</v>
      </c>
      <c r="N15" s="28" t="s">
        <v>524</v>
      </c>
      <c r="O15" s="47"/>
      <c r="P15" s="28">
        <f t="shared" si="0"/>
        <v>41</v>
      </c>
    </row>
    <row r="16" spans="1:16" s="28" customFormat="1" x14ac:dyDescent="0.25">
      <c r="A16" s="28" t="s">
        <v>4078</v>
      </c>
      <c r="B16" s="28" t="s">
        <v>4079</v>
      </c>
      <c r="C16" s="41" t="s">
        <v>4080</v>
      </c>
      <c r="E16" s="42">
        <v>46065</v>
      </c>
      <c r="F16" s="61" t="s">
        <v>4534</v>
      </c>
      <c r="G16" s="55">
        <v>2420</v>
      </c>
      <c r="H16" s="55" t="s">
        <v>227</v>
      </c>
      <c r="I16" s="61" t="s">
        <v>4535</v>
      </c>
      <c r="J16" s="35" t="s">
        <v>2795</v>
      </c>
      <c r="K16" s="61">
        <v>1020</v>
      </c>
      <c r="L16" s="61" t="s">
        <v>4634</v>
      </c>
      <c r="M16" s="28" t="s">
        <v>4337</v>
      </c>
      <c r="N16" s="28" t="s">
        <v>524</v>
      </c>
      <c r="O16" s="48" t="s">
        <v>4756</v>
      </c>
      <c r="P16" s="28">
        <f t="shared" si="0"/>
        <v>66</v>
      </c>
    </row>
    <row r="17" spans="1:16" s="28" customFormat="1" ht="60" x14ac:dyDescent="0.25">
      <c r="A17" s="28" t="s">
        <v>3851</v>
      </c>
      <c r="B17" s="28" t="s">
        <v>4177</v>
      </c>
      <c r="C17" s="41" t="s">
        <v>4178</v>
      </c>
      <c r="E17" s="42">
        <v>46058</v>
      </c>
      <c r="F17" s="61" t="s">
        <v>4857</v>
      </c>
      <c r="G17" s="28">
        <v>291.23</v>
      </c>
      <c r="H17" s="28" t="s">
        <v>227</v>
      </c>
      <c r="I17" s="55" t="s">
        <v>3864</v>
      </c>
      <c r="J17" s="41" t="s">
        <v>4406</v>
      </c>
      <c r="K17" s="61">
        <v>6001</v>
      </c>
      <c r="L17" s="55" t="s">
        <v>3836</v>
      </c>
      <c r="M17" s="28" t="s">
        <v>4337</v>
      </c>
      <c r="N17" s="28" t="s">
        <v>528</v>
      </c>
      <c r="O17" s="47" t="s">
        <v>4856</v>
      </c>
      <c r="P17" s="28">
        <f t="shared" si="0"/>
        <v>73</v>
      </c>
    </row>
    <row r="18" spans="1:16" s="28" customFormat="1" x14ac:dyDescent="0.25">
      <c r="A18" s="28" t="s">
        <v>3851</v>
      </c>
      <c r="B18" s="28" t="s">
        <v>4177</v>
      </c>
      <c r="C18" s="41" t="s">
        <v>4178</v>
      </c>
      <c r="E18" s="42">
        <v>46058</v>
      </c>
      <c r="F18" s="55" t="s">
        <v>4181</v>
      </c>
      <c r="G18" s="28">
        <v>1216.3599999999999</v>
      </c>
      <c r="H18" s="28" t="s">
        <v>227</v>
      </c>
      <c r="I18" s="55" t="s">
        <v>3864</v>
      </c>
      <c r="J18" s="41" t="s">
        <v>4406</v>
      </c>
      <c r="K18" s="55">
        <v>6454</v>
      </c>
      <c r="L18" s="55" t="s">
        <v>3836</v>
      </c>
      <c r="M18" s="28" t="s">
        <v>4337</v>
      </c>
      <c r="N18" s="28" t="s">
        <v>528</v>
      </c>
      <c r="O18" s="47"/>
      <c r="P18" s="28">
        <f t="shared" si="0"/>
        <v>58</v>
      </c>
    </row>
    <row r="19" spans="1:16" s="28" customFormat="1" ht="60" x14ac:dyDescent="0.25">
      <c r="A19" s="28" t="s">
        <v>3851</v>
      </c>
      <c r="B19" s="28" t="s">
        <v>4177</v>
      </c>
      <c r="C19" s="41" t="s">
        <v>4178</v>
      </c>
      <c r="E19" s="42">
        <v>46058</v>
      </c>
      <c r="F19" s="61" t="s">
        <v>4858</v>
      </c>
      <c r="G19" s="28">
        <v>291.23</v>
      </c>
      <c r="H19" s="28" t="s">
        <v>227</v>
      </c>
      <c r="I19" s="55" t="s">
        <v>3864</v>
      </c>
      <c r="J19" s="41" t="s">
        <v>4406</v>
      </c>
      <c r="K19" s="61">
        <v>6001</v>
      </c>
      <c r="L19" s="55" t="s">
        <v>3836</v>
      </c>
      <c r="M19" s="28" t="s">
        <v>4337</v>
      </c>
      <c r="N19" s="28" t="s">
        <v>528</v>
      </c>
      <c r="O19" s="47" t="s">
        <v>4856</v>
      </c>
      <c r="P19" s="28">
        <f t="shared" si="0"/>
        <v>72</v>
      </c>
    </row>
    <row r="20" spans="1:16" s="28" customFormat="1" x14ac:dyDescent="0.25">
      <c r="A20" s="28" t="s">
        <v>3851</v>
      </c>
      <c r="B20" s="28" t="s">
        <v>4177</v>
      </c>
      <c r="C20" s="41" t="s">
        <v>4178</v>
      </c>
      <c r="E20" s="42">
        <v>46059</v>
      </c>
      <c r="F20" s="55" t="s">
        <v>4536</v>
      </c>
      <c r="G20" s="28">
        <v>50.97</v>
      </c>
      <c r="H20" s="28" t="s">
        <v>227</v>
      </c>
      <c r="I20" s="55" t="s">
        <v>21</v>
      </c>
      <c r="J20" s="41" t="s">
        <v>239</v>
      </c>
      <c r="K20" s="55">
        <v>6454</v>
      </c>
      <c r="L20" s="55" t="s">
        <v>3836</v>
      </c>
      <c r="M20" s="28" t="s">
        <v>4337</v>
      </c>
      <c r="N20" s="28" t="s">
        <v>528</v>
      </c>
      <c r="O20" s="47"/>
      <c r="P20" s="28">
        <f t="shared" si="0"/>
        <v>50</v>
      </c>
    </row>
    <row r="21" spans="1:16" s="28" customFormat="1" x14ac:dyDescent="0.25">
      <c r="A21" s="28" t="s">
        <v>3851</v>
      </c>
      <c r="B21" s="28" t="s">
        <v>4177</v>
      </c>
      <c r="C21" s="41" t="s">
        <v>4178</v>
      </c>
      <c r="E21" s="42">
        <v>46059</v>
      </c>
      <c r="F21" s="61" t="s">
        <v>4846</v>
      </c>
      <c r="G21" s="28">
        <v>104.07</v>
      </c>
      <c r="H21" s="28" t="s">
        <v>227</v>
      </c>
      <c r="I21" s="55" t="s">
        <v>21</v>
      </c>
      <c r="J21" s="41" t="s">
        <v>239</v>
      </c>
      <c r="K21" s="55">
        <v>6454</v>
      </c>
      <c r="L21" s="55" t="s">
        <v>3836</v>
      </c>
      <c r="M21" s="28" t="s">
        <v>4337</v>
      </c>
      <c r="N21" s="28" t="s">
        <v>528</v>
      </c>
      <c r="O21" s="47"/>
      <c r="P21" s="28">
        <f t="shared" si="0"/>
        <v>45</v>
      </c>
    </row>
    <row r="22" spans="1:16" s="28" customFormat="1" x14ac:dyDescent="0.25">
      <c r="A22" s="28" t="s">
        <v>3851</v>
      </c>
      <c r="B22" s="28" t="s">
        <v>4177</v>
      </c>
      <c r="C22" s="41" t="s">
        <v>4178</v>
      </c>
      <c r="E22" s="42">
        <v>46063</v>
      </c>
      <c r="F22" s="43" t="s">
        <v>4539</v>
      </c>
      <c r="G22" s="28">
        <v>30</v>
      </c>
      <c r="H22" s="28" t="s">
        <v>227</v>
      </c>
      <c r="I22" s="43" t="s">
        <v>3594</v>
      </c>
      <c r="J22" s="41" t="s">
        <v>790</v>
      </c>
      <c r="K22" s="28">
        <v>1035</v>
      </c>
      <c r="L22" s="28" t="s">
        <v>3836</v>
      </c>
      <c r="M22" s="28" t="s">
        <v>4337</v>
      </c>
      <c r="N22" s="28" t="s">
        <v>528</v>
      </c>
      <c r="O22" s="47"/>
      <c r="P22" s="28">
        <f t="shared" si="0"/>
        <v>46</v>
      </c>
    </row>
    <row r="23" spans="1:16" s="28" customFormat="1" x14ac:dyDescent="0.25">
      <c r="A23" s="28" t="s">
        <v>3851</v>
      </c>
      <c r="B23" s="28" t="s">
        <v>4177</v>
      </c>
      <c r="C23" s="41" t="s">
        <v>4178</v>
      </c>
      <c r="E23" s="42">
        <v>46063</v>
      </c>
      <c r="F23" s="28" t="s">
        <v>4193</v>
      </c>
      <c r="G23" s="28">
        <v>30</v>
      </c>
      <c r="H23" s="28" t="s">
        <v>227</v>
      </c>
      <c r="I23" s="61" t="s">
        <v>3594</v>
      </c>
      <c r="J23" s="41" t="s">
        <v>790</v>
      </c>
      <c r="K23" s="28">
        <v>4246</v>
      </c>
      <c r="L23" s="28" t="s">
        <v>3855</v>
      </c>
      <c r="M23" s="28" t="s">
        <v>4337</v>
      </c>
      <c r="N23" s="28" t="s">
        <v>528</v>
      </c>
      <c r="O23" s="47"/>
      <c r="P23" s="28">
        <f t="shared" si="0"/>
        <v>50</v>
      </c>
    </row>
    <row r="24" spans="1:16" s="28" customFormat="1" ht="45" x14ac:dyDescent="0.25">
      <c r="A24" s="28" t="s">
        <v>3851</v>
      </c>
      <c r="B24" s="28" t="s">
        <v>4177</v>
      </c>
      <c r="C24" s="41" t="s">
        <v>4178</v>
      </c>
      <c r="E24" s="42">
        <v>46063</v>
      </c>
      <c r="F24" s="43" t="s">
        <v>4537</v>
      </c>
      <c r="G24" s="28">
        <v>1518.68</v>
      </c>
      <c r="H24" s="28" t="s">
        <v>227</v>
      </c>
      <c r="I24" s="28" t="s">
        <v>3594</v>
      </c>
      <c r="J24" s="41" t="s">
        <v>29</v>
      </c>
      <c r="K24" s="28">
        <v>1035</v>
      </c>
      <c r="L24" s="28" t="s">
        <v>3836</v>
      </c>
      <c r="M24" s="28" t="s">
        <v>4337</v>
      </c>
      <c r="N24" s="28" t="s">
        <v>528</v>
      </c>
      <c r="O24" s="47" t="s">
        <v>4538</v>
      </c>
      <c r="P24" s="28">
        <f t="shared" si="0"/>
        <v>38</v>
      </c>
    </row>
    <row r="25" spans="1:16" s="28" customFormat="1" x14ac:dyDescent="0.25">
      <c r="A25" s="28" t="s">
        <v>3851</v>
      </c>
      <c r="B25" s="28" t="s">
        <v>4177</v>
      </c>
      <c r="C25" s="41" t="s">
        <v>4178</v>
      </c>
      <c r="E25" s="42">
        <v>46063</v>
      </c>
      <c r="F25" s="28" t="s">
        <v>4197</v>
      </c>
      <c r="G25" s="28">
        <v>878.37</v>
      </c>
      <c r="H25" s="28" t="s">
        <v>227</v>
      </c>
      <c r="I25" s="55" t="s">
        <v>3594</v>
      </c>
      <c r="J25" s="41" t="s">
        <v>29</v>
      </c>
      <c r="K25" s="28">
        <v>4246</v>
      </c>
      <c r="L25" s="28" t="s">
        <v>3855</v>
      </c>
      <c r="M25" s="28" t="s">
        <v>4337</v>
      </c>
      <c r="N25" s="28" t="s">
        <v>528</v>
      </c>
      <c r="O25" s="47"/>
      <c r="P25" s="28">
        <f t="shared" si="0"/>
        <v>42</v>
      </c>
    </row>
    <row r="26" spans="1:16" s="28" customFormat="1" ht="90" x14ac:dyDescent="0.25">
      <c r="A26" s="28" t="s">
        <v>3851</v>
      </c>
      <c r="B26" s="28" t="s">
        <v>4177</v>
      </c>
      <c r="C26" s="41" t="s">
        <v>4178</v>
      </c>
      <c r="E26" s="42">
        <v>46063</v>
      </c>
      <c r="F26" s="43" t="s">
        <v>4208</v>
      </c>
      <c r="G26" s="28">
        <v>238.25</v>
      </c>
      <c r="H26" s="28" t="s">
        <v>227</v>
      </c>
      <c r="I26" s="55" t="s">
        <v>3594</v>
      </c>
      <c r="J26" s="41" t="s">
        <v>41</v>
      </c>
      <c r="K26" s="28">
        <v>4246</v>
      </c>
      <c r="L26" s="28" t="s">
        <v>3855</v>
      </c>
      <c r="M26" s="28" t="s">
        <v>4337</v>
      </c>
      <c r="N26" s="28" t="s">
        <v>528</v>
      </c>
      <c r="O26" s="47" t="s">
        <v>4863</v>
      </c>
      <c r="P26" s="28">
        <f t="shared" si="0"/>
        <v>41</v>
      </c>
    </row>
    <row r="27" spans="1:16" s="28" customFormat="1" ht="75" x14ac:dyDescent="0.25">
      <c r="A27" s="28" t="s">
        <v>3851</v>
      </c>
      <c r="B27" s="28" t="s">
        <v>4177</v>
      </c>
      <c r="C27" s="41" t="s">
        <v>4178</v>
      </c>
      <c r="E27" s="42">
        <v>46063</v>
      </c>
      <c r="F27" s="61" t="s">
        <v>4875</v>
      </c>
      <c r="G27" s="28">
        <v>713.85</v>
      </c>
      <c r="H27" s="28" t="s">
        <v>227</v>
      </c>
      <c r="I27" s="55" t="s">
        <v>3594</v>
      </c>
      <c r="J27" s="41" t="s">
        <v>41</v>
      </c>
      <c r="K27" s="61" t="s">
        <v>4748</v>
      </c>
      <c r="L27" s="55" t="s">
        <v>3836</v>
      </c>
      <c r="M27" s="28" t="s">
        <v>4337</v>
      </c>
      <c r="N27" s="28" t="s">
        <v>528</v>
      </c>
      <c r="O27" s="47" t="s">
        <v>4884</v>
      </c>
      <c r="P27" s="28">
        <f t="shared" si="0"/>
        <v>62</v>
      </c>
    </row>
    <row r="28" spans="1:16" s="28" customFormat="1" ht="75" x14ac:dyDescent="0.25">
      <c r="A28" s="28" t="s">
        <v>3851</v>
      </c>
      <c r="B28" s="28" t="s">
        <v>4177</v>
      </c>
      <c r="C28" s="41" t="s">
        <v>4178</v>
      </c>
      <c r="E28" s="42">
        <v>46063</v>
      </c>
      <c r="F28" s="43" t="s">
        <v>4864</v>
      </c>
      <c r="G28" s="28">
        <v>7.5</v>
      </c>
      <c r="H28" s="28" t="s">
        <v>227</v>
      </c>
      <c r="I28" s="61" t="s">
        <v>3594</v>
      </c>
      <c r="J28" s="41" t="s">
        <v>790</v>
      </c>
      <c r="K28" s="28">
        <v>4246</v>
      </c>
      <c r="L28" s="28" t="s">
        <v>3855</v>
      </c>
      <c r="M28" s="28" t="s">
        <v>4337</v>
      </c>
      <c r="N28" s="28" t="s">
        <v>528</v>
      </c>
      <c r="O28" s="47" t="s">
        <v>4865</v>
      </c>
      <c r="P28" s="28">
        <f t="shared" si="0"/>
        <v>50</v>
      </c>
    </row>
    <row r="29" spans="1:16" s="28" customFormat="1" ht="60" x14ac:dyDescent="0.25">
      <c r="A29" s="28" t="s">
        <v>3851</v>
      </c>
      <c r="B29" s="28" t="s">
        <v>4177</v>
      </c>
      <c r="C29" s="41" t="s">
        <v>4178</v>
      </c>
      <c r="E29" s="42">
        <v>46063</v>
      </c>
      <c r="F29" s="61" t="s">
        <v>4879</v>
      </c>
      <c r="G29" s="28">
        <v>22.5</v>
      </c>
      <c r="H29" s="28" t="s">
        <v>227</v>
      </c>
      <c r="I29" s="61" t="s">
        <v>3594</v>
      </c>
      <c r="J29" s="41" t="s">
        <v>790</v>
      </c>
      <c r="K29" s="61" t="s">
        <v>4748</v>
      </c>
      <c r="L29" s="55" t="s">
        <v>3836</v>
      </c>
      <c r="M29" s="28" t="s">
        <v>4337</v>
      </c>
      <c r="N29" s="28" t="s">
        <v>528</v>
      </c>
      <c r="O29" s="47" t="s">
        <v>4883</v>
      </c>
      <c r="P29" s="28">
        <f t="shared" si="0"/>
        <v>71</v>
      </c>
    </row>
    <row r="30" spans="1:16" s="28" customFormat="1" x14ac:dyDescent="0.25">
      <c r="A30" s="28" t="s">
        <v>3851</v>
      </c>
      <c r="B30" s="28" t="s">
        <v>4177</v>
      </c>
      <c r="C30" s="41" t="s">
        <v>4178</v>
      </c>
      <c r="E30" s="42">
        <v>46075</v>
      </c>
      <c r="F30" s="55" t="s">
        <v>4199</v>
      </c>
      <c r="G30" s="55">
        <v>435.3</v>
      </c>
      <c r="H30" s="55" t="s">
        <v>227</v>
      </c>
      <c r="I30" s="55" t="s">
        <v>16</v>
      </c>
      <c r="J30" s="35" t="s">
        <v>4490</v>
      </c>
      <c r="K30" s="55">
        <v>6001</v>
      </c>
      <c r="L30" s="55" t="s">
        <v>3836</v>
      </c>
      <c r="M30" s="28" t="s">
        <v>4337</v>
      </c>
      <c r="N30" s="28" t="s">
        <v>528</v>
      </c>
      <c r="O30" s="47"/>
      <c r="P30" s="28">
        <f t="shared" si="0"/>
        <v>59</v>
      </c>
    </row>
    <row r="31" spans="1:16" s="28" customFormat="1" ht="30" x14ac:dyDescent="0.25">
      <c r="A31" s="28" t="s">
        <v>3851</v>
      </c>
      <c r="B31" s="28" t="s">
        <v>4177</v>
      </c>
      <c r="C31" s="41" t="s">
        <v>4178</v>
      </c>
      <c r="E31" s="42">
        <v>46076</v>
      </c>
      <c r="F31" s="43" t="s">
        <v>4541</v>
      </c>
      <c r="G31" s="28">
        <v>26.98</v>
      </c>
      <c r="H31" s="28" t="s">
        <v>227</v>
      </c>
      <c r="I31" s="28" t="s">
        <v>21</v>
      </c>
      <c r="J31" s="41" t="s">
        <v>239</v>
      </c>
      <c r="K31" s="28">
        <v>1035</v>
      </c>
      <c r="L31" s="28" t="s">
        <v>3836</v>
      </c>
      <c r="M31" s="28" t="s">
        <v>4337</v>
      </c>
      <c r="N31" s="28" t="s">
        <v>528</v>
      </c>
      <c r="O31" s="47" t="s">
        <v>4542</v>
      </c>
      <c r="P31" s="28">
        <f t="shared" si="0"/>
        <v>39</v>
      </c>
    </row>
    <row r="32" spans="1:16" s="28" customFormat="1" x14ac:dyDescent="0.25">
      <c r="A32" s="28" t="s">
        <v>3851</v>
      </c>
      <c r="B32" s="28" t="s">
        <v>4177</v>
      </c>
      <c r="C32" s="41" t="s">
        <v>4178</v>
      </c>
      <c r="E32" s="42">
        <v>46076</v>
      </c>
      <c r="F32" s="28" t="s">
        <v>4540</v>
      </c>
      <c r="G32" s="28">
        <v>27.08</v>
      </c>
      <c r="H32" s="28" t="s">
        <v>227</v>
      </c>
      <c r="I32" s="28" t="s">
        <v>16</v>
      </c>
      <c r="J32" s="41" t="s">
        <v>4375</v>
      </c>
      <c r="K32" s="28">
        <v>1035</v>
      </c>
      <c r="L32" s="28" t="s">
        <v>3836</v>
      </c>
      <c r="M32" s="28" t="s">
        <v>4337</v>
      </c>
      <c r="N32" s="28" t="s">
        <v>528</v>
      </c>
      <c r="O32" s="47"/>
      <c r="P32" s="28">
        <f t="shared" si="0"/>
        <v>58</v>
      </c>
    </row>
    <row r="33" spans="1:16" s="28" customFormat="1" x14ac:dyDescent="0.25">
      <c r="A33" s="28" t="s">
        <v>3851</v>
      </c>
      <c r="B33" s="28" t="s">
        <v>4177</v>
      </c>
      <c r="C33" s="41" t="s">
        <v>4178</v>
      </c>
      <c r="E33" s="42">
        <v>46077</v>
      </c>
      <c r="F33" s="43" t="s">
        <v>4544</v>
      </c>
      <c r="G33" s="28">
        <v>30</v>
      </c>
      <c r="H33" s="28" t="s">
        <v>227</v>
      </c>
      <c r="I33" s="43" t="s">
        <v>3594</v>
      </c>
      <c r="J33" s="41" t="s">
        <v>790</v>
      </c>
      <c r="K33" s="28">
        <v>1035</v>
      </c>
      <c r="L33" s="28" t="s">
        <v>3836</v>
      </c>
      <c r="M33" s="28" t="s">
        <v>4337</v>
      </c>
      <c r="N33" s="28" t="s">
        <v>528</v>
      </c>
      <c r="O33" s="47" t="s">
        <v>4543</v>
      </c>
      <c r="P33" s="28">
        <f t="shared" si="0"/>
        <v>51</v>
      </c>
    </row>
    <row r="34" spans="1:16" s="28" customFormat="1" x14ac:dyDescent="0.25">
      <c r="A34" s="28" t="s">
        <v>3851</v>
      </c>
      <c r="B34" s="28" t="s">
        <v>4177</v>
      </c>
      <c r="C34" s="41" t="s">
        <v>4178</v>
      </c>
      <c r="E34" s="42">
        <v>46078</v>
      </c>
      <c r="F34" s="61" t="s">
        <v>4545</v>
      </c>
      <c r="G34" s="28">
        <v>30</v>
      </c>
      <c r="H34" s="28" t="s">
        <v>227</v>
      </c>
      <c r="I34" s="61" t="s">
        <v>3594</v>
      </c>
      <c r="J34" s="41" t="s">
        <v>790</v>
      </c>
      <c r="K34" s="28">
        <v>4246</v>
      </c>
      <c r="L34" s="43" t="s">
        <v>3855</v>
      </c>
      <c r="M34" s="28" t="s">
        <v>4337</v>
      </c>
      <c r="N34" s="28" t="s">
        <v>528</v>
      </c>
      <c r="O34" s="47"/>
      <c r="P34" s="28">
        <f t="shared" si="0"/>
        <v>55</v>
      </c>
    </row>
    <row r="35" spans="1:16" s="28" customFormat="1" x14ac:dyDescent="0.25">
      <c r="A35" s="28" t="s">
        <v>3851</v>
      </c>
      <c r="B35" s="28" t="s">
        <v>4177</v>
      </c>
      <c r="C35" s="41" t="s">
        <v>4178</v>
      </c>
      <c r="E35" s="42">
        <v>46078</v>
      </c>
      <c r="F35" s="61" t="s">
        <v>4546</v>
      </c>
      <c r="G35" s="28">
        <v>-50.6</v>
      </c>
      <c r="H35" s="28" t="s">
        <v>227</v>
      </c>
      <c r="I35" s="55" t="s">
        <v>3594</v>
      </c>
      <c r="J35" s="41" t="s">
        <v>29</v>
      </c>
      <c r="K35" s="28">
        <v>4246</v>
      </c>
      <c r="L35" s="28" t="s">
        <v>3855</v>
      </c>
      <c r="M35" s="28" t="s">
        <v>4337</v>
      </c>
      <c r="N35" s="28" t="s">
        <v>528</v>
      </c>
      <c r="O35" s="47"/>
      <c r="P35" s="28">
        <f t="shared" si="0"/>
        <v>58</v>
      </c>
    </row>
    <row r="36" spans="1:16" s="28" customFormat="1" x14ac:dyDescent="0.25">
      <c r="A36" s="28" t="s">
        <v>3851</v>
      </c>
      <c r="B36" s="28" t="s">
        <v>4177</v>
      </c>
      <c r="C36" s="41" t="s">
        <v>4178</v>
      </c>
      <c r="E36" s="42">
        <v>46079</v>
      </c>
      <c r="F36" s="28" t="s">
        <v>4547</v>
      </c>
      <c r="G36" s="28">
        <v>38.979999999999997</v>
      </c>
      <c r="H36" s="28" t="s">
        <v>227</v>
      </c>
      <c r="I36" s="28" t="s">
        <v>21</v>
      </c>
      <c r="J36" s="41" t="s">
        <v>239</v>
      </c>
      <c r="K36" s="28">
        <v>1035</v>
      </c>
      <c r="L36" s="28" t="s">
        <v>3836</v>
      </c>
      <c r="M36" s="28" t="s">
        <v>4337</v>
      </c>
      <c r="N36" s="28" t="s">
        <v>528</v>
      </c>
      <c r="O36" s="47"/>
      <c r="P36" s="28">
        <f t="shared" si="0"/>
        <v>37</v>
      </c>
    </row>
    <row r="37" spans="1:16" s="28" customFormat="1" ht="30" x14ac:dyDescent="0.25">
      <c r="A37" s="28" t="s">
        <v>3851</v>
      </c>
      <c r="B37" s="28" t="s">
        <v>4177</v>
      </c>
      <c r="C37" s="41" t="s">
        <v>4178</v>
      </c>
      <c r="E37" s="42">
        <v>46079</v>
      </c>
      <c r="F37" s="43" t="s">
        <v>4548</v>
      </c>
      <c r="G37" s="28">
        <v>8</v>
      </c>
      <c r="H37" s="28" t="s">
        <v>227</v>
      </c>
      <c r="I37" s="28" t="s">
        <v>3922</v>
      </c>
      <c r="J37" s="41" t="s">
        <v>29</v>
      </c>
      <c r="K37" s="43">
        <v>1035</v>
      </c>
      <c r="L37" s="28" t="s">
        <v>3836</v>
      </c>
      <c r="M37" s="28" t="s">
        <v>4337</v>
      </c>
      <c r="N37" s="28" t="s">
        <v>528</v>
      </c>
      <c r="O37" s="47" t="s">
        <v>4549</v>
      </c>
      <c r="P37" s="28">
        <f t="shared" si="0"/>
        <v>44</v>
      </c>
    </row>
    <row r="38" spans="1:16" s="28" customFormat="1" x14ac:dyDescent="0.25">
      <c r="A38" s="28" t="s">
        <v>3851</v>
      </c>
      <c r="B38" s="28" t="s">
        <v>4177</v>
      </c>
      <c r="C38" s="41" t="s">
        <v>4178</v>
      </c>
      <c r="E38" s="42">
        <v>46083</v>
      </c>
      <c r="F38" s="28" t="s">
        <v>3899</v>
      </c>
      <c r="G38" s="28">
        <v>19.079999999999998</v>
      </c>
      <c r="H38" s="28" t="s">
        <v>227</v>
      </c>
      <c r="I38" s="28" t="s">
        <v>3843</v>
      </c>
      <c r="J38" s="41" t="s">
        <v>1581</v>
      </c>
      <c r="K38" s="28">
        <v>1008</v>
      </c>
      <c r="L38" s="28" t="s">
        <v>3836</v>
      </c>
      <c r="M38" s="28" t="s">
        <v>4337</v>
      </c>
      <c r="N38" s="49" t="s">
        <v>528</v>
      </c>
      <c r="O38" s="47"/>
      <c r="P38" s="28">
        <f t="shared" si="0"/>
        <v>28</v>
      </c>
    </row>
    <row r="39" spans="1:16" s="28" customFormat="1" x14ac:dyDescent="0.25">
      <c r="A39" s="28" t="s">
        <v>3851</v>
      </c>
      <c r="B39" s="28" t="s">
        <v>4177</v>
      </c>
      <c r="C39" s="41" t="s">
        <v>4178</v>
      </c>
      <c r="E39" s="42">
        <v>46084</v>
      </c>
      <c r="F39" s="28" t="s">
        <v>4186</v>
      </c>
      <c r="G39" s="28">
        <v>88.17</v>
      </c>
      <c r="H39" s="28" t="s">
        <v>227</v>
      </c>
      <c r="I39" s="55" t="s">
        <v>21</v>
      </c>
      <c r="J39" s="41" t="s">
        <v>239</v>
      </c>
      <c r="K39" s="28">
        <v>4246</v>
      </c>
      <c r="L39" s="28" t="s">
        <v>3855</v>
      </c>
      <c r="M39" s="28" t="s">
        <v>4337</v>
      </c>
      <c r="N39" s="28" t="s">
        <v>528</v>
      </c>
      <c r="O39" s="47"/>
      <c r="P39" s="28">
        <f t="shared" si="0"/>
        <v>42</v>
      </c>
    </row>
    <row r="40" spans="1:16" s="28" customFormat="1" x14ac:dyDescent="0.25">
      <c r="A40" s="28" t="s">
        <v>3851</v>
      </c>
      <c r="B40" s="28" t="s">
        <v>4177</v>
      </c>
      <c r="C40" s="41" t="s">
        <v>4178</v>
      </c>
      <c r="E40" s="42">
        <v>46084</v>
      </c>
      <c r="F40" s="28" t="s">
        <v>4187</v>
      </c>
      <c r="G40" s="28">
        <v>50.99</v>
      </c>
      <c r="H40" s="28" t="s">
        <v>227</v>
      </c>
      <c r="I40" s="55" t="s">
        <v>21</v>
      </c>
      <c r="J40" s="41" t="s">
        <v>239</v>
      </c>
      <c r="K40" s="28">
        <v>4246</v>
      </c>
      <c r="L40" s="28" t="s">
        <v>3855</v>
      </c>
      <c r="M40" s="28" t="s">
        <v>4337</v>
      </c>
      <c r="N40" s="28" t="s">
        <v>528</v>
      </c>
      <c r="O40" s="47"/>
      <c r="P40" s="28">
        <f t="shared" si="0"/>
        <v>41</v>
      </c>
    </row>
    <row r="41" spans="1:16" s="28" customFormat="1" x14ac:dyDescent="0.25">
      <c r="A41" s="28" t="s">
        <v>3851</v>
      </c>
      <c r="B41" s="28" t="s">
        <v>4177</v>
      </c>
      <c r="C41" s="41" t="s">
        <v>4178</v>
      </c>
      <c r="E41" s="42">
        <v>46085</v>
      </c>
      <c r="F41" s="28" t="s">
        <v>4183</v>
      </c>
      <c r="G41" s="28">
        <v>744.5</v>
      </c>
      <c r="H41" s="28" t="s">
        <v>227</v>
      </c>
      <c r="I41" s="28" t="s">
        <v>3864</v>
      </c>
      <c r="J41" s="41" t="s">
        <v>3798</v>
      </c>
      <c r="K41" s="28">
        <v>4246</v>
      </c>
      <c r="L41" s="28" t="s">
        <v>3855</v>
      </c>
      <c r="M41" s="28" t="s">
        <v>4337</v>
      </c>
      <c r="N41" s="28" t="s">
        <v>528</v>
      </c>
      <c r="O41" s="47" t="s">
        <v>4517</v>
      </c>
      <c r="P41" s="28">
        <f t="shared" si="0"/>
        <v>63</v>
      </c>
    </row>
    <row r="42" spans="1:16" s="28" customFormat="1" x14ac:dyDescent="0.25">
      <c r="A42" s="28" t="s">
        <v>3851</v>
      </c>
      <c r="B42" s="28" t="s">
        <v>4177</v>
      </c>
      <c r="C42" s="41" t="s">
        <v>4178</v>
      </c>
      <c r="E42" s="42">
        <v>46085</v>
      </c>
      <c r="F42" s="28" t="s">
        <v>4185</v>
      </c>
      <c r="G42" s="28">
        <v>48.94</v>
      </c>
      <c r="H42" s="28" t="s">
        <v>227</v>
      </c>
      <c r="I42" s="55" t="s">
        <v>21</v>
      </c>
      <c r="J42" s="41" t="s">
        <v>239</v>
      </c>
      <c r="K42" s="28">
        <v>4246</v>
      </c>
      <c r="L42" s="43" t="s">
        <v>3855</v>
      </c>
      <c r="M42" s="28" t="s">
        <v>4337</v>
      </c>
      <c r="N42" s="28" t="s">
        <v>528</v>
      </c>
      <c r="O42" s="47"/>
      <c r="P42" s="28">
        <f t="shared" si="0"/>
        <v>49</v>
      </c>
    </row>
    <row r="43" spans="1:16" s="28" customFormat="1" ht="45" x14ac:dyDescent="0.25">
      <c r="A43" s="28" t="s">
        <v>3851</v>
      </c>
      <c r="B43" s="28" t="s">
        <v>4177</v>
      </c>
      <c r="C43" s="41" t="s">
        <v>4178</v>
      </c>
      <c r="E43" s="42">
        <v>46085</v>
      </c>
      <c r="F43" s="61" t="s">
        <v>4876</v>
      </c>
      <c r="G43" s="28">
        <v>151.5</v>
      </c>
      <c r="H43" s="28" t="s">
        <v>227</v>
      </c>
      <c r="I43" s="28" t="s">
        <v>3843</v>
      </c>
      <c r="J43" s="41" t="s">
        <v>604</v>
      </c>
      <c r="K43" s="61" t="s">
        <v>4748</v>
      </c>
      <c r="L43" s="55" t="s">
        <v>3836</v>
      </c>
      <c r="M43" s="28" t="s">
        <v>4337</v>
      </c>
      <c r="N43" s="28" t="s">
        <v>528</v>
      </c>
      <c r="O43" s="48" t="s">
        <v>4880</v>
      </c>
      <c r="P43" s="28">
        <f t="shared" si="0"/>
        <v>63</v>
      </c>
    </row>
    <row r="44" spans="1:16" s="28" customFormat="1" x14ac:dyDescent="0.25">
      <c r="A44" s="28" t="s">
        <v>3851</v>
      </c>
      <c r="B44" s="28" t="s">
        <v>4177</v>
      </c>
      <c r="C44" s="41" t="s">
        <v>4178</v>
      </c>
      <c r="E44" s="42">
        <v>46085</v>
      </c>
      <c r="F44" s="61" t="s">
        <v>4559</v>
      </c>
      <c r="G44" s="28">
        <v>151.5</v>
      </c>
      <c r="H44" s="28" t="s">
        <v>227</v>
      </c>
      <c r="I44" s="28" t="s">
        <v>3843</v>
      </c>
      <c r="J44" s="41" t="s">
        <v>604</v>
      </c>
      <c r="K44" s="55">
        <v>6454</v>
      </c>
      <c r="L44" s="55" t="s">
        <v>3836</v>
      </c>
      <c r="M44" s="28" t="s">
        <v>4337</v>
      </c>
      <c r="N44" s="28" t="s">
        <v>528</v>
      </c>
      <c r="O44" s="47"/>
      <c r="P44" s="28">
        <f t="shared" si="0"/>
        <v>61</v>
      </c>
    </row>
    <row r="45" spans="1:16" s="28" customFormat="1" ht="60" x14ac:dyDescent="0.25">
      <c r="A45" s="28" t="s">
        <v>3851</v>
      </c>
      <c r="B45" s="28" t="s">
        <v>4177</v>
      </c>
      <c r="C45" s="41" t="s">
        <v>4178</v>
      </c>
      <c r="E45" s="42">
        <v>46085</v>
      </c>
      <c r="F45" s="61" t="s">
        <v>4877</v>
      </c>
      <c r="G45" s="28">
        <v>-19.5</v>
      </c>
      <c r="H45" s="28" t="s">
        <v>227</v>
      </c>
      <c r="I45" s="28" t="s">
        <v>3843</v>
      </c>
      <c r="J45" s="41" t="s">
        <v>604</v>
      </c>
      <c r="K45" s="61" t="s">
        <v>4748</v>
      </c>
      <c r="L45" s="55" t="s">
        <v>3836</v>
      </c>
      <c r="M45" s="28" t="s">
        <v>4337</v>
      </c>
      <c r="N45" s="28" t="s">
        <v>528</v>
      </c>
      <c r="O45" s="47" t="s">
        <v>4882</v>
      </c>
      <c r="P45" s="28">
        <f t="shared" si="0"/>
        <v>70</v>
      </c>
    </row>
    <row r="46" spans="1:16" s="28" customFormat="1" x14ac:dyDescent="0.25">
      <c r="A46" s="28" t="s">
        <v>3851</v>
      </c>
      <c r="B46" s="28" t="s">
        <v>4177</v>
      </c>
      <c r="C46" s="41" t="s">
        <v>4178</v>
      </c>
      <c r="E46" s="42">
        <v>46085</v>
      </c>
      <c r="F46" s="61" t="s">
        <v>4760</v>
      </c>
      <c r="G46" s="28">
        <v>-19.5</v>
      </c>
      <c r="H46" s="28" t="s">
        <v>227</v>
      </c>
      <c r="I46" s="28" t="s">
        <v>3843</v>
      </c>
      <c r="J46" s="41" t="s">
        <v>604</v>
      </c>
      <c r="K46" s="55">
        <v>6454</v>
      </c>
      <c r="L46" s="55" t="s">
        <v>3836</v>
      </c>
      <c r="M46" s="28" t="s">
        <v>4337</v>
      </c>
      <c r="N46" s="28" t="s">
        <v>528</v>
      </c>
      <c r="O46" s="47" t="s">
        <v>4550</v>
      </c>
      <c r="P46" s="28">
        <f t="shared" si="0"/>
        <v>68</v>
      </c>
    </row>
    <row r="47" spans="1:16" s="28" customFormat="1" ht="45" x14ac:dyDescent="0.25">
      <c r="A47" s="28" t="s">
        <v>3851</v>
      </c>
      <c r="B47" s="28" t="s">
        <v>4177</v>
      </c>
      <c r="C47" s="41" t="s">
        <v>4178</v>
      </c>
      <c r="E47" s="42">
        <v>46085</v>
      </c>
      <c r="F47" s="61" t="s">
        <v>4878</v>
      </c>
      <c r="G47" s="28">
        <v>15</v>
      </c>
      <c r="H47" s="28" t="s">
        <v>227</v>
      </c>
      <c r="I47" s="28" t="s">
        <v>3843</v>
      </c>
      <c r="J47" s="41" t="s">
        <v>790</v>
      </c>
      <c r="K47" s="61" t="s">
        <v>4748</v>
      </c>
      <c r="L47" s="55" t="s">
        <v>3836</v>
      </c>
      <c r="M47" s="28" t="s">
        <v>4337</v>
      </c>
      <c r="N47" s="28" t="s">
        <v>528</v>
      </c>
      <c r="O47" s="48" t="s">
        <v>4881</v>
      </c>
      <c r="P47" s="28">
        <f t="shared" si="0"/>
        <v>71</v>
      </c>
    </row>
    <row r="48" spans="1:16" s="28" customFormat="1" x14ac:dyDescent="0.25">
      <c r="A48" s="28" t="s">
        <v>3851</v>
      </c>
      <c r="B48" s="28" t="s">
        <v>4177</v>
      </c>
      <c r="C48" s="41" t="s">
        <v>4178</v>
      </c>
      <c r="E48" s="42">
        <v>46085</v>
      </c>
      <c r="F48" s="61" t="s">
        <v>4698</v>
      </c>
      <c r="G48" s="28">
        <v>15</v>
      </c>
      <c r="H48" s="28" t="s">
        <v>227</v>
      </c>
      <c r="I48" s="28" t="s">
        <v>3843</v>
      </c>
      <c r="J48" s="41" t="s">
        <v>790</v>
      </c>
      <c r="K48" s="55">
        <v>6454</v>
      </c>
      <c r="L48" s="55" t="s">
        <v>3836</v>
      </c>
      <c r="M48" s="28" t="s">
        <v>4337</v>
      </c>
      <c r="N48" s="28" t="s">
        <v>528</v>
      </c>
      <c r="O48" s="47"/>
      <c r="P48" s="28">
        <f t="shared" si="0"/>
        <v>69</v>
      </c>
    </row>
    <row r="49" spans="1:16" s="28" customFormat="1" x14ac:dyDescent="0.25">
      <c r="A49" s="28" t="s">
        <v>3851</v>
      </c>
      <c r="B49" s="28" t="s">
        <v>4177</v>
      </c>
      <c r="C49" s="41" t="s">
        <v>4178</v>
      </c>
      <c r="E49" s="42">
        <v>46086</v>
      </c>
      <c r="F49" s="28" t="s">
        <v>4184</v>
      </c>
      <c r="G49" s="28">
        <v>83.9</v>
      </c>
      <c r="H49" s="28" t="s">
        <v>227</v>
      </c>
      <c r="I49" s="55" t="s">
        <v>21</v>
      </c>
      <c r="J49" s="41" t="s">
        <v>239</v>
      </c>
      <c r="K49" s="28">
        <v>4246</v>
      </c>
      <c r="L49" s="28" t="s">
        <v>3855</v>
      </c>
      <c r="M49" s="28" t="s">
        <v>4337</v>
      </c>
      <c r="N49" s="28" t="s">
        <v>528</v>
      </c>
      <c r="O49" s="47"/>
      <c r="P49" s="28">
        <f t="shared" si="0"/>
        <v>42</v>
      </c>
    </row>
    <row r="50" spans="1:16" s="28" customFormat="1" x14ac:dyDescent="0.25">
      <c r="A50" s="28" t="s">
        <v>4118</v>
      </c>
      <c r="C50" s="41" t="s">
        <v>4119</v>
      </c>
      <c r="E50" s="42">
        <v>46058</v>
      </c>
      <c r="F50" s="43" t="s">
        <v>4551</v>
      </c>
      <c r="G50" s="28">
        <v>-1043.48</v>
      </c>
      <c r="H50" s="28" t="s">
        <v>227</v>
      </c>
      <c r="I50" s="28" t="s">
        <v>3594</v>
      </c>
      <c r="J50" s="41" t="s">
        <v>41</v>
      </c>
      <c r="K50" s="28">
        <v>1035</v>
      </c>
      <c r="L50" s="28" t="s">
        <v>3836</v>
      </c>
      <c r="M50" s="28" t="s">
        <v>4337</v>
      </c>
      <c r="N50" s="28" t="s">
        <v>530</v>
      </c>
      <c r="O50" s="47"/>
      <c r="P50" s="28">
        <f t="shared" si="0"/>
        <v>55</v>
      </c>
    </row>
    <row r="51" spans="1:16" s="28" customFormat="1" x14ac:dyDescent="0.25">
      <c r="A51" s="28" t="s">
        <v>4118</v>
      </c>
      <c r="C51" s="41" t="s">
        <v>4119</v>
      </c>
      <c r="E51" s="42">
        <v>46058</v>
      </c>
      <c r="F51" s="43" t="s">
        <v>4552</v>
      </c>
      <c r="G51" s="28">
        <v>-1652.16</v>
      </c>
      <c r="H51" s="28" t="s">
        <v>227</v>
      </c>
      <c r="I51" s="28" t="s">
        <v>3594</v>
      </c>
      <c r="J51" s="41" t="s">
        <v>29</v>
      </c>
      <c r="K51" s="28">
        <v>1035</v>
      </c>
      <c r="L51" s="28" t="s">
        <v>3836</v>
      </c>
      <c r="M51" s="28" t="s">
        <v>4337</v>
      </c>
      <c r="N51" s="28" t="s">
        <v>530</v>
      </c>
      <c r="O51" s="47"/>
      <c r="P51" s="28">
        <f t="shared" si="0"/>
        <v>56</v>
      </c>
    </row>
    <row r="52" spans="1:16" s="28" customFormat="1" x14ac:dyDescent="0.25">
      <c r="A52" s="28" t="s">
        <v>4118</v>
      </c>
      <c r="C52" s="41" t="s">
        <v>4119</v>
      </c>
      <c r="E52" s="42">
        <v>46058</v>
      </c>
      <c r="F52" s="28" t="s">
        <v>3899</v>
      </c>
      <c r="G52" s="28">
        <v>2.37</v>
      </c>
      <c r="H52" s="28" t="s">
        <v>227</v>
      </c>
      <c r="I52" s="28" t="s">
        <v>16</v>
      </c>
      <c r="J52" s="41" t="s">
        <v>232</v>
      </c>
      <c r="K52" s="28">
        <v>1008</v>
      </c>
      <c r="L52" s="28" t="s">
        <v>3836</v>
      </c>
      <c r="M52" s="28" t="s">
        <v>4337</v>
      </c>
      <c r="N52" s="49" t="s">
        <v>530</v>
      </c>
      <c r="O52" s="47"/>
      <c r="P52" s="28">
        <f t="shared" si="0"/>
        <v>27</v>
      </c>
    </row>
    <row r="53" spans="1:16" s="28" customFormat="1" x14ac:dyDescent="0.25">
      <c r="A53" s="28" t="s">
        <v>4118</v>
      </c>
      <c r="C53" s="41" t="s">
        <v>4119</v>
      </c>
      <c r="E53" s="42">
        <v>46059</v>
      </c>
      <c r="F53" s="28" t="s">
        <v>3899</v>
      </c>
      <c r="G53" s="28">
        <v>7.06</v>
      </c>
      <c r="H53" s="28" t="s">
        <v>227</v>
      </c>
      <c r="I53" s="28" t="s">
        <v>16</v>
      </c>
      <c r="J53" s="41" t="s">
        <v>232</v>
      </c>
      <c r="K53" s="28">
        <v>1008</v>
      </c>
      <c r="L53" s="28" t="s">
        <v>3836</v>
      </c>
      <c r="M53" s="28" t="s">
        <v>4337</v>
      </c>
      <c r="N53" s="49" t="s">
        <v>530</v>
      </c>
      <c r="O53" s="47"/>
      <c r="P53" s="28">
        <f t="shared" si="0"/>
        <v>27</v>
      </c>
    </row>
    <row r="54" spans="1:16" s="28" customFormat="1" x14ac:dyDescent="0.25">
      <c r="A54" s="28" t="s">
        <v>4118</v>
      </c>
      <c r="C54" s="41" t="s">
        <v>4119</v>
      </c>
      <c r="E54" s="42">
        <v>46067</v>
      </c>
      <c r="F54" s="61" t="s">
        <v>4553</v>
      </c>
      <c r="G54" s="28">
        <v>10.89</v>
      </c>
      <c r="H54" s="28" t="s">
        <v>227</v>
      </c>
      <c r="I54" s="55" t="s">
        <v>4093</v>
      </c>
      <c r="J54" s="35" t="s">
        <v>854</v>
      </c>
      <c r="K54" s="55">
        <v>6001</v>
      </c>
      <c r="L54" s="55" t="s">
        <v>3836</v>
      </c>
      <c r="M54" s="28" t="s">
        <v>4337</v>
      </c>
      <c r="N54" s="28" t="s">
        <v>530</v>
      </c>
      <c r="O54" s="47"/>
      <c r="P54" s="28">
        <f t="shared" si="0"/>
        <v>47</v>
      </c>
    </row>
    <row r="55" spans="1:16" s="28" customFormat="1" x14ac:dyDescent="0.25">
      <c r="A55" s="28" t="s">
        <v>4118</v>
      </c>
      <c r="C55" s="41" t="s">
        <v>4119</v>
      </c>
      <c r="E55" s="42">
        <v>46071</v>
      </c>
      <c r="F55" s="61" t="s">
        <v>4553</v>
      </c>
      <c r="G55" s="28">
        <v>43.55</v>
      </c>
      <c r="H55" s="28" t="s">
        <v>227</v>
      </c>
      <c r="I55" s="55" t="s">
        <v>4093</v>
      </c>
      <c r="J55" s="35" t="s">
        <v>854</v>
      </c>
      <c r="K55" s="55">
        <v>6001</v>
      </c>
      <c r="L55" s="55" t="s">
        <v>3836</v>
      </c>
      <c r="M55" s="28" t="s">
        <v>4337</v>
      </c>
      <c r="N55" s="28" t="s">
        <v>530</v>
      </c>
      <c r="O55" s="47"/>
      <c r="P55" s="28">
        <f t="shared" si="0"/>
        <v>47</v>
      </c>
    </row>
    <row r="56" spans="1:16" s="28" customFormat="1" x14ac:dyDescent="0.25">
      <c r="A56" s="28" t="s">
        <v>4118</v>
      </c>
      <c r="C56" s="41" t="s">
        <v>4119</v>
      </c>
      <c r="E56" s="42">
        <v>46072</v>
      </c>
      <c r="F56" s="61" t="s">
        <v>4553</v>
      </c>
      <c r="G56" s="28">
        <v>21.78</v>
      </c>
      <c r="H56" s="28" t="s">
        <v>227</v>
      </c>
      <c r="I56" s="55" t="s">
        <v>4093</v>
      </c>
      <c r="J56" s="35" t="s">
        <v>854</v>
      </c>
      <c r="K56" s="55">
        <v>6001</v>
      </c>
      <c r="L56" s="55" t="s">
        <v>3836</v>
      </c>
      <c r="M56" s="28" t="s">
        <v>4337</v>
      </c>
      <c r="N56" s="28" t="s">
        <v>530</v>
      </c>
      <c r="O56" s="47"/>
      <c r="P56" s="28">
        <f t="shared" si="0"/>
        <v>47</v>
      </c>
    </row>
    <row r="57" spans="1:16" s="28" customFormat="1" ht="45" x14ac:dyDescent="0.25">
      <c r="A57" s="28" t="s">
        <v>4118</v>
      </c>
      <c r="C57" s="41" t="s">
        <v>4119</v>
      </c>
      <c r="E57" s="42">
        <v>46075</v>
      </c>
      <c r="F57" s="43" t="s">
        <v>4555</v>
      </c>
      <c r="G57" s="28">
        <v>30</v>
      </c>
      <c r="H57" s="28" t="s">
        <v>227</v>
      </c>
      <c r="I57" s="28" t="s">
        <v>3594</v>
      </c>
      <c r="J57" s="41" t="s">
        <v>790</v>
      </c>
      <c r="K57" s="28">
        <v>1035</v>
      </c>
      <c r="L57" s="28" t="s">
        <v>3836</v>
      </c>
      <c r="M57" s="28" t="s">
        <v>4337</v>
      </c>
      <c r="N57" s="28" t="s">
        <v>530</v>
      </c>
      <c r="O57" s="47" t="s">
        <v>4749</v>
      </c>
      <c r="P57" s="28">
        <f t="shared" si="0"/>
        <v>70</v>
      </c>
    </row>
    <row r="58" spans="1:16" s="28" customFormat="1" x14ac:dyDescent="0.25">
      <c r="A58" s="28" t="s">
        <v>4118</v>
      </c>
      <c r="C58" s="41" t="s">
        <v>4119</v>
      </c>
      <c r="E58" s="42">
        <v>46076</v>
      </c>
      <c r="F58" s="43" t="s">
        <v>4554</v>
      </c>
      <c r="G58" s="28">
        <v>-1908.49</v>
      </c>
      <c r="H58" s="28" t="s">
        <v>227</v>
      </c>
      <c r="I58" s="28" t="s">
        <v>3594</v>
      </c>
      <c r="J58" s="41" t="s">
        <v>41</v>
      </c>
      <c r="K58" s="28">
        <v>1035</v>
      </c>
      <c r="L58" s="28" t="s">
        <v>3836</v>
      </c>
      <c r="M58" s="28" t="s">
        <v>4337</v>
      </c>
      <c r="N58" s="28" t="s">
        <v>530</v>
      </c>
      <c r="O58" s="47"/>
      <c r="P58" s="28">
        <f t="shared" si="0"/>
        <v>50</v>
      </c>
    </row>
    <row r="59" spans="1:16" s="28" customFormat="1" x14ac:dyDescent="0.25">
      <c r="A59" s="28" t="s">
        <v>3905</v>
      </c>
      <c r="B59" s="28" t="s">
        <v>3906</v>
      </c>
      <c r="C59" s="41" t="s">
        <v>3907</v>
      </c>
      <c r="E59" s="42">
        <v>46057</v>
      </c>
      <c r="F59" s="28" t="s">
        <v>3908</v>
      </c>
      <c r="G59" s="28">
        <v>2119.2600000000002</v>
      </c>
      <c r="H59" s="28" t="s">
        <v>227</v>
      </c>
      <c r="I59" s="28" t="s">
        <v>3864</v>
      </c>
      <c r="J59" s="41" t="s">
        <v>2004</v>
      </c>
      <c r="K59" s="28">
        <v>1001</v>
      </c>
      <c r="L59" s="28" t="s">
        <v>3909</v>
      </c>
      <c r="M59" s="28" t="s">
        <v>4337</v>
      </c>
      <c r="N59" s="28" t="s">
        <v>457</v>
      </c>
      <c r="O59" s="47"/>
      <c r="P59" s="28">
        <f t="shared" si="0"/>
        <v>62</v>
      </c>
    </row>
    <row r="60" spans="1:16" s="28" customFormat="1" x14ac:dyDescent="0.25">
      <c r="A60" s="28" t="s">
        <v>3905</v>
      </c>
      <c r="B60" s="28" t="s">
        <v>3906</v>
      </c>
      <c r="C60" s="41" t="s">
        <v>3907</v>
      </c>
      <c r="E60" s="42">
        <v>46058</v>
      </c>
      <c r="F60" s="55" t="s">
        <v>4253</v>
      </c>
      <c r="G60" s="28">
        <v>254.52</v>
      </c>
      <c r="H60" s="28" t="s">
        <v>227</v>
      </c>
      <c r="I60" s="55" t="s">
        <v>21</v>
      </c>
      <c r="J60" s="41" t="s">
        <v>239</v>
      </c>
      <c r="K60" s="55">
        <v>1001</v>
      </c>
      <c r="L60" s="55" t="s">
        <v>3909</v>
      </c>
      <c r="M60" s="28" t="s">
        <v>4337</v>
      </c>
      <c r="N60" s="28" t="s">
        <v>457</v>
      </c>
      <c r="O60" s="47"/>
      <c r="P60" s="28">
        <f t="shared" si="0"/>
        <v>37</v>
      </c>
    </row>
    <row r="61" spans="1:16" s="28" customFormat="1" x14ac:dyDescent="0.25">
      <c r="A61" s="28" t="s">
        <v>3905</v>
      </c>
      <c r="B61" s="28" t="s">
        <v>3906</v>
      </c>
      <c r="C61" s="41" t="s">
        <v>3907</v>
      </c>
      <c r="E61" s="42">
        <v>46061</v>
      </c>
      <c r="F61" s="28" t="s">
        <v>3910</v>
      </c>
      <c r="G61" s="28">
        <v>150.08000000000001</v>
      </c>
      <c r="H61" s="28" t="s">
        <v>227</v>
      </c>
      <c r="I61" s="28" t="s">
        <v>21</v>
      </c>
      <c r="J61" s="41" t="s">
        <v>1096</v>
      </c>
      <c r="K61" s="28">
        <v>1001</v>
      </c>
      <c r="L61" s="28" t="s">
        <v>3909</v>
      </c>
      <c r="M61" s="28" t="s">
        <v>4337</v>
      </c>
      <c r="N61" s="28" t="s">
        <v>457</v>
      </c>
      <c r="O61" s="47"/>
      <c r="P61" s="28">
        <f t="shared" si="0"/>
        <v>62</v>
      </c>
    </row>
    <row r="62" spans="1:16" s="28" customFormat="1" x14ac:dyDescent="0.25">
      <c r="A62" s="28" t="s">
        <v>3905</v>
      </c>
      <c r="B62" s="28" t="s">
        <v>3906</v>
      </c>
      <c r="C62" s="41" t="s">
        <v>3907</v>
      </c>
      <c r="E62" s="42">
        <v>46061</v>
      </c>
      <c r="F62" s="28" t="s">
        <v>3911</v>
      </c>
      <c r="G62" s="28">
        <v>150.08000000000001</v>
      </c>
      <c r="H62" s="28" t="s">
        <v>227</v>
      </c>
      <c r="I62" s="28" t="s">
        <v>21</v>
      </c>
      <c r="J62" s="41" t="s">
        <v>1096</v>
      </c>
      <c r="K62" s="28">
        <v>1001</v>
      </c>
      <c r="L62" s="28" t="s">
        <v>3909</v>
      </c>
      <c r="M62" s="28" t="s">
        <v>4337</v>
      </c>
      <c r="N62" s="28" t="s">
        <v>457</v>
      </c>
      <c r="O62" s="47"/>
      <c r="P62" s="28">
        <f t="shared" si="0"/>
        <v>62</v>
      </c>
    </row>
    <row r="63" spans="1:16" s="28" customFormat="1" x14ac:dyDescent="0.25">
      <c r="A63" s="28" t="s">
        <v>3905</v>
      </c>
      <c r="B63" s="28" t="s">
        <v>3906</v>
      </c>
      <c r="C63" s="41" t="s">
        <v>3907</v>
      </c>
      <c r="E63" s="42">
        <v>46063</v>
      </c>
      <c r="F63" s="43" t="s">
        <v>4556</v>
      </c>
      <c r="G63" s="28">
        <v>-2892.37</v>
      </c>
      <c r="H63" s="28" t="s">
        <v>227</v>
      </c>
      <c r="I63" s="28" t="s">
        <v>3594</v>
      </c>
      <c r="J63" s="41" t="s">
        <v>29</v>
      </c>
      <c r="K63" s="28">
        <v>1035</v>
      </c>
      <c r="L63" s="28" t="s">
        <v>3909</v>
      </c>
      <c r="M63" s="28" t="s">
        <v>4337</v>
      </c>
      <c r="N63" s="28" t="s">
        <v>457</v>
      </c>
      <c r="O63" s="47"/>
      <c r="P63" s="28">
        <f t="shared" si="0"/>
        <v>48</v>
      </c>
    </row>
    <row r="64" spans="1:16" s="28" customFormat="1" x14ac:dyDescent="0.25">
      <c r="A64" s="28" t="s">
        <v>3905</v>
      </c>
      <c r="B64" s="28" t="s">
        <v>3906</v>
      </c>
      <c r="C64" s="41" t="s">
        <v>3907</v>
      </c>
      <c r="E64" s="42">
        <v>46063</v>
      </c>
      <c r="F64" s="55" t="s">
        <v>4253</v>
      </c>
      <c r="G64" s="28">
        <v>249.57</v>
      </c>
      <c r="H64" s="28" t="s">
        <v>227</v>
      </c>
      <c r="I64" s="55" t="s">
        <v>21</v>
      </c>
      <c r="J64" s="41" t="s">
        <v>239</v>
      </c>
      <c r="K64" s="55">
        <v>1001</v>
      </c>
      <c r="L64" s="55" t="s">
        <v>3909</v>
      </c>
      <c r="M64" s="28" t="s">
        <v>4337</v>
      </c>
      <c r="N64" s="28" t="s">
        <v>457</v>
      </c>
      <c r="O64" s="47"/>
      <c r="P64" s="28">
        <f t="shared" si="0"/>
        <v>37</v>
      </c>
    </row>
    <row r="65" spans="1:16" s="28" customFormat="1" x14ac:dyDescent="0.25">
      <c r="A65" s="28" t="s">
        <v>3905</v>
      </c>
      <c r="B65" s="28" t="s">
        <v>3906</v>
      </c>
      <c r="C65" s="41" t="s">
        <v>3907</v>
      </c>
      <c r="E65" s="42">
        <v>46071</v>
      </c>
      <c r="F65" s="43" t="s">
        <v>4557</v>
      </c>
      <c r="G65" s="28">
        <v>71.31</v>
      </c>
      <c r="H65" s="28" t="s">
        <v>227</v>
      </c>
      <c r="I65" s="28" t="s">
        <v>21</v>
      </c>
      <c r="J65" s="41" t="s">
        <v>239</v>
      </c>
      <c r="K65" s="28">
        <v>1001</v>
      </c>
      <c r="L65" s="28" t="s">
        <v>3909</v>
      </c>
      <c r="M65" s="28" t="s">
        <v>4337</v>
      </c>
      <c r="N65" s="28" t="s">
        <v>457</v>
      </c>
      <c r="O65" s="47"/>
      <c r="P65" s="28">
        <f t="shared" si="0"/>
        <v>47</v>
      </c>
    </row>
    <row r="66" spans="1:16" s="28" customFormat="1" x14ac:dyDescent="0.25">
      <c r="A66" s="28" t="s">
        <v>3905</v>
      </c>
      <c r="B66" s="28" t="s">
        <v>3906</v>
      </c>
      <c r="C66" s="41" t="s">
        <v>3907</v>
      </c>
      <c r="E66" s="42">
        <v>46071</v>
      </c>
      <c r="F66" s="43" t="s">
        <v>4558</v>
      </c>
      <c r="G66" s="28">
        <v>233.96</v>
      </c>
      <c r="H66" s="28" t="s">
        <v>227</v>
      </c>
      <c r="I66" s="28" t="s">
        <v>21</v>
      </c>
      <c r="J66" s="41" t="s">
        <v>239</v>
      </c>
      <c r="K66" s="28">
        <v>1001</v>
      </c>
      <c r="L66" s="28" t="s">
        <v>3909</v>
      </c>
      <c r="M66" s="28" t="s">
        <v>4337</v>
      </c>
      <c r="N66" s="28" t="s">
        <v>457</v>
      </c>
      <c r="O66" s="47"/>
      <c r="P66" s="28">
        <f t="shared" ref="P66:P128" si="1">LEN(F66&amp;J66)+12</f>
        <v>45</v>
      </c>
    </row>
    <row r="67" spans="1:16" s="28" customFormat="1" x14ac:dyDescent="0.25">
      <c r="A67" s="28" t="s">
        <v>3905</v>
      </c>
      <c r="B67" s="28" t="s">
        <v>3906</v>
      </c>
      <c r="C67" s="41" t="s">
        <v>3907</v>
      </c>
      <c r="E67" s="42">
        <v>46084</v>
      </c>
      <c r="F67" s="55" t="s">
        <v>4253</v>
      </c>
      <c r="G67" s="28">
        <v>279.20999999999998</v>
      </c>
      <c r="H67" s="28" t="s">
        <v>227</v>
      </c>
      <c r="I67" s="55" t="s">
        <v>21</v>
      </c>
      <c r="J67" s="41" t="s">
        <v>239</v>
      </c>
      <c r="K67" s="55">
        <v>1001</v>
      </c>
      <c r="L67" s="55" t="s">
        <v>3909</v>
      </c>
      <c r="M67" s="28" t="s">
        <v>4337</v>
      </c>
      <c r="N67" s="28" t="s">
        <v>457</v>
      </c>
      <c r="O67" s="47"/>
      <c r="P67" s="28">
        <f t="shared" si="1"/>
        <v>37</v>
      </c>
    </row>
    <row r="68" spans="1:16" s="28" customFormat="1" x14ac:dyDescent="0.25">
      <c r="A68" s="28" t="s">
        <v>3905</v>
      </c>
      <c r="B68" s="28" t="s">
        <v>3906</v>
      </c>
      <c r="C68" s="41" t="s">
        <v>3907</v>
      </c>
      <c r="E68" s="42">
        <v>46085</v>
      </c>
      <c r="F68" s="55" t="s">
        <v>4253</v>
      </c>
      <c r="G68" s="28">
        <v>269.58</v>
      </c>
      <c r="H68" s="28" t="s">
        <v>227</v>
      </c>
      <c r="I68" s="55" t="s">
        <v>21</v>
      </c>
      <c r="J68" s="41" t="s">
        <v>239</v>
      </c>
      <c r="K68" s="55">
        <v>1001</v>
      </c>
      <c r="L68" s="55" t="s">
        <v>3909</v>
      </c>
      <c r="M68" s="28" t="s">
        <v>4337</v>
      </c>
      <c r="N68" s="28" t="s">
        <v>457</v>
      </c>
      <c r="O68" s="47"/>
      <c r="P68" s="28">
        <f t="shared" si="1"/>
        <v>37</v>
      </c>
    </row>
    <row r="69" spans="1:16" s="28" customFormat="1" x14ac:dyDescent="0.25">
      <c r="A69" s="28" t="s">
        <v>3905</v>
      </c>
      <c r="B69" s="28" t="s">
        <v>3906</v>
      </c>
      <c r="C69" s="41" t="s">
        <v>3907</v>
      </c>
      <c r="E69" s="42">
        <v>46087</v>
      </c>
      <c r="F69" s="55" t="s">
        <v>4253</v>
      </c>
      <c r="G69" s="28">
        <v>248.8</v>
      </c>
      <c r="H69" s="28" t="s">
        <v>227</v>
      </c>
      <c r="I69" s="55" t="s">
        <v>21</v>
      </c>
      <c r="J69" s="41" t="s">
        <v>239</v>
      </c>
      <c r="K69" s="55">
        <v>1001</v>
      </c>
      <c r="L69" s="55" t="s">
        <v>3909</v>
      </c>
      <c r="M69" s="28" t="s">
        <v>4337</v>
      </c>
      <c r="N69" s="28" t="s">
        <v>457</v>
      </c>
      <c r="O69" s="47"/>
      <c r="P69" s="28">
        <f t="shared" si="1"/>
        <v>37</v>
      </c>
    </row>
    <row r="70" spans="1:16" s="28" customFormat="1" x14ac:dyDescent="0.25">
      <c r="A70" s="28" t="s">
        <v>4126</v>
      </c>
      <c r="B70" s="28" t="s">
        <v>4127</v>
      </c>
      <c r="C70" s="41" t="s">
        <v>4128</v>
      </c>
      <c r="E70" s="42">
        <v>46062</v>
      </c>
      <c r="F70" s="61" t="s">
        <v>4699</v>
      </c>
      <c r="G70" s="28">
        <v>45</v>
      </c>
      <c r="H70" s="28" t="s">
        <v>227</v>
      </c>
      <c r="I70" s="28" t="s">
        <v>3843</v>
      </c>
      <c r="J70" s="41" t="s">
        <v>790</v>
      </c>
      <c r="K70" s="55">
        <v>6006</v>
      </c>
      <c r="L70" s="55" t="s">
        <v>3836</v>
      </c>
      <c r="M70" s="28" t="s">
        <v>4337</v>
      </c>
      <c r="N70" s="28" t="s">
        <v>156</v>
      </c>
      <c r="O70" s="47"/>
      <c r="P70" s="28">
        <f t="shared" si="1"/>
        <v>67</v>
      </c>
    </row>
    <row r="71" spans="1:16" s="28" customFormat="1" x14ac:dyDescent="0.25">
      <c r="A71" s="28" t="s">
        <v>4126</v>
      </c>
      <c r="B71" s="28" t="s">
        <v>4127</v>
      </c>
      <c r="C71" s="41" t="s">
        <v>4128</v>
      </c>
      <c r="E71" s="42">
        <v>46062</v>
      </c>
      <c r="F71" s="55" t="s">
        <v>4560</v>
      </c>
      <c r="G71" s="28">
        <v>496.1</v>
      </c>
      <c r="H71" s="28" t="s">
        <v>227</v>
      </c>
      <c r="I71" s="28" t="s">
        <v>3843</v>
      </c>
      <c r="J71" s="41" t="s">
        <v>2341</v>
      </c>
      <c r="K71" s="55">
        <v>6006</v>
      </c>
      <c r="L71" s="55" t="s">
        <v>3836</v>
      </c>
      <c r="M71" s="28" t="s">
        <v>4337</v>
      </c>
      <c r="N71" s="28" t="s">
        <v>156</v>
      </c>
      <c r="O71" s="47"/>
      <c r="P71" s="44">
        <f t="shared" si="1"/>
        <v>75</v>
      </c>
    </row>
    <row r="72" spans="1:16" s="28" customFormat="1" x14ac:dyDescent="0.25">
      <c r="A72" s="28" t="s">
        <v>4126</v>
      </c>
      <c r="B72" s="28" t="s">
        <v>4127</v>
      </c>
      <c r="C72" s="41" t="s">
        <v>4128</v>
      </c>
      <c r="E72" s="42">
        <v>46075</v>
      </c>
      <c r="F72" s="43" t="s">
        <v>4548</v>
      </c>
      <c r="G72" s="28">
        <v>8</v>
      </c>
      <c r="H72" s="28" t="s">
        <v>227</v>
      </c>
      <c r="I72" s="28" t="s">
        <v>3922</v>
      </c>
      <c r="J72" s="41" t="s">
        <v>29</v>
      </c>
      <c r="K72" s="43">
        <v>1035</v>
      </c>
      <c r="L72" s="28" t="s">
        <v>3836</v>
      </c>
      <c r="M72" s="28" t="s">
        <v>4337</v>
      </c>
      <c r="N72" s="28" t="s">
        <v>156</v>
      </c>
      <c r="O72" s="47" t="s">
        <v>4561</v>
      </c>
      <c r="P72" s="28">
        <f t="shared" si="1"/>
        <v>44</v>
      </c>
    </row>
    <row r="73" spans="1:16" s="28" customFormat="1" x14ac:dyDescent="0.25">
      <c r="A73" s="28" t="s">
        <v>4126</v>
      </c>
      <c r="B73" s="28" t="s">
        <v>4127</v>
      </c>
      <c r="C73" s="41" t="s">
        <v>4128</v>
      </c>
      <c r="E73" s="42">
        <v>46075</v>
      </c>
      <c r="F73" s="43" t="s">
        <v>4540</v>
      </c>
      <c r="G73" s="28">
        <v>13.06</v>
      </c>
      <c r="H73" s="28" t="s">
        <v>227</v>
      </c>
      <c r="I73" s="28" t="s">
        <v>16</v>
      </c>
      <c r="J73" s="41" t="s">
        <v>4360</v>
      </c>
      <c r="K73" s="28">
        <v>1035</v>
      </c>
      <c r="L73" s="28" t="s">
        <v>3836</v>
      </c>
      <c r="M73" s="28" t="s">
        <v>4337</v>
      </c>
      <c r="N73" s="28" t="s">
        <v>156</v>
      </c>
      <c r="O73" s="47"/>
      <c r="P73" s="28">
        <f t="shared" si="1"/>
        <v>55</v>
      </c>
    </row>
    <row r="74" spans="1:16" s="28" customFormat="1" x14ac:dyDescent="0.25">
      <c r="A74" s="28" t="s">
        <v>4126</v>
      </c>
      <c r="B74" s="28" t="s">
        <v>4127</v>
      </c>
      <c r="C74" s="41" t="s">
        <v>4128</v>
      </c>
      <c r="E74" s="42">
        <v>46081</v>
      </c>
      <c r="F74" s="28" t="s">
        <v>3899</v>
      </c>
      <c r="G74" s="28">
        <v>14.95</v>
      </c>
      <c r="H74" s="28" t="s">
        <v>227</v>
      </c>
      <c r="I74" s="28" t="s">
        <v>4500</v>
      </c>
      <c r="J74" s="28" t="s">
        <v>3614</v>
      </c>
      <c r="K74" s="28">
        <v>1008</v>
      </c>
      <c r="L74" s="28" t="s">
        <v>3836</v>
      </c>
      <c r="M74" s="28" t="s">
        <v>4337</v>
      </c>
      <c r="N74" s="49" t="s">
        <v>156</v>
      </c>
      <c r="O74" s="47"/>
      <c r="P74" s="28">
        <f t="shared" si="1"/>
        <v>27</v>
      </c>
    </row>
    <row r="75" spans="1:16" s="28" customFormat="1" x14ac:dyDescent="0.25">
      <c r="A75" s="28" t="s">
        <v>4242</v>
      </c>
      <c r="B75" s="28" t="s">
        <v>4243</v>
      </c>
      <c r="C75" s="41" t="s">
        <v>4244</v>
      </c>
      <c r="E75" s="42">
        <v>46058</v>
      </c>
      <c r="F75" s="59" t="s">
        <v>4247</v>
      </c>
      <c r="G75" s="28">
        <v>150.97999999999999</v>
      </c>
      <c r="H75" s="28" t="s">
        <v>227</v>
      </c>
      <c r="I75" s="55" t="s">
        <v>21</v>
      </c>
      <c r="J75" s="41" t="s">
        <v>239</v>
      </c>
      <c r="K75" s="55">
        <v>6396</v>
      </c>
      <c r="L75" s="55" t="s">
        <v>3836</v>
      </c>
      <c r="M75" s="28" t="s">
        <v>4337</v>
      </c>
      <c r="N75" s="28" t="s">
        <v>539</v>
      </c>
      <c r="O75" s="47"/>
      <c r="P75" s="28">
        <f t="shared" si="1"/>
        <v>42</v>
      </c>
    </row>
    <row r="76" spans="1:16" s="28" customFormat="1" x14ac:dyDescent="0.25">
      <c r="A76" s="28" t="s">
        <v>4242</v>
      </c>
      <c r="B76" s="28" t="s">
        <v>4243</v>
      </c>
      <c r="C76" s="41" t="s">
        <v>4244</v>
      </c>
      <c r="E76" s="42">
        <v>46059</v>
      </c>
      <c r="F76" s="61" t="s">
        <v>4253</v>
      </c>
      <c r="G76" s="28">
        <v>47.58</v>
      </c>
      <c r="H76" s="28" t="s">
        <v>227</v>
      </c>
      <c r="I76" s="55" t="s">
        <v>21</v>
      </c>
      <c r="J76" s="41" t="s">
        <v>239</v>
      </c>
      <c r="K76" s="55">
        <v>6001</v>
      </c>
      <c r="L76" s="55" t="s">
        <v>3836</v>
      </c>
      <c r="M76" s="28" t="s">
        <v>4337</v>
      </c>
      <c r="N76" s="28" t="s">
        <v>539</v>
      </c>
      <c r="O76" s="60" t="s">
        <v>4829</v>
      </c>
      <c r="P76" s="28">
        <f t="shared" si="1"/>
        <v>37</v>
      </c>
    </row>
    <row r="77" spans="1:16" s="28" customFormat="1" x14ac:dyDescent="0.25">
      <c r="A77" s="28" t="s">
        <v>4242</v>
      </c>
      <c r="B77" s="28" t="s">
        <v>4243</v>
      </c>
      <c r="C77" s="41" t="s">
        <v>4244</v>
      </c>
      <c r="E77" s="42">
        <v>46064</v>
      </c>
      <c r="F77" s="61" t="s">
        <v>4253</v>
      </c>
      <c r="G77" s="28">
        <v>46.99</v>
      </c>
      <c r="H77" s="28" t="s">
        <v>227</v>
      </c>
      <c r="I77" s="55" t="s">
        <v>21</v>
      </c>
      <c r="J77" s="41" t="s">
        <v>239</v>
      </c>
      <c r="K77" s="55">
        <v>6001</v>
      </c>
      <c r="L77" s="55" t="s">
        <v>3836</v>
      </c>
      <c r="M77" s="28" t="s">
        <v>4337</v>
      </c>
      <c r="N77" s="28" t="s">
        <v>539</v>
      </c>
      <c r="O77" s="60" t="s">
        <v>4829</v>
      </c>
      <c r="P77" s="28">
        <f t="shared" si="1"/>
        <v>37</v>
      </c>
    </row>
    <row r="78" spans="1:16" s="28" customFormat="1" x14ac:dyDescent="0.25">
      <c r="A78" s="28" t="s">
        <v>4242</v>
      </c>
      <c r="B78" s="28" t="s">
        <v>4243</v>
      </c>
      <c r="C78" s="41" t="s">
        <v>4244</v>
      </c>
      <c r="E78" s="42">
        <v>46065</v>
      </c>
      <c r="F78" s="61" t="s">
        <v>4253</v>
      </c>
      <c r="G78" s="28">
        <v>46.59</v>
      </c>
      <c r="H78" s="28" t="s">
        <v>227</v>
      </c>
      <c r="I78" s="55" t="s">
        <v>21</v>
      </c>
      <c r="J78" s="41" t="s">
        <v>239</v>
      </c>
      <c r="K78" s="55">
        <v>6001</v>
      </c>
      <c r="L78" s="55" t="s">
        <v>3836</v>
      </c>
      <c r="M78" s="28" t="s">
        <v>4337</v>
      </c>
      <c r="N78" s="28" t="s">
        <v>539</v>
      </c>
      <c r="O78" s="60" t="s">
        <v>4829</v>
      </c>
      <c r="P78" s="28">
        <f t="shared" si="1"/>
        <v>37</v>
      </c>
    </row>
    <row r="79" spans="1:16" s="28" customFormat="1" x14ac:dyDescent="0.25">
      <c r="A79" s="28" t="s">
        <v>4242</v>
      </c>
      <c r="B79" s="28" t="s">
        <v>4243</v>
      </c>
      <c r="C79" s="41" t="s">
        <v>4244</v>
      </c>
      <c r="E79" s="42">
        <v>46066</v>
      </c>
      <c r="F79" s="61" t="s">
        <v>4253</v>
      </c>
      <c r="G79" s="28">
        <v>79.650000000000006</v>
      </c>
      <c r="H79" s="28" t="s">
        <v>227</v>
      </c>
      <c r="I79" s="55" t="s">
        <v>21</v>
      </c>
      <c r="J79" s="41" t="s">
        <v>239</v>
      </c>
      <c r="K79" s="55">
        <v>6001</v>
      </c>
      <c r="L79" s="55" t="s">
        <v>3836</v>
      </c>
      <c r="M79" s="28" t="s">
        <v>4337</v>
      </c>
      <c r="N79" s="28" t="s">
        <v>539</v>
      </c>
      <c r="O79" s="60" t="s">
        <v>4829</v>
      </c>
      <c r="P79" s="28">
        <f t="shared" si="1"/>
        <v>37</v>
      </c>
    </row>
    <row r="80" spans="1:16" s="28" customFormat="1" x14ac:dyDescent="0.25">
      <c r="A80" s="28" t="s">
        <v>4242</v>
      </c>
      <c r="B80" s="28" t="s">
        <v>4243</v>
      </c>
      <c r="C80" s="41" t="s">
        <v>4244</v>
      </c>
      <c r="E80" s="42">
        <v>46073</v>
      </c>
      <c r="F80" s="43" t="s">
        <v>4562</v>
      </c>
      <c r="G80" s="28">
        <v>147.86000000000001</v>
      </c>
      <c r="H80" s="28" t="s">
        <v>227</v>
      </c>
      <c r="I80" s="28" t="s">
        <v>21</v>
      </c>
      <c r="J80" s="41" t="s">
        <v>239</v>
      </c>
      <c r="K80" s="28">
        <v>1035</v>
      </c>
      <c r="L80" s="28" t="s">
        <v>3836</v>
      </c>
      <c r="M80" s="28" t="s">
        <v>4337</v>
      </c>
      <c r="N80" s="28" t="s">
        <v>539</v>
      </c>
      <c r="O80" s="47"/>
      <c r="P80" s="28">
        <f t="shared" si="1"/>
        <v>37</v>
      </c>
    </row>
    <row r="81" spans="1:16" s="28" customFormat="1" x14ac:dyDescent="0.25">
      <c r="A81" s="28" t="s">
        <v>4242</v>
      </c>
      <c r="B81" s="28" t="s">
        <v>4243</v>
      </c>
      <c r="C81" s="41" t="s">
        <v>4244</v>
      </c>
      <c r="E81" s="42">
        <v>46073</v>
      </c>
      <c r="F81" s="61" t="s">
        <v>4253</v>
      </c>
      <c r="G81" s="28">
        <v>45.79</v>
      </c>
      <c r="H81" s="28" t="s">
        <v>227</v>
      </c>
      <c r="I81" s="55" t="s">
        <v>21</v>
      </c>
      <c r="J81" s="41" t="s">
        <v>239</v>
      </c>
      <c r="K81" s="55">
        <v>6001</v>
      </c>
      <c r="L81" s="55" t="s">
        <v>3836</v>
      </c>
      <c r="M81" s="28" t="s">
        <v>4337</v>
      </c>
      <c r="N81" s="28" t="s">
        <v>539</v>
      </c>
      <c r="O81" s="60" t="s">
        <v>4829</v>
      </c>
      <c r="P81" s="28">
        <f t="shared" si="1"/>
        <v>37</v>
      </c>
    </row>
    <row r="82" spans="1:16" s="28" customFormat="1" ht="60" x14ac:dyDescent="0.25">
      <c r="A82" s="28" t="s">
        <v>4161</v>
      </c>
      <c r="B82" s="28" t="s">
        <v>4162</v>
      </c>
      <c r="C82" s="41" t="s">
        <v>4163</v>
      </c>
      <c r="E82" s="42">
        <v>46075</v>
      </c>
      <c r="F82" s="43" t="s">
        <v>4563</v>
      </c>
      <c r="G82" s="28">
        <v>984.41</v>
      </c>
      <c r="H82" s="28" t="s">
        <v>227</v>
      </c>
      <c r="I82" s="28" t="s">
        <v>3594</v>
      </c>
      <c r="J82" s="41" t="s">
        <v>41</v>
      </c>
      <c r="K82" s="43">
        <v>1035</v>
      </c>
      <c r="L82" s="28" t="s">
        <v>3855</v>
      </c>
      <c r="M82" s="28" t="s">
        <v>4337</v>
      </c>
      <c r="N82" s="28" t="s">
        <v>289</v>
      </c>
      <c r="O82" s="47" t="s">
        <v>4750</v>
      </c>
      <c r="P82" s="28">
        <f t="shared" si="1"/>
        <v>37</v>
      </c>
    </row>
    <row r="83" spans="1:16" s="28" customFormat="1" ht="45" x14ac:dyDescent="0.25">
      <c r="A83" s="28" t="s">
        <v>4161</v>
      </c>
      <c r="B83" s="28" t="s">
        <v>4162</v>
      </c>
      <c r="C83" s="41" t="s">
        <v>4163</v>
      </c>
      <c r="E83" s="42">
        <v>46075</v>
      </c>
      <c r="F83" s="43" t="s">
        <v>4564</v>
      </c>
      <c r="G83" s="28">
        <v>8</v>
      </c>
      <c r="H83" s="28" t="s">
        <v>227</v>
      </c>
      <c r="I83" s="28" t="s">
        <v>3594</v>
      </c>
      <c r="J83" s="41" t="s">
        <v>790</v>
      </c>
      <c r="K83" s="43">
        <v>1035</v>
      </c>
      <c r="L83" s="28" t="s">
        <v>3855</v>
      </c>
      <c r="M83" s="28" t="s">
        <v>4337</v>
      </c>
      <c r="N83" s="28" t="s">
        <v>289</v>
      </c>
      <c r="O83" s="48" t="s">
        <v>4751</v>
      </c>
      <c r="P83" s="28">
        <f t="shared" si="1"/>
        <v>46</v>
      </c>
    </row>
    <row r="84" spans="1:16" s="28" customFormat="1" x14ac:dyDescent="0.25">
      <c r="A84" s="28" t="s">
        <v>4161</v>
      </c>
      <c r="B84" s="28" t="s">
        <v>4162</v>
      </c>
      <c r="C84" s="41" t="s">
        <v>4163</v>
      </c>
      <c r="E84" s="42">
        <v>46076</v>
      </c>
      <c r="F84" s="43" t="s">
        <v>4540</v>
      </c>
      <c r="G84" s="28">
        <v>19.739999999999998</v>
      </c>
      <c r="H84" s="28" t="s">
        <v>227</v>
      </c>
      <c r="I84" s="28" t="s">
        <v>16</v>
      </c>
      <c r="J84" s="41" t="s">
        <v>1470</v>
      </c>
      <c r="K84" s="28">
        <v>1035</v>
      </c>
      <c r="L84" s="28" t="s">
        <v>3855</v>
      </c>
      <c r="M84" s="28" t="s">
        <v>4337</v>
      </c>
      <c r="N84" s="28" t="s">
        <v>289</v>
      </c>
      <c r="O84" s="47"/>
      <c r="P84" s="28">
        <f t="shared" si="1"/>
        <v>53</v>
      </c>
    </row>
    <row r="85" spans="1:16" s="28" customFormat="1" ht="60" x14ac:dyDescent="0.25">
      <c r="A85" s="28" t="s">
        <v>4161</v>
      </c>
      <c r="B85" s="28" t="s">
        <v>4162</v>
      </c>
      <c r="C85" s="41" t="s">
        <v>4163</v>
      </c>
      <c r="E85" s="42">
        <v>46078</v>
      </c>
      <c r="F85" s="43" t="s">
        <v>4565</v>
      </c>
      <c r="G85" s="28">
        <v>-984.41</v>
      </c>
      <c r="H85" s="28" t="s">
        <v>227</v>
      </c>
      <c r="I85" s="28" t="s">
        <v>3594</v>
      </c>
      <c r="J85" s="41" t="s">
        <v>41</v>
      </c>
      <c r="K85" s="43">
        <v>1035</v>
      </c>
      <c r="L85" s="28" t="s">
        <v>3855</v>
      </c>
      <c r="M85" s="28" t="s">
        <v>4337</v>
      </c>
      <c r="N85" s="28" t="s">
        <v>289</v>
      </c>
      <c r="O85" s="47" t="s">
        <v>4750</v>
      </c>
      <c r="P85" s="28">
        <f t="shared" si="1"/>
        <v>44</v>
      </c>
    </row>
    <row r="86" spans="1:16" s="28" customFormat="1" x14ac:dyDescent="0.25">
      <c r="A86" s="28" t="s">
        <v>4161</v>
      </c>
      <c r="B86" s="28" t="s">
        <v>4162</v>
      </c>
      <c r="C86" s="41" t="s">
        <v>4163</v>
      </c>
      <c r="E86" s="42">
        <v>46079</v>
      </c>
      <c r="F86" s="55" t="s">
        <v>4164</v>
      </c>
      <c r="G86" s="28">
        <v>1469.2</v>
      </c>
      <c r="H86" s="28" t="s">
        <v>227</v>
      </c>
      <c r="I86" s="55" t="s">
        <v>3594</v>
      </c>
      <c r="J86" s="41" t="s">
        <v>41</v>
      </c>
      <c r="K86" s="55">
        <v>4253</v>
      </c>
      <c r="L86" s="55" t="s">
        <v>3855</v>
      </c>
      <c r="M86" s="28" t="s">
        <v>4337</v>
      </c>
      <c r="N86" s="28" t="s">
        <v>289</v>
      </c>
      <c r="O86" s="47"/>
      <c r="P86" s="28">
        <f t="shared" si="1"/>
        <v>44</v>
      </c>
    </row>
    <row r="87" spans="1:16" s="28" customFormat="1" x14ac:dyDescent="0.25">
      <c r="A87" s="28" t="s">
        <v>4161</v>
      </c>
      <c r="B87" s="28" t="s">
        <v>4162</v>
      </c>
      <c r="C87" s="41" t="s">
        <v>4163</v>
      </c>
      <c r="E87" s="42">
        <v>46079</v>
      </c>
      <c r="F87" s="55" t="s">
        <v>4165</v>
      </c>
      <c r="G87" s="28">
        <v>1059.2</v>
      </c>
      <c r="H87" s="28" t="s">
        <v>227</v>
      </c>
      <c r="I87" s="55" t="s">
        <v>3594</v>
      </c>
      <c r="J87" s="41" t="s">
        <v>41</v>
      </c>
      <c r="K87" s="55">
        <v>4253</v>
      </c>
      <c r="L87" s="55" t="s">
        <v>3855</v>
      </c>
      <c r="M87" s="28" t="s">
        <v>4337</v>
      </c>
      <c r="N87" s="28" t="s">
        <v>289</v>
      </c>
      <c r="O87" s="47"/>
      <c r="P87" s="28">
        <f t="shared" si="1"/>
        <v>44</v>
      </c>
    </row>
    <row r="88" spans="1:16" s="28" customFormat="1" x14ac:dyDescent="0.25">
      <c r="A88" s="28" t="s">
        <v>4161</v>
      </c>
      <c r="B88" s="28" t="s">
        <v>4162</v>
      </c>
      <c r="C88" s="41" t="s">
        <v>4163</v>
      </c>
      <c r="E88" s="42">
        <v>46079</v>
      </c>
      <c r="F88" s="43" t="s">
        <v>4540</v>
      </c>
      <c r="G88" s="28">
        <v>14.93</v>
      </c>
      <c r="H88" s="28" t="s">
        <v>227</v>
      </c>
      <c r="I88" s="28" t="s">
        <v>16</v>
      </c>
      <c r="J88" s="41" t="s">
        <v>2586</v>
      </c>
      <c r="K88" s="28">
        <v>1035</v>
      </c>
      <c r="L88" s="28" t="s">
        <v>3855</v>
      </c>
      <c r="M88" s="28" t="s">
        <v>4337</v>
      </c>
      <c r="N88" s="28" t="s">
        <v>289</v>
      </c>
      <c r="O88" s="47"/>
      <c r="P88" s="28">
        <f t="shared" si="1"/>
        <v>47</v>
      </c>
    </row>
    <row r="89" spans="1:16" s="28" customFormat="1" x14ac:dyDescent="0.25">
      <c r="A89" s="28" t="s">
        <v>4161</v>
      </c>
      <c r="B89" s="28" t="s">
        <v>4162</v>
      </c>
      <c r="C89" s="41" t="s">
        <v>4163</v>
      </c>
      <c r="E89" s="42">
        <v>46079</v>
      </c>
      <c r="F89" s="55" t="s">
        <v>4168</v>
      </c>
      <c r="G89" s="28">
        <v>8</v>
      </c>
      <c r="H89" s="28" t="s">
        <v>227</v>
      </c>
      <c r="I89" s="55" t="s">
        <v>3594</v>
      </c>
      <c r="J89" s="41" t="s">
        <v>790</v>
      </c>
      <c r="K89" s="55">
        <v>4253</v>
      </c>
      <c r="L89" s="55" t="s">
        <v>3855</v>
      </c>
      <c r="M89" s="28" t="s">
        <v>4337</v>
      </c>
      <c r="N89" s="28" t="s">
        <v>289</v>
      </c>
      <c r="O89" s="47"/>
      <c r="P89" s="28">
        <f t="shared" si="1"/>
        <v>53</v>
      </c>
    </row>
    <row r="90" spans="1:16" s="28" customFormat="1" x14ac:dyDescent="0.25">
      <c r="A90" s="28" t="s">
        <v>4161</v>
      </c>
      <c r="B90" s="28" t="s">
        <v>4162</v>
      </c>
      <c r="C90" s="41" t="s">
        <v>4163</v>
      </c>
      <c r="E90" s="42">
        <v>46079</v>
      </c>
      <c r="F90" s="43" t="s">
        <v>4566</v>
      </c>
      <c r="G90" s="28">
        <v>62</v>
      </c>
      <c r="H90" s="28" t="s">
        <v>227</v>
      </c>
      <c r="I90" s="28" t="s">
        <v>3843</v>
      </c>
      <c r="J90" s="41" t="s">
        <v>1579</v>
      </c>
      <c r="K90" s="28">
        <v>1035</v>
      </c>
      <c r="L90" s="28" t="s">
        <v>3855</v>
      </c>
      <c r="M90" s="28" t="s">
        <v>4337</v>
      </c>
      <c r="N90" s="28" t="s">
        <v>289</v>
      </c>
      <c r="O90" s="47"/>
      <c r="P90" s="28">
        <f t="shared" si="1"/>
        <v>59</v>
      </c>
    </row>
    <row r="91" spans="1:16" s="28" customFormat="1" x14ac:dyDescent="0.25">
      <c r="A91" s="28" t="s">
        <v>4161</v>
      </c>
      <c r="B91" s="28" t="s">
        <v>4162</v>
      </c>
      <c r="C91" s="41" t="s">
        <v>4163</v>
      </c>
      <c r="E91" s="42">
        <v>46079</v>
      </c>
      <c r="F91" s="55" t="s">
        <v>4170</v>
      </c>
      <c r="G91" s="28">
        <v>23</v>
      </c>
      <c r="H91" s="28" t="s">
        <v>227</v>
      </c>
      <c r="I91" s="55" t="s">
        <v>3594</v>
      </c>
      <c r="J91" s="41" t="s">
        <v>790</v>
      </c>
      <c r="K91" s="55">
        <v>4253</v>
      </c>
      <c r="L91" s="55" t="s">
        <v>3855</v>
      </c>
      <c r="M91" s="28" t="s">
        <v>4337</v>
      </c>
      <c r="N91" s="28" t="s">
        <v>289</v>
      </c>
      <c r="O91" s="47"/>
      <c r="P91" s="28">
        <f t="shared" si="1"/>
        <v>53</v>
      </c>
    </row>
    <row r="92" spans="1:16" s="28" customFormat="1" x14ac:dyDescent="0.25">
      <c r="A92" s="28" t="s">
        <v>4095</v>
      </c>
      <c r="C92" s="41" t="s">
        <v>4096</v>
      </c>
      <c r="E92" s="42">
        <v>46055</v>
      </c>
      <c r="F92" s="55" t="s">
        <v>4102</v>
      </c>
      <c r="G92" s="28">
        <v>36.36</v>
      </c>
      <c r="H92" s="28" t="s">
        <v>227</v>
      </c>
      <c r="I92" s="28" t="s">
        <v>16</v>
      </c>
      <c r="J92" s="41" t="s">
        <v>918</v>
      </c>
      <c r="K92" s="55">
        <v>6371</v>
      </c>
      <c r="L92" s="55" t="s">
        <v>3836</v>
      </c>
      <c r="M92" s="28" t="s">
        <v>4337</v>
      </c>
      <c r="N92" s="28" t="s">
        <v>543</v>
      </c>
      <c r="O92" s="47"/>
      <c r="P92" s="28">
        <f t="shared" si="1"/>
        <v>46</v>
      </c>
    </row>
    <row r="93" spans="1:16" s="28" customFormat="1" ht="30" x14ac:dyDescent="0.25">
      <c r="A93" s="28" t="s">
        <v>4095</v>
      </c>
      <c r="C93" s="41" t="s">
        <v>4096</v>
      </c>
      <c r="E93" s="42">
        <v>46056</v>
      </c>
      <c r="F93" s="61" t="s">
        <v>4757</v>
      </c>
      <c r="G93" s="43">
        <v>11.9</v>
      </c>
      <c r="H93" s="28" t="s">
        <v>227</v>
      </c>
      <c r="I93" s="55" t="s">
        <v>4500</v>
      </c>
      <c r="J93" s="41" t="s">
        <v>918</v>
      </c>
      <c r="K93" s="55">
        <v>6371</v>
      </c>
      <c r="L93" s="55" t="s">
        <v>3836</v>
      </c>
      <c r="M93" s="28" t="s">
        <v>4337</v>
      </c>
      <c r="N93" s="28" t="s">
        <v>543</v>
      </c>
      <c r="O93" s="47" t="s">
        <v>4758</v>
      </c>
      <c r="P93" s="28">
        <f t="shared" si="1"/>
        <v>51</v>
      </c>
    </row>
    <row r="94" spans="1:16" s="28" customFormat="1" x14ac:dyDescent="0.25">
      <c r="A94" s="28" t="s">
        <v>4095</v>
      </c>
      <c r="C94" s="41" t="s">
        <v>4096</v>
      </c>
      <c r="E94" s="42">
        <v>46057</v>
      </c>
      <c r="F94" s="55" t="s">
        <v>4105</v>
      </c>
      <c r="G94" s="28">
        <v>580.04999999999995</v>
      </c>
      <c r="H94" s="28" t="s">
        <v>227</v>
      </c>
      <c r="I94" s="28" t="s">
        <v>3864</v>
      </c>
      <c r="J94" s="41" t="s">
        <v>918</v>
      </c>
      <c r="K94" s="55">
        <v>6371</v>
      </c>
      <c r="L94" s="55" t="s">
        <v>3836</v>
      </c>
      <c r="M94" s="28" t="s">
        <v>4337</v>
      </c>
      <c r="N94" s="28" t="s">
        <v>543</v>
      </c>
      <c r="O94" s="47"/>
      <c r="P94" s="28">
        <f t="shared" si="1"/>
        <v>42</v>
      </c>
    </row>
    <row r="95" spans="1:16" s="28" customFormat="1" x14ac:dyDescent="0.25">
      <c r="A95" s="28" t="s">
        <v>4095</v>
      </c>
      <c r="C95" s="41" t="s">
        <v>4096</v>
      </c>
      <c r="E95" s="42">
        <v>46058</v>
      </c>
      <c r="F95" s="61" t="s">
        <v>4568</v>
      </c>
      <c r="G95" s="28">
        <v>124.78</v>
      </c>
      <c r="H95" s="28" t="s">
        <v>227</v>
      </c>
      <c r="I95" s="28" t="s">
        <v>16</v>
      </c>
      <c r="J95" s="41" t="s">
        <v>2602</v>
      </c>
      <c r="K95" s="55">
        <v>6450</v>
      </c>
      <c r="L95" s="55" t="s">
        <v>3836</v>
      </c>
      <c r="M95" s="28" t="s">
        <v>4337</v>
      </c>
      <c r="N95" s="28" t="s">
        <v>543</v>
      </c>
      <c r="O95" s="47"/>
      <c r="P95" s="28">
        <f t="shared" si="1"/>
        <v>68</v>
      </c>
    </row>
    <row r="96" spans="1:16" s="28" customFormat="1" x14ac:dyDescent="0.25">
      <c r="A96" s="28" t="s">
        <v>4095</v>
      </c>
      <c r="C96" s="41" t="s">
        <v>4096</v>
      </c>
      <c r="E96" s="42">
        <v>46059</v>
      </c>
      <c r="F96" s="61" t="s">
        <v>4570</v>
      </c>
      <c r="G96" s="28">
        <v>22.58</v>
      </c>
      <c r="H96" s="28" t="s">
        <v>227</v>
      </c>
      <c r="I96" s="55" t="s">
        <v>21</v>
      </c>
      <c r="J96" s="41" t="s">
        <v>2584</v>
      </c>
      <c r="K96" s="55">
        <v>6450</v>
      </c>
      <c r="L96" s="55" t="s">
        <v>3836</v>
      </c>
      <c r="M96" s="28" t="s">
        <v>4337</v>
      </c>
      <c r="N96" s="28" t="s">
        <v>543</v>
      </c>
      <c r="O96" s="47"/>
      <c r="P96" s="28">
        <f t="shared" si="1"/>
        <v>54</v>
      </c>
    </row>
    <row r="97" spans="1:16" s="28" customFormat="1" x14ac:dyDescent="0.25">
      <c r="A97" s="28" t="s">
        <v>4095</v>
      </c>
      <c r="C97" s="41" t="s">
        <v>4096</v>
      </c>
      <c r="E97" s="42">
        <v>46059</v>
      </c>
      <c r="F97" s="61" t="s">
        <v>4569</v>
      </c>
      <c r="G97" s="28">
        <v>41.59</v>
      </c>
      <c r="H97" s="28" t="s">
        <v>227</v>
      </c>
      <c r="I97" s="28" t="s">
        <v>16</v>
      </c>
      <c r="J97" s="41" t="s">
        <v>2602</v>
      </c>
      <c r="K97" s="55">
        <v>6450</v>
      </c>
      <c r="L97" s="55" t="s">
        <v>3836</v>
      </c>
      <c r="M97" s="28" t="s">
        <v>4337</v>
      </c>
      <c r="N97" s="28" t="s">
        <v>543</v>
      </c>
      <c r="O97" s="47"/>
      <c r="P97" s="28">
        <f t="shared" si="1"/>
        <v>68</v>
      </c>
    </row>
    <row r="98" spans="1:16" s="28" customFormat="1" ht="14.25" customHeight="1" x14ac:dyDescent="0.25">
      <c r="A98" s="28" t="s">
        <v>4095</v>
      </c>
      <c r="C98" s="41" t="s">
        <v>4096</v>
      </c>
      <c r="E98" s="42">
        <v>46060</v>
      </c>
      <c r="F98" s="61" t="s">
        <v>4567</v>
      </c>
      <c r="G98" s="28">
        <v>8.61</v>
      </c>
      <c r="H98" s="28" t="s">
        <v>227</v>
      </c>
      <c r="I98" s="28" t="s">
        <v>16</v>
      </c>
      <c r="J98" s="41" t="s">
        <v>4430</v>
      </c>
      <c r="K98" s="55">
        <v>6450</v>
      </c>
      <c r="L98" s="55" t="s">
        <v>3836</v>
      </c>
      <c r="M98" s="28" t="s">
        <v>4337</v>
      </c>
      <c r="N98" s="28" t="s">
        <v>543</v>
      </c>
      <c r="O98" s="47"/>
      <c r="P98" s="28">
        <f t="shared" si="1"/>
        <v>57</v>
      </c>
    </row>
    <row r="99" spans="1:16" s="28" customFormat="1" x14ac:dyDescent="0.25">
      <c r="A99" s="28" t="s">
        <v>4095</v>
      </c>
      <c r="C99" s="41" t="s">
        <v>4096</v>
      </c>
      <c r="E99" s="42">
        <v>46060</v>
      </c>
      <c r="F99" s="61" t="s">
        <v>4571</v>
      </c>
      <c r="G99" s="28">
        <v>22.35</v>
      </c>
      <c r="H99" s="28" t="s">
        <v>227</v>
      </c>
      <c r="I99" s="55" t="s">
        <v>21</v>
      </c>
      <c r="J99" s="41" t="s">
        <v>2584</v>
      </c>
      <c r="K99" s="55">
        <v>6450</v>
      </c>
      <c r="L99" s="55" t="s">
        <v>3836</v>
      </c>
      <c r="M99" s="28" t="s">
        <v>4337</v>
      </c>
      <c r="N99" s="28" t="s">
        <v>543</v>
      </c>
      <c r="O99" s="47"/>
      <c r="P99" s="28">
        <f t="shared" si="1"/>
        <v>54</v>
      </c>
    </row>
    <row r="100" spans="1:16" s="28" customFormat="1" x14ac:dyDescent="0.25">
      <c r="A100" s="28" t="s">
        <v>4095</v>
      </c>
      <c r="C100" s="41" t="s">
        <v>4096</v>
      </c>
      <c r="E100" s="42">
        <v>46060</v>
      </c>
      <c r="F100" s="61" t="s">
        <v>4572</v>
      </c>
      <c r="G100" s="28">
        <v>32.229999999999997</v>
      </c>
      <c r="H100" s="28" t="s">
        <v>227</v>
      </c>
      <c r="I100" s="55" t="s">
        <v>21</v>
      </c>
      <c r="J100" s="41" t="s">
        <v>2584</v>
      </c>
      <c r="K100" s="55">
        <v>6450</v>
      </c>
      <c r="L100" s="55" t="s">
        <v>3836</v>
      </c>
      <c r="M100" s="28" t="s">
        <v>4337</v>
      </c>
      <c r="N100" s="28" t="s">
        <v>543</v>
      </c>
      <c r="O100" s="47"/>
      <c r="P100" s="28">
        <f t="shared" si="1"/>
        <v>51</v>
      </c>
    </row>
    <row r="101" spans="1:16" s="28" customFormat="1" x14ac:dyDescent="0.25">
      <c r="A101" s="28" t="s">
        <v>4095</v>
      </c>
      <c r="C101" s="41" t="s">
        <v>4096</v>
      </c>
      <c r="E101" s="42">
        <v>46061</v>
      </c>
      <c r="F101" s="43" t="s">
        <v>4575</v>
      </c>
      <c r="G101" s="28">
        <v>230</v>
      </c>
      <c r="H101" s="28" t="s">
        <v>227</v>
      </c>
      <c r="I101" s="28" t="s">
        <v>3594</v>
      </c>
      <c r="J101" s="41" t="s">
        <v>29</v>
      </c>
      <c r="K101" s="28">
        <v>1035</v>
      </c>
      <c r="L101" s="28" t="s">
        <v>3836</v>
      </c>
      <c r="M101" s="28" t="s">
        <v>4337</v>
      </c>
      <c r="N101" s="28" t="s">
        <v>543</v>
      </c>
      <c r="O101" s="47"/>
      <c r="P101" s="28">
        <f t="shared" si="1"/>
        <v>54</v>
      </c>
    </row>
    <row r="102" spans="1:16" s="28" customFormat="1" x14ac:dyDescent="0.25">
      <c r="A102" s="28" t="s">
        <v>4095</v>
      </c>
      <c r="C102" s="41" t="s">
        <v>4096</v>
      </c>
      <c r="E102" s="42">
        <v>46061</v>
      </c>
      <c r="F102" s="43" t="s">
        <v>4573</v>
      </c>
      <c r="G102" s="28">
        <v>-851.3</v>
      </c>
      <c r="H102" s="28" t="s">
        <v>227</v>
      </c>
      <c r="I102" s="28" t="s">
        <v>3594</v>
      </c>
      <c r="J102" s="41" t="s">
        <v>29</v>
      </c>
      <c r="K102" s="28">
        <v>1035</v>
      </c>
      <c r="L102" s="28" t="s">
        <v>3836</v>
      </c>
      <c r="M102" s="28" t="s">
        <v>4337</v>
      </c>
      <c r="N102" s="28" t="s">
        <v>543</v>
      </c>
      <c r="O102" s="47" t="s">
        <v>4574</v>
      </c>
      <c r="P102" s="28">
        <f t="shared" si="1"/>
        <v>57</v>
      </c>
    </row>
    <row r="103" spans="1:16" s="28" customFormat="1" x14ac:dyDescent="0.25">
      <c r="A103" s="28" t="s">
        <v>4095</v>
      </c>
      <c r="C103" s="41" t="s">
        <v>4096</v>
      </c>
      <c r="E103" s="42">
        <v>46063</v>
      </c>
      <c r="F103" s="55" t="s">
        <v>4105</v>
      </c>
      <c r="G103" s="28">
        <v>144.08000000000001</v>
      </c>
      <c r="H103" s="28" t="s">
        <v>227</v>
      </c>
      <c r="I103" s="28" t="s">
        <v>3864</v>
      </c>
      <c r="J103" s="41" t="s">
        <v>1058</v>
      </c>
      <c r="K103" s="55">
        <v>6371</v>
      </c>
      <c r="L103" s="55" t="s">
        <v>3836</v>
      </c>
      <c r="M103" s="28" t="s">
        <v>4337</v>
      </c>
      <c r="N103" s="28" t="s">
        <v>543</v>
      </c>
      <c r="O103" s="47"/>
      <c r="P103" s="28">
        <f t="shared" si="1"/>
        <v>42</v>
      </c>
    </row>
    <row r="104" spans="1:16" s="28" customFormat="1" x14ac:dyDescent="0.25">
      <c r="A104" s="28" t="s">
        <v>4095</v>
      </c>
      <c r="C104" s="41" t="s">
        <v>4096</v>
      </c>
      <c r="E104" s="42">
        <v>46065</v>
      </c>
      <c r="F104" s="55" t="s">
        <v>4110</v>
      </c>
      <c r="G104" s="28">
        <v>35.31</v>
      </c>
      <c r="H104" s="28" t="s">
        <v>227</v>
      </c>
      <c r="I104" s="28" t="s">
        <v>16</v>
      </c>
      <c r="J104" s="35" t="s">
        <v>4488</v>
      </c>
      <c r="K104" s="55">
        <v>6001</v>
      </c>
      <c r="L104" s="55" t="s">
        <v>3836</v>
      </c>
      <c r="M104" s="28" t="s">
        <v>4337</v>
      </c>
      <c r="N104" s="28" t="s">
        <v>543</v>
      </c>
      <c r="O104" s="47"/>
      <c r="P104" s="28">
        <f t="shared" si="1"/>
        <v>42</v>
      </c>
    </row>
    <row r="105" spans="1:16" s="28" customFormat="1" x14ac:dyDescent="0.25">
      <c r="A105" s="28" t="s">
        <v>4095</v>
      </c>
      <c r="C105" s="41" t="s">
        <v>4096</v>
      </c>
      <c r="E105" s="42">
        <v>46071</v>
      </c>
      <c r="F105" s="43" t="s">
        <v>4576</v>
      </c>
      <c r="G105" s="28">
        <v>164.09</v>
      </c>
      <c r="H105" s="28" t="s">
        <v>227</v>
      </c>
      <c r="I105" s="28" t="s">
        <v>21</v>
      </c>
      <c r="J105" s="41" t="s">
        <v>239</v>
      </c>
      <c r="K105" s="28">
        <v>1035</v>
      </c>
      <c r="L105" s="28" t="s">
        <v>3836</v>
      </c>
      <c r="M105" s="28" t="s">
        <v>4337</v>
      </c>
      <c r="N105" s="28" t="s">
        <v>543</v>
      </c>
      <c r="O105" s="47"/>
      <c r="P105" s="28">
        <f t="shared" si="1"/>
        <v>37</v>
      </c>
    </row>
    <row r="106" spans="1:16" s="28" customFormat="1" x14ac:dyDescent="0.25">
      <c r="A106" s="28" t="s">
        <v>4095</v>
      </c>
      <c r="C106" s="41" t="s">
        <v>4096</v>
      </c>
      <c r="E106" s="42">
        <v>46071</v>
      </c>
      <c r="F106" s="43" t="s">
        <v>4579</v>
      </c>
      <c r="G106" s="28">
        <v>10</v>
      </c>
      <c r="H106" s="28" t="s">
        <v>227</v>
      </c>
      <c r="I106" s="28" t="s">
        <v>21</v>
      </c>
      <c r="J106" s="41" t="s">
        <v>239</v>
      </c>
      <c r="K106" s="28">
        <v>1035</v>
      </c>
      <c r="L106" s="28" t="s">
        <v>3836</v>
      </c>
      <c r="M106" s="28" t="s">
        <v>4337</v>
      </c>
      <c r="N106" s="28" t="s">
        <v>543</v>
      </c>
      <c r="O106" s="47"/>
      <c r="P106" s="28">
        <f t="shared" si="1"/>
        <v>41</v>
      </c>
    </row>
    <row r="107" spans="1:16" s="28" customFormat="1" x14ac:dyDescent="0.25">
      <c r="A107" s="28" t="s">
        <v>4095</v>
      </c>
      <c r="C107" s="41" t="s">
        <v>4096</v>
      </c>
      <c r="E107" s="42">
        <v>46075</v>
      </c>
      <c r="F107" s="43" t="s">
        <v>4578</v>
      </c>
      <c r="G107" s="28">
        <v>10</v>
      </c>
      <c r="H107" s="28" t="s">
        <v>227</v>
      </c>
      <c r="I107" s="28" t="s">
        <v>21</v>
      </c>
      <c r="J107" s="41" t="s">
        <v>239</v>
      </c>
      <c r="K107" s="28">
        <v>1035</v>
      </c>
      <c r="L107" s="28" t="s">
        <v>3836</v>
      </c>
      <c r="M107" s="28" t="s">
        <v>4337</v>
      </c>
      <c r="N107" s="28" t="s">
        <v>543</v>
      </c>
      <c r="O107" s="47"/>
      <c r="P107" s="28">
        <f t="shared" si="1"/>
        <v>41</v>
      </c>
    </row>
    <row r="108" spans="1:16" s="28" customFormat="1" x14ac:dyDescent="0.25">
      <c r="A108" s="28" t="s">
        <v>4095</v>
      </c>
      <c r="C108" s="41" t="s">
        <v>4096</v>
      </c>
      <c r="E108" s="42">
        <v>46075</v>
      </c>
      <c r="F108" s="43" t="s">
        <v>4577</v>
      </c>
      <c r="G108" s="28">
        <v>110.99</v>
      </c>
      <c r="H108" s="28" t="s">
        <v>227</v>
      </c>
      <c r="I108" s="28" t="s">
        <v>21</v>
      </c>
      <c r="J108" s="41" t="s">
        <v>239</v>
      </c>
      <c r="K108" s="28">
        <v>1035</v>
      </c>
      <c r="L108" s="28" t="s">
        <v>3836</v>
      </c>
      <c r="M108" s="28" t="s">
        <v>4337</v>
      </c>
      <c r="N108" s="28" t="s">
        <v>543</v>
      </c>
      <c r="O108" s="47"/>
      <c r="P108" s="28">
        <f t="shared" si="1"/>
        <v>37</v>
      </c>
    </row>
    <row r="109" spans="1:16" s="28" customFormat="1" x14ac:dyDescent="0.25">
      <c r="A109" s="28" t="s">
        <v>4095</v>
      </c>
      <c r="C109" s="41" t="s">
        <v>4096</v>
      </c>
      <c r="E109" s="42">
        <v>46076</v>
      </c>
      <c r="F109" s="43" t="s">
        <v>4540</v>
      </c>
      <c r="G109" s="28">
        <v>37.130000000000003</v>
      </c>
      <c r="H109" s="28" t="s">
        <v>227</v>
      </c>
      <c r="I109" s="28" t="s">
        <v>16</v>
      </c>
      <c r="J109" s="41" t="s">
        <v>4425</v>
      </c>
      <c r="K109" s="28">
        <v>1035</v>
      </c>
      <c r="L109" s="28" t="s">
        <v>3836</v>
      </c>
      <c r="M109" s="28" t="s">
        <v>4337</v>
      </c>
      <c r="N109" s="28" t="s">
        <v>543</v>
      </c>
      <c r="O109" s="47"/>
      <c r="P109" s="28">
        <f t="shared" si="1"/>
        <v>52</v>
      </c>
    </row>
    <row r="110" spans="1:16" s="28" customFormat="1" x14ac:dyDescent="0.25">
      <c r="A110" s="28" t="s">
        <v>4095</v>
      </c>
      <c r="C110" s="41" t="s">
        <v>4096</v>
      </c>
      <c r="E110" s="42">
        <v>46079</v>
      </c>
      <c r="F110" s="43" t="s">
        <v>4540</v>
      </c>
      <c r="G110" s="28">
        <v>3.28</v>
      </c>
      <c r="H110" s="28" t="s">
        <v>227</v>
      </c>
      <c r="I110" s="28" t="s">
        <v>16</v>
      </c>
      <c r="J110" s="41" t="s">
        <v>4460</v>
      </c>
      <c r="K110" s="28">
        <v>1035</v>
      </c>
      <c r="L110" s="28" t="s">
        <v>3836</v>
      </c>
      <c r="M110" s="28" t="s">
        <v>4337</v>
      </c>
      <c r="N110" s="28" t="s">
        <v>543</v>
      </c>
      <c r="O110" s="47"/>
      <c r="P110" s="28">
        <f t="shared" si="1"/>
        <v>42</v>
      </c>
    </row>
    <row r="111" spans="1:16" s="28" customFormat="1" x14ac:dyDescent="0.25">
      <c r="A111" s="28" t="s">
        <v>4095</v>
      </c>
      <c r="C111" s="41" t="s">
        <v>4096</v>
      </c>
      <c r="E111" s="42">
        <v>46079</v>
      </c>
      <c r="F111" s="43" t="s">
        <v>4540</v>
      </c>
      <c r="G111" s="28">
        <v>19.54</v>
      </c>
      <c r="H111" s="28" t="s">
        <v>227</v>
      </c>
      <c r="I111" s="28" t="s">
        <v>16</v>
      </c>
      <c r="J111" s="41" t="s">
        <v>992</v>
      </c>
      <c r="K111" s="28">
        <v>1035</v>
      </c>
      <c r="L111" s="28" t="s">
        <v>3836</v>
      </c>
      <c r="M111" s="28" t="s">
        <v>4337</v>
      </c>
      <c r="N111" s="28" t="s">
        <v>543</v>
      </c>
      <c r="O111" s="47"/>
      <c r="P111" s="28">
        <f t="shared" si="1"/>
        <v>49</v>
      </c>
    </row>
    <row r="112" spans="1:16" s="28" customFormat="1" x14ac:dyDescent="0.25">
      <c r="A112" s="28" t="s">
        <v>4095</v>
      </c>
      <c r="C112" s="41" t="s">
        <v>4096</v>
      </c>
      <c r="E112" s="42">
        <v>46080</v>
      </c>
      <c r="F112" s="43" t="s">
        <v>4576</v>
      </c>
      <c r="G112" s="28">
        <v>131.49</v>
      </c>
      <c r="H112" s="28" t="s">
        <v>227</v>
      </c>
      <c r="I112" s="28" t="s">
        <v>21</v>
      </c>
      <c r="J112" s="41" t="s">
        <v>239</v>
      </c>
      <c r="K112" s="28">
        <v>1035</v>
      </c>
      <c r="L112" s="28" t="s">
        <v>3836</v>
      </c>
      <c r="M112" s="28" t="s">
        <v>4337</v>
      </c>
      <c r="N112" s="28" t="s">
        <v>543</v>
      </c>
      <c r="O112" s="47"/>
      <c r="P112" s="28">
        <f t="shared" si="1"/>
        <v>37</v>
      </c>
    </row>
    <row r="113" spans="1:16" s="28" customFormat="1" x14ac:dyDescent="0.25">
      <c r="A113" s="28" t="s">
        <v>4095</v>
      </c>
      <c r="C113" s="41" t="s">
        <v>4096</v>
      </c>
      <c r="E113" s="42">
        <v>46080</v>
      </c>
      <c r="F113" s="43" t="s">
        <v>4579</v>
      </c>
      <c r="G113" s="28">
        <v>10</v>
      </c>
      <c r="H113" s="28" t="s">
        <v>227</v>
      </c>
      <c r="I113" s="28" t="s">
        <v>21</v>
      </c>
      <c r="J113" s="41" t="s">
        <v>239</v>
      </c>
      <c r="K113" s="28">
        <v>1035</v>
      </c>
      <c r="L113" s="28" t="s">
        <v>3836</v>
      </c>
      <c r="M113" s="28" t="s">
        <v>4337</v>
      </c>
      <c r="N113" s="28" t="s">
        <v>543</v>
      </c>
      <c r="O113" s="47"/>
      <c r="P113" s="28">
        <f t="shared" si="1"/>
        <v>41</v>
      </c>
    </row>
    <row r="114" spans="1:16" s="28" customFormat="1" x14ac:dyDescent="0.25">
      <c r="A114" s="28" t="s">
        <v>4212</v>
      </c>
      <c r="B114" s="28" t="s">
        <v>4213</v>
      </c>
      <c r="C114" s="41" t="s">
        <v>4214</v>
      </c>
      <c r="E114" s="42">
        <v>46059</v>
      </c>
      <c r="F114" s="55" t="s">
        <v>4526</v>
      </c>
      <c r="G114" s="28">
        <v>8.7899999999999991</v>
      </c>
      <c r="H114" s="28" t="s">
        <v>227</v>
      </c>
      <c r="I114" s="55" t="s">
        <v>21</v>
      </c>
      <c r="J114" s="41" t="s">
        <v>239</v>
      </c>
      <c r="K114" s="55">
        <v>6001</v>
      </c>
      <c r="L114" s="55" t="s">
        <v>3836</v>
      </c>
      <c r="M114" s="28" t="s">
        <v>4337</v>
      </c>
      <c r="N114" s="28" t="s">
        <v>545</v>
      </c>
      <c r="O114" s="47"/>
      <c r="P114" s="28">
        <f t="shared" si="1"/>
        <v>41</v>
      </c>
    </row>
    <row r="115" spans="1:16" s="28" customFormat="1" x14ac:dyDescent="0.25">
      <c r="A115" s="28" t="s">
        <v>4212</v>
      </c>
      <c r="B115" s="28" t="s">
        <v>4213</v>
      </c>
      <c r="C115" s="41" t="s">
        <v>4214</v>
      </c>
      <c r="E115" s="42">
        <v>46059</v>
      </c>
      <c r="F115" s="55" t="s">
        <v>4253</v>
      </c>
      <c r="G115" s="28">
        <v>43.99</v>
      </c>
      <c r="H115" s="28" t="s">
        <v>227</v>
      </c>
      <c r="I115" s="55" t="s">
        <v>21</v>
      </c>
      <c r="J115" s="41" t="s">
        <v>239</v>
      </c>
      <c r="K115" s="55">
        <v>6001</v>
      </c>
      <c r="L115" s="55" t="s">
        <v>3836</v>
      </c>
      <c r="M115" s="28" t="s">
        <v>4337</v>
      </c>
      <c r="N115" s="28" t="s">
        <v>545</v>
      </c>
      <c r="O115" s="47"/>
      <c r="P115" s="28">
        <f t="shared" si="1"/>
        <v>37</v>
      </c>
    </row>
    <row r="116" spans="1:16" s="28" customFormat="1" ht="30" x14ac:dyDescent="0.25">
      <c r="A116" s="28" t="s">
        <v>4212</v>
      </c>
      <c r="B116" s="28" t="s">
        <v>4213</v>
      </c>
      <c r="C116" s="41" t="s">
        <v>4214</v>
      </c>
      <c r="E116" s="42">
        <v>46059</v>
      </c>
      <c r="F116" s="61" t="s">
        <v>4844</v>
      </c>
      <c r="G116" s="55">
        <v>8.99</v>
      </c>
      <c r="H116" s="55" t="s">
        <v>227</v>
      </c>
      <c r="I116" s="61" t="s">
        <v>3922</v>
      </c>
      <c r="J116" s="35" t="s">
        <v>4352</v>
      </c>
      <c r="K116" s="55">
        <v>6487</v>
      </c>
      <c r="L116" s="55" t="s">
        <v>3836</v>
      </c>
      <c r="M116" s="28" t="s">
        <v>4337</v>
      </c>
      <c r="N116" s="28" t="s">
        <v>545</v>
      </c>
      <c r="O116" s="60" t="s">
        <v>4843</v>
      </c>
      <c r="P116" s="44">
        <f t="shared" si="1"/>
        <v>67</v>
      </c>
    </row>
    <row r="117" spans="1:16" s="28" customFormat="1" x14ac:dyDescent="0.25">
      <c r="A117" s="28" t="s">
        <v>4212</v>
      </c>
      <c r="B117" s="28" t="s">
        <v>4213</v>
      </c>
      <c r="C117" s="41" t="s">
        <v>4214</v>
      </c>
      <c r="E117" s="42">
        <v>46062</v>
      </c>
      <c r="F117" s="55" t="s">
        <v>4253</v>
      </c>
      <c r="G117" s="28">
        <v>53.96</v>
      </c>
      <c r="H117" s="28" t="s">
        <v>227</v>
      </c>
      <c r="I117" s="55" t="s">
        <v>21</v>
      </c>
      <c r="J117" s="41" t="s">
        <v>239</v>
      </c>
      <c r="K117" s="55">
        <v>6001</v>
      </c>
      <c r="L117" s="55" t="s">
        <v>3836</v>
      </c>
      <c r="M117" s="28" t="s">
        <v>4337</v>
      </c>
      <c r="N117" s="28" t="s">
        <v>545</v>
      </c>
      <c r="O117" s="47"/>
      <c r="P117" s="28">
        <f t="shared" si="1"/>
        <v>37</v>
      </c>
    </row>
    <row r="118" spans="1:16" s="28" customFormat="1" x14ac:dyDescent="0.25">
      <c r="A118" s="28" t="s">
        <v>4212</v>
      </c>
      <c r="B118" s="28" t="s">
        <v>4213</v>
      </c>
      <c r="C118" s="41" t="s">
        <v>4214</v>
      </c>
      <c r="E118" s="42">
        <v>46064</v>
      </c>
      <c r="F118" s="55" t="s">
        <v>4253</v>
      </c>
      <c r="G118" s="28">
        <v>49.97</v>
      </c>
      <c r="H118" s="28" t="s">
        <v>227</v>
      </c>
      <c r="I118" s="55" t="s">
        <v>21</v>
      </c>
      <c r="J118" s="41" t="s">
        <v>239</v>
      </c>
      <c r="K118" s="55">
        <v>6001</v>
      </c>
      <c r="L118" s="55" t="s">
        <v>3836</v>
      </c>
      <c r="M118" s="28" t="s">
        <v>4337</v>
      </c>
      <c r="N118" s="28" t="s">
        <v>545</v>
      </c>
      <c r="O118" s="47"/>
      <c r="P118" s="28">
        <f t="shared" si="1"/>
        <v>37</v>
      </c>
    </row>
    <row r="119" spans="1:16" s="28" customFormat="1" x14ac:dyDescent="0.25">
      <c r="A119" s="28" t="s">
        <v>4212</v>
      </c>
      <c r="B119" s="28" t="s">
        <v>4213</v>
      </c>
      <c r="C119" s="41" t="s">
        <v>4214</v>
      </c>
      <c r="E119" s="42">
        <v>46064</v>
      </c>
      <c r="F119" s="61" t="s">
        <v>4526</v>
      </c>
      <c r="G119" s="28">
        <v>7.49</v>
      </c>
      <c r="H119" s="28" t="s">
        <v>227</v>
      </c>
      <c r="I119" s="55" t="s">
        <v>21</v>
      </c>
      <c r="J119" s="41" t="s">
        <v>239</v>
      </c>
      <c r="K119" s="55">
        <v>6001</v>
      </c>
      <c r="L119" s="55" t="s">
        <v>3836</v>
      </c>
      <c r="M119" s="28" t="s">
        <v>4337</v>
      </c>
      <c r="N119" s="28" t="s">
        <v>545</v>
      </c>
      <c r="O119" s="47"/>
      <c r="P119" s="28">
        <f t="shared" si="1"/>
        <v>41</v>
      </c>
    </row>
    <row r="120" spans="1:16" s="28" customFormat="1" x14ac:dyDescent="0.25">
      <c r="A120" s="28" t="s">
        <v>4212</v>
      </c>
      <c r="B120" s="28" t="s">
        <v>4213</v>
      </c>
      <c r="C120" s="41" t="s">
        <v>4214</v>
      </c>
      <c r="E120" s="42">
        <v>46065</v>
      </c>
      <c r="F120" s="55" t="s">
        <v>4253</v>
      </c>
      <c r="G120" s="28">
        <v>71.81</v>
      </c>
      <c r="H120" s="28" t="s">
        <v>227</v>
      </c>
      <c r="I120" s="55" t="s">
        <v>21</v>
      </c>
      <c r="J120" s="41" t="s">
        <v>239</v>
      </c>
      <c r="K120" s="55">
        <v>6001</v>
      </c>
      <c r="L120" s="55" t="s">
        <v>3836</v>
      </c>
      <c r="M120" s="28" t="s">
        <v>4337</v>
      </c>
      <c r="N120" s="28" t="s">
        <v>545</v>
      </c>
      <c r="O120" s="47"/>
      <c r="P120" s="28">
        <f t="shared" si="1"/>
        <v>37</v>
      </c>
    </row>
    <row r="121" spans="1:16" s="28" customFormat="1" x14ac:dyDescent="0.25">
      <c r="A121" s="28" t="s">
        <v>4212</v>
      </c>
      <c r="B121" s="28" t="s">
        <v>4213</v>
      </c>
      <c r="C121" s="41" t="s">
        <v>4214</v>
      </c>
      <c r="E121" s="42">
        <v>46065</v>
      </c>
      <c r="F121" s="55" t="s">
        <v>4526</v>
      </c>
      <c r="G121" s="28">
        <v>7.18</v>
      </c>
      <c r="H121" s="28" t="s">
        <v>227</v>
      </c>
      <c r="I121" s="55" t="s">
        <v>21</v>
      </c>
      <c r="J121" s="41" t="s">
        <v>239</v>
      </c>
      <c r="K121" s="55">
        <v>6001</v>
      </c>
      <c r="L121" s="55" t="s">
        <v>3836</v>
      </c>
      <c r="M121" s="28" t="s">
        <v>4337</v>
      </c>
      <c r="N121" s="28" t="s">
        <v>545</v>
      </c>
      <c r="O121" s="47"/>
      <c r="P121" s="28">
        <f t="shared" si="1"/>
        <v>41</v>
      </c>
    </row>
    <row r="122" spans="1:16" s="28" customFormat="1" x14ac:dyDescent="0.25">
      <c r="A122" s="28" t="s">
        <v>4212</v>
      </c>
      <c r="B122" s="28" t="s">
        <v>4213</v>
      </c>
      <c r="C122" s="41" t="s">
        <v>4214</v>
      </c>
      <c r="E122" s="42">
        <v>46066</v>
      </c>
      <c r="F122" s="55" t="s">
        <v>4253</v>
      </c>
      <c r="G122" s="28">
        <v>44.36</v>
      </c>
      <c r="H122" s="28" t="s">
        <v>227</v>
      </c>
      <c r="I122" s="55" t="s">
        <v>21</v>
      </c>
      <c r="J122" s="41" t="s">
        <v>239</v>
      </c>
      <c r="K122" s="55">
        <v>6001</v>
      </c>
      <c r="L122" s="55" t="s">
        <v>3836</v>
      </c>
      <c r="M122" s="28" t="s">
        <v>4337</v>
      </c>
      <c r="N122" s="28" t="s">
        <v>545</v>
      </c>
      <c r="O122" s="47"/>
      <c r="P122" s="28">
        <f t="shared" si="1"/>
        <v>37</v>
      </c>
    </row>
    <row r="123" spans="1:16" s="28" customFormat="1" x14ac:dyDescent="0.25">
      <c r="A123" s="28" t="s">
        <v>4212</v>
      </c>
      <c r="B123" s="28" t="s">
        <v>4213</v>
      </c>
      <c r="C123" s="41" t="s">
        <v>4214</v>
      </c>
      <c r="E123" s="42">
        <v>46072</v>
      </c>
      <c r="F123" s="55" t="s">
        <v>4253</v>
      </c>
      <c r="G123" s="28">
        <v>43.2</v>
      </c>
      <c r="H123" s="28" t="s">
        <v>227</v>
      </c>
      <c r="I123" s="55" t="s">
        <v>21</v>
      </c>
      <c r="J123" s="41" t="s">
        <v>239</v>
      </c>
      <c r="K123" s="55">
        <v>6001</v>
      </c>
      <c r="L123" s="55" t="s">
        <v>3836</v>
      </c>
      <c r="M123" s="28" t="s">
        <v>4337</v>
      </c>
      <c r="N123" s="28" t="s">
        <v>545</v>
      </c>
      <c r="O123" s="47"/>
      <c r="P123" s="28">
        <f t="shared" si="1"/>
        <v>37</v>
      </c>
    </row>
    <row r="124" spans="1:16" s="28" customFormat="1" x14ac:dyDescent="0.25">
      <c r="A124" s="28" t="s">
        <v>4212</v>
      </c>
      <c r="B124" s="28" t="s">
        <v>4213</v>
      </c>
      <c r="C124" s="41" t="s">
        <v>4214</v>
      </c>
      <c r="E124" s="42">
        <v>46072</v>
      </c>
      <c r="F124" s="55" t="s">
        <v>4526</v>
      </c>
      <c r="G124" s="28">
        <v>8.64</v>
      </c>
      <c r="H124" s="28" t="s">
        <v>227</v>
      </c>
      <c r="I124" s="55" t="s">
        <v>21</v>
      </c>
      <c r="J124" s="41" t="s">
        <v>239</v>
      </c>
      <c r="K124" s="55">
        <v>6001</v>
      </c>
      <c r="L124" s="55" t="s">
        <v>3836</v>
      </c>
      <c r="M124" s="28" t="s">
        <v>4337</v>
      </c>
      <c r="N124" s="28" t="s">
        <v>545</v>
      </c>
      <c r="O124" s="47"/>
      <c r="P124" s="28">
        <f t="shared" si="1"/>
        <v>41</v>
      </c>
    </row>
    <row r="125" spans="1:16" s="28" customFormat="1" x14ac:dyDescent="0.25">
      <c r="A125" s="28" t="s">
        <v>4212</v>
      </c>
      <c r="B125" s="28" t="s">
        <v>4213</v>
      </c>
      <c r="C125" s="41" t="s">
        <v>4214</v>
      </c>
      <c r="E125" s="42">
        <v>46072</v>
      </c>
      <c r="F125" s="55" t="s">
        <v>4253</v>
      </c>
      <c r="G125" s="28">
        <v>58.57</v>
      </c>
      <c r="H125" s="28" t="s">
        <v>227</v>
      </c>
      <c r="I125" s="55" t="s">
        <v>21</v>
      </c>
      <c r="J125" s="41" t="s">
        <v>239</v>
      </c>
      <c r="K125" s="55">
        <v>6001</v>
      </c>
      <c r="L125" s="55" t="s">
        <v>3836</v>
      </c>
      <c r="M125" s="28" t="s">
        <v>4337</v>
      </c>
      <c r="N125" s="28" t="s">
        <v>545</v>
      </c>
      <c r="O125" s="47"/>
      <c r="P125" s="28">
        <f t="shared" si="1"/>
        <v>37</v>
      </c>
    </row>
    <row r="126" spans="1:16" s="28" customFormat="1" x14ac:dyDescent="0.25">
      <c r="A126" s="28" t="s">
        <v>4212</v>
      </c>
      <c r="B126" s="28" t="s">
        <v>4213</v>
      </c>
      <c r="C126" s="41" t="s">
        <v>4214</v>
      </c>
      <c r="E126" s="42">
        <v>46073</v>
      </c>
      <c r="F126" s="28" t="s">
        <v>4562</v>
      </c>
      <c r="G126" s="28">
        <v>166.35</v>
      </c>
      <c r="H126" s="28" t="s">
        <v>227</v>
      </c>
      <c r="I126" s="28" t="s">
        <v>21</v>
      </c>
      <c r="J126" s="41" t="s">
        <v>239</v>
      </c>
      <c r="K126" s="28">
        <v>1035</v>
      </c>
      <c r="L126" s="28" t="s">
        <v>3836</v>
      </c>
      <c r="M126" s="28" t="s">
        <v>4337</v>
      </c>
      <c r="N126" s="28" t="s">
        <v>545</v>
      </c>
      <c r="O126" s="47"/>
      <c r="P126" s="28">
        <f t="shared" si="1"/>
        <v>37</v>
      </c>
    </row>
    <row r="127" spans="1:16" s="28" customFormat="1" x14ac:dyDescent="0.25">
      <c r="A127" s="28" t="s">
        <v>4212</v>
      </c>
      <c r="B127" s="28" t="s">
        <v>4213</v>
      </c>
      <c r="C127" s="41" t="s">
        <v>4214</v>
      </c>
      <c r="E127" s="42">
        <v>46073</v>
      </c>
      <c r="F127" s="28" t="s">
        <v>4540</v>
      </c>
      <c r="G127" s="28">
        <v>22.65</v>
      </c>
      <c r="H127" s="28" t="s">
        <v>227</v>
      </c>
      <c r="I127" s="28" t="s">
        <v>16</v>
      </c>
      <c r="J127" s="41" t="s">
        <v>1053</v>
      </c>
      <c r="K127" s="28">
        <v>1035</v>
      </c>
      <c r="L127" s="28" t="s">
        <v>3836</v>
      </c>
      <c r="M127" s="28" t="s">
        <v>4337</v>
      </c>
      <c r="N127" s="28" t="s">
        <v>545</v>
      </c>
      <c r="O127" s="47"/>
      <c r="P127" s="28">
        <f t="shared" si="1"/>
        <v>47</v>
      </c>
    </row>
    <row r="128" spans="1:16" s="28" customFormat="1" x14ac:dyDescent="0.25">
      <c r="A128" s="28" t="s">
        <v>4212</v>
      </c>
      <c r="B128" s="28" t="s">
        <v>4213</v>
      </c>
      <c r="C128" s="41" t="s">
        <v>4214</v>
      </c>
      <c r="E128" s="42">
        <v>46079</v>
      </c>
      <c r="F128" s="28" t="s">
        <v>4580</v>
      </c>
      <c r="G128" s="28">
        <v>84.35</v>
      </c>
      <c r="H128" s="28" t="s">
        <v>227</v>
      </c>
      <c r="I128" s="28" t="s">
        <v>21</v>
      </c>
      <c r="J128" s="41" t="s">
        <v>239</v>
      </c>
      <c r="K128" s="28">
        <v>1035</v>
      </c>
      <c r="L128" s="28" t="s">
        <v>3836</v>
      </c>
      <c r="M128" s="28" t="s">
        <v>4337</v>
      </c>
      <c r="N128" s="28" t="s">
        <v>545</v>
      </c>
      <c r="O128" s="47"/>
      <c r="P128" s="28">
        <f t="shared" si="1"/>
        <v>37</v>
      </c>
    </row>
    <row r="129" spans="1:16" s="28" customFormat="1" x14ac:dyDescent="0.25">
      <c r="A129" s="28" t="s">
        <v>4212</v>
      </c>
      <c r="B129" s="28" t="s">
        <v>4213</v>
      </c>
      <c r="C129" s="41" t="s">
        <v>4214</v>
      </c>
      <c r="E129" s="42">
        <v>46079</v>
      </c>
      <c r="F129" s="28" t="s">
        <v>4540</v>
      </c>
      <c r="G129" s="28">
        <v>16.170000000000002</v>
      </c>
      <c r="H129" s="28" t="s">
        <v>227</v>
      </c>
      <c r="I129" s="28" t="s">
        <v>16</v>
      </c>
      <c r="J129" s="41" t="s">
        <v>4451</v>
      </c>
      <c r="K129" s="28">
        <v>1035</v>
      </c>
      <c r="L129" s="28" t="s">
        <v>3836</v>
      </c>
      <c r="M129" s="28" t="s">
        <v>4337</v>
      </c>
      <c r="N129" s="28" t="s">
        <v>545</v>
      </c>
      <c r="O129" s="47"/>
      <c r="P129" s="28">
        <f t="shared" ref="P129:P192" si="2">LEN(F129&amp;J129)+12</f>
        <v>48</v>
      </c>
    </row>
    <row r="130" spans="1:16" s="28" customFormat="1" x14ac:dyDescent="0.25">
      <c r="A130" s="28" t="s">
        <v>4212</v>
      </c>
      <c r="B130" s="28" t="s">
        <v>4213</v>
      </c>
      <c r="C130" s="41" t="s">
        <v>4214</v>
      </c>
      <c r="E130" s="42">
        <v>46079</v>
      </c>
      <c r="F130" s="43" t="s">
        <v>4548</v>
      </c>
      <c r="G130" s="28">
        <v>10</v>
      </c>
      <c r="H130" s="28" t="s">
        <v>227</v>
      </c>
      <c r="I130" s="43" t="s">
        <v>3922</v>
      </c>
      <c r="J130" s="41" t="s">
        <v>29</v>
      </c>
      <c r="K130" s="43">
        <v>1035</v>
      </c>
      <c r="L130" s="28" t="s">
        <v>3836</v>
      </c>
      <c r="M130" s="28" t="s">
        <v>4337</v>
      </c>
      <c r="N130" s="28" t="s">
        <v>545</v>
      </c>
      <c r="O130" s="47" t="s">
        <v>4581</v>
      </c>
      <c r="P130" s="28">
        <f t="shared" si="2"/>
        <v>44</v>
      </c>
    </row>
    <row r="131" spans="1:16" s="28" customFormat="1" x14ac:dyDescent="0.25">
      <c r="A131" s="28" t="s">
        <v>4212</v>
      </c>
      <c r="B131" s="28" t="s">
        <v>4213</v>
      </c>
      <c r="C131" s="41" t="s">
        <v>4214</v>
      </c>
      <c r="E131" s="42">
        <v>46079</v>
      </c>
      <c r="F131" s="43" t="s">
        <v>4548</v>
      </c>
      <c r="G131" s="28">
        <v>8</v>
      </c>
      <c r="H131" s="28" t="s">
        <v>227</v>
      </c>
      <c r="I131" s="43" t="s">
        <v>3922</v>
      </c>
      <c r="J131" s="41" t="s">
        <v>29</v>
      </c>
      <c r="K131" s="43">
        <v>1035</v>
      </c>
      <c r="L131" s="28" t="s">
        <v>3836</v>
      </c>
      <c r="M131" s="28" t="s">
        <v>4337</v>
      </c>
      <c r="N131" s="28" t="s">
        <v>545</v>
      </c>
      <c r="O131" s="47" t="s">
        <v>4581</v>
      </c>
      <c r="P131" s="28">
        <f t="shared" si="2"/>
        <v>44</v>
      </c>
    </row>
    <row r="132" spans="1:16" s="28" customFormat="1" x14ac:dyDescent="0.25">
      <c r="A132" s="28" t="s">
        <v>4212</v>
      </c>
      <c r="B132" s="28" t="s">
        <v>4213</v>
      </c>
      <c r="C132" s="41" t="s">
        <v>4214</v>
      </c>
      <c r="E132" s="42">
        <v>46084</v>
      </c>
      <c r="F132" s="55" t="s">
        <v>4253</v>
      </c>
      <c r="G132" s="28">
        <v>39.049999999999997</v>
      </c>
      <c r="H132" s="28" t="s">
        <v>227</v>
      </c>
      <c r="I132" s="55" t="s">
        <v>21</v>
      </c>
      <c r="J132" s="41" t="s">
        <v>239</v>
      </c>
      <c r="K132" s="55">
        <v>6001</v>
      </c>
      <c r="L132" s="55" t="s">
        <v>3836</v>
      </c>
      <c r="M132" s="28" t="s">
        <v>4337</v>
      </c>
      <c r="N132" s="28" t="s">
        <v>545</v>
      </c>
      <c r="O132" s="47" t="s">
        <v>4582</v>
      </c>
      <c r="P132" s="28">
        <f t="shared" si="2"/>
        <v>37</v>
      </c>
    </row>
    <row r="133" spans="1:16" s="28" customFormat="1" x14ac:dyDescent="0.25">
      <c r="A133" s="28" t="s">
        <v>4212</v>
      </c>
      <c r="B133" s="28" t="s">
        <v>4213</v>
      </c>
      <c r="C133" s="41" t="s">
        <v>4214</v>
      </c>
      <c r="E133" s="42">
        <v>46084</v>
      </c>
      <c r="F133" s="55" t="s">
        <v>4526</v>
      </c>
      <c r="G133" s="28">
        <v>7.81</v>
      </c>
      <c r="H133" s="28" t="s">
        <v>227</v>
      </c>
      <c r="I133" s="55" t="s">
        <v>21</v>
      </c>
      <c r="J133" s="41" t="s">
        <v>239</v>
      </c>
      <c r="K133" s="55">
        <v>6001</v>
      </c>
      <c r="L133" s="55" t="s">
        <v>3836</v>
      </c>
      <c r="M133" s="28" t="s">
        <v>4337</v>
      </c>
      <c r="N133" s="28" t="s">
        <v>545</v>
      </c>
      <c r="O133" s="47"/>
      <c r="P133" s="28">
        <f t="shared" si="2"/>
        <v>41</v>
      </c>
    </row>
    <row r="134" spans="1:16" s="28" customFormat="1" x14ac:dyDescent="0.25">
      <c r="A134" s="28" t="s">
        <v>4212</v>
      </c>
      <c r="B134" s="28" t="s">
        <v>4213</v>
      </c>
      <c r="C134" s="41" t="s">
        <v>4214</v>
      </c>
      <c r="E134" s="42">
        <v>46084</v>
      </c>
      <c r="F134" s="55" t="s">
        <v>4253</v>
      </c>
      <c r="G134" s="28">
        <v>67.209999999999994</v>
      </c>
      <c r="H134" s="28" t="s">
        <v>227</v>
      </c>
      <c r="I134" s="55" t="s">
        <v>21</v>
      </c>
      <c r="J134" s="41" t="s">
        <v>239</v>
      </c>
      <c r="K134" s="55">
        <v>6001</v>
      </c>
      <c r="L134" s="55" t="s">
        <v>3836</v>
      </c>
      <c r="M134" s="28" t="s">
        <v>4337</v>
      </c>
      <c r="N134" s="28" t="s">
        <v>545</v>
      </c>
      <c r="O134" s="47"/>
      <c r="P134" s="28">
        <f t="shared" si="2"/>
        <v>37</v>
      </c>
    </row>
    <row r="135" spans="1:16" s="28" customFormat="1" x14ac:dyDescent="0.25">
      <c r="A135" s="28" t="s">
        <v>4212</v>
      </c>
      <c r="B135" s="28" t="s">
        <v>4213</v>
      </c>
      <c r="C135" s="41" t="s">
        <v>4214</v>
      </c>
      <c r="E135" s="42">
        <v>46085</v>
      </c>
      <c r="F135" s="55" t="s">
        <v>4253</v>
      </c>
      <c r="G135" s="28">
        <v>62.01</v>
      </c>
      <c r="H135" s="28" t="s">
        <v>227</v>
      </c>
      <c r="I135" s="55" t="s">
        <v>21</v>
      </c>
      <c r="J135" s="41" t="s">
        <v>239</v>
      </c>
      <c r="K135" s="55">
        <v>6001</v>
      </c>
      <c r="L135" s="55" t="s">
        <v>3836</v>
      </c>
      <c r="M135" s="28" t="s">
        <v>4337</v>
      </c>
      <c r="N135" s="28" t="s">
        <v>545</v>
      </c>
      <c r="O135" s="47"/>
      <c r="P135" s="28">
        <f t="shared" si="2"/>
        <v>37</v>
      </c>
    </row>
    <row r="136" spans="1:16" s="28" customFormat="1" x14ac:dyDescent="0.25">
      <c r="A136" s="28" t="s">
        <v>4222</v>
      </c>
      <c r="B136" s="28" t="s">
        <v>4223</v>
      </c>
      <c r="C136" s="41" t="s">
        <v>4224</v>
      </c>
      <c r="E136" s="42">
        <v>46057</v>
      </c>
      <c r="F136" s="61" t="s">
        <v>4584</v>
      </c>
      <c r="G136" s="55">
        <v>143.97999999999999</v>
      </c>
      <c r="H136" s="55" t="s">
        <v>227</v>
      </c>
      <c r="I136" s="55" t="s">
        <v>21</v>
      </c>
      <c r="J136" s="35" t="s">
        <v>239</v>
      </c>
      <c r="K136" s="55">
        <v>1016</v>
      </c>
      <c r="L136" s="55" t="s">
        <v>4137</v>
      </c>
      <c r="M136" s="28" t="s">
        <v>4337</v>
      </c>
      <c r="N136" s="28" t="s">
        <v>419</v>
      </c>
      <c r="O136" s="47"/>
      <c r="P136" s="28">
        <f t="shared" si="2"/>
        <v>45</v>
      </c>
    </row>
    <row r="137" spans="1:16" s="28" customFormat="1" x14ac:dyDescent="0.25">
      <c r="A137" s="28" t="s">
        <v>4222</v>
      </c>
      <c r="B137" s="28" t="s">
        <v>4223</v>
      </c>
      <c r="C137" s="41" t="s">
        <v>4224</v>
      </c>
      <c r="E137" s="42">
        <v>46057</v>
      </c>
      <c r="F137" s="61" t="s">
        <v>4583</v>
      </c>
      <c r="G137" s="55">
        <v>8</v>
      </c>
      <c r="H137" s="55" t="s">
        <v>227</v>
      </c>
      <c r="I137" s="61" t="s">
        <v>3922</v>
      </c>
      <c r="J137" s="35" t="s">
        <v>29</v>
      </c>
      <c r="K137" s="55">
        <v>1016</v>
      </c>
      <c r="L137" s="55" t="s">
        <v>4137</v>
      </c>
      <c r="M137" s="28" t="s">
        <v>4337</v>
      </c>
      <c r="N137" s="28" t="s">
        <v>419</v>
      </c>
      <c r="O137" s="47"/>
      <c r="P137" s="28">
        <f t="shared" si="2"/>
        <v>51</v>
      </c>
    </row>
    <row r="138" spans="1:16" s="28" customFormat="1" x14ac:dyDescent="0.25">
      <c r="A138" s="28" t="s">
        <v>4222</v>
      </c>
      <c r="B138" s="28" t="s">
        <v>4223</v>
      </c>
      <c r="C138" s="41" t="s">
        <v>4224</v>
      </c>
      <c r="E138" s="42">
        <v>46057</v>
      </c>
      <c r="F138" s="61" t="s">
        <v>4697</v>
      </c>
      <c r="G138" s="55">
        <v>1082.6600000000001</v>
      </c>
      <c r="H138" s="55" t="s">
        <v>227</v>
      </c>
      <c r="I138" s="55" t="s">
        <v>3864</v>
      </c>
      <c r="J138" s="35" t="s">
        <v>3618</v>
      </c>
      <c r="K138" s="55">
        <v>1016</v>
      </c>
      <c r="L138" s="55" t="s">
        <v>4137</v>
      </c>
      <c r="M138" s="28" t="s">
        <v>4337</v>
      </c>
      <c r="N138" s="28" t="s">
        <v>419</v>
      </c>
      <c r="O138" s="47"/>
      <c r="P138" s="28">
        <f t="shared" si="2"/>
        <v>52</v>
      </c>
    </row>
    <row r="139" spans="1:16" s="28" customFormat="1" x14ac:dyDescent="0.25">
      <c r="A139" s="28" t="s">
        <v>4222</v>
      </c>
      <c r="B139" s="28" t="s">
        <v>4223</v>
      </c>
      <c r="C139" s="41" t="s">
        <v>4224</v>
      </c>
      <c r="E139" s="42">
        <v>46059</v>
      </c>
      <c r="F139" s="61" t="s">
        <v>4586</v>
      </c>
      <c r="G139" s="55">
        <v>556.36</v>
      </c>
      <c r="H139" s="55" t="s">
        <v>227</v>
      </c>
      <c r="I139" s="55" t="s">
        <v>3594</v>
      </c>
      <c r="J139" s="35" t="s">
        <v>29</v>
      </c>
      <c r="K139" s="55">
        <v>2106</v>
      </c>
      <c r="L139" s="61" t="s">
        <v>18</v>
      </c>
      <c r="M139" s="28" t="s">
        <v>4337</v>
      </c>
      <c r="N139" s="28" t="s">
        <v>419</v>
      </c>
      <c r="O139" s="47"/>
      <c r="P139" s="28">
        <f t="shared" si="2"/>
        <v>45</v>
      </c>
    </row>
    <row r="140" spans="1:16" s="28" customFormat="1" x14ac:dyDescent="0.25">
      <c r="A140" s="28" t="s">
        <v>4222</v>
      </c>
      <c r="B140" s="28" t="s">
        <v>4223</v>
      </c>
      <c r="C140" s="41" t="s">
        <v>4224</v>
      </c>
      <c r="E140" s="42">
        <v>46059</v>
      </c>
      <c r="F140" s="61" t="s">
        <v>4585</v>
      </c>
      <c r="G140" s="55">
        <v>30</v>
      </c>
      <c r="H140" s="55" t="s">
        <v>227</v>
      </c>
      <c r="I140" s="61" t="s">
        <v>3594</v>
      </c>
      <c r="J140" s="35" t="s">
        <v>790</v>
      </c>
      <c r="K140" s="55">
        <v>2106</v>
      </c>
      <c r="L140" s="61" t="s">
        <v>18</v>
      </c>
      <c r="M140" s="28" t="s">
        <v>4337</v>
      </c>
      <c r="N140" s="28" t="s">
        <v>419</v>
      </c>
      <c r="O140" s="47"/>
      <c r="P140" s="28">
        <f t="shared" si="2"/>
        <v>53</v>
      </c>
    </row>
    <row r="141" spans="1:16" s="28" customFormat="1" x14ac:dyDescent="0.25">
      <c r="A141" s="28" t="s">
        <v>4222</v>
      </c>
      <c r="B141" s="28" t="s">
        <v>4223</v>
      </c>
      <c r="C141" s="41" t="s">
        <v>4224</v>
      </c>
      <c r="E141" s="42">
        <v>46059</v>
      </c>
      <c r="F141" s="61" t="s">
        <v>4588</v>
      </c>
      <c r="G141" s="55">
        <v>259</v>
      </c>
      <c r="H141" s="55" t="s">
        <v>227</v>
      </c>
      <c r="I141" s="55" t="s">
        <v>3843</v>
      </c>
      <c r="J141" s="35" t="s">
        <v>604</v>
      </c>
      <c r="K141" s="55">
        <v>2106</v>
      </c>
      <c r="L141" s="61" t="s">
        <v>18</v>
      </c>
      <c r="M141" s="28" t="s">
        <v>4337</v>
      </c>
      <c r="N141" s="28" t="s">
        <v>419</v>
      </c>
      <c r="O141" s="47"/>
      <c r="P141" s="28">
        <f t="shared" si="2"/>
        <v>55</v>
      </c>
    </row>
    <row r="142" spans="1:16" s="28" customFormat="1" x14ac:dyDescent="0.25">
      <c r="A142" s="28" t="s">
        <v>4222</v>
      </c>
      <c r="B142" s="28" t="s">
        <v>4223</v>
      </c>
      <c r="C142" s="41" t="s">
        <v>4224</v>
      </c>
      <c r="E142" s="42">
        <v>46059</v>
      </c>
      <c r="F142" s="61" t="s">
        <v>4589</v>
      </c>
      <c r="G142" s="55">
        <v>30</v>
      </c>
      <c r="H142" s="55" t="s">
        <v>227</v>
      </c>
      <c r="I142" s="55" t="s">
        <v>3843</v>
      </c>
      <c r="J142" s="35" t="s">
        <v>790</v>
      </c>
      <c r="K142" s="55">
        <v>2106</v>
      </c>
      <c r="L142" s="61" t="s">
        <v>18</v>
      </c>
      <c r="M142" s="28" t="s">
        <v>4337</v>
      </c>
      <c r="N142" s="28" t="s">
        <v>419</v>
      </c>
      <c r="O142" s="47"/>
      <c r="P142" s="28">
        <f t="shared" si="2"/>
        <v>59</v>
      </c>
    </row>
    <row r="143" spans="1:16" s="28" customFormat="1" x14ac:dyDescent="0.25">
      <c r="A143" s="28" t="s">
        <v>4222</v>
      </c>
      <c r="B143" s="28" t="s">
        <v>4223</v>
      </c>
      <c r="C143" s="41" t="s">
        <v>4224</v>
      </c>
      <c r="E143" s="42">
        <v>46065</v>
      </c>
      <c r="F143" s="61" t="s">
        <v>4590</v>
      </c>
      <c r="G143" s="55">
        <v>138</v>
      </c>
      <c r="H143" s="55" t="s">
        <v>227</v>
      </c>
      <c r="I143" s="55" t="s">
        <v>3594</v>
      </c>
      <c r="J143" s="35" t="s">
        <v>29</v>
      </c>
      <c r="K143" s="55">
        <v>2106</v>
      </c>
      <c r="L143" s="61" t="s">
        <v>18</v>
      </c>
      <c r="M143" s="28" t="s">
        <v>4337</v>
      </c>
      <c r="N143" s="28" t="s">
        <v>419</v>
      </c>
      <c r="O143" s="47" t="s">
        <v>4591</v>
      </c>
      <c r="P143" s="28">
        <f t="shared" si="2"/>
        <v>54</v>
      </c>
    </row>
    <row r="144" spans="1:16" s="28" customFormat="1" x14ac:dyDescent="0.25">
      <c r="A144" s="28" t="s">
        <v>4222</v>
      </c>
      <c r="B144" s="28" t="s">
        <v>4223</v>
      </c>
      <c r="C144" s="41" t="s">
        <v>4224</v>
      </c>
      <c r="E144" s="42">
        <v>46065</v>
      </c>
      <c r="F144" s="61" t="s">
        <v>4592</v>
      </c>
      <c r="G144" s="55">
        <v>30</v>
      </c>
      <c r="H144" s="55" t="s">
        <v>227</v>
      </c>
      <c r="I144" s="61" t="s">
        <v>3594</v>
      </c>
      <c r="J144" s="35" t="s">
        <v>790</v>
      </c>
      <c r="K144" s="55">
        <v>2106</v>
      </c>
      <c r="L144" s="61" t="s">
        <v>18</v>
      </c>
      <c r="M144" s="28" t="s">
        <v>4337</v>
      </c>
      <c r="N144" s="28" t="s">
        <v>419</v>
      </c>
      <c r="O144" s="47"/>
      <c r="P144" s="28">
        <f t="shared" si="2"/>
        <v>58</v>
      </c>
    </row>
    <row r="145" spans="1:16" s="28" customFormat="1" ht="14.25" customHeight="1" x14ac:dyDescent="0.25">
      <c r="A145" s="28" t="s">
        <v>4222</v>
      </c>
      <c r="B145" s="28" t="s">
        <v>4223</v>
      </c>
      <c r="C145" s="41" t="s">
        <v>4224</v>
      </c>
      <c r="E145" s="42">
        <v>46070</v>
      </c>
      <c r="F145" s="61" t="s">
        <v>4593</v>
      </c>
      <c r="G145" s="55">
        <v>29.98</v>
      </c>
      <c r="H145" s="55" t="s">
        <v>227</v>
      </c>
      <c r="I145" s="55" t="s">
        <v>21</v>
      </c>
      <c r="J145" s="35" t="s">
        <v>239</v>
      </c>
      <c r="K145" s="55">
        <v>2106</v>
      </c>
      <c r="L145" s="61" t="s">
        <v>18</v>
      </c>
      <c r="M145" s="28" t="s">
        <v>4337</v>
      </c>
      <c r="N145" s="28" t="s">
        <v>419</v>
      </c>
      <c r="O145" s="47"/>
      <c r="P145" s="28">
        <f t="shared" si="2"/>
        <v>45</v>
      </c>
    </row>
    <row r="146" spans="1:16" s="28" customFormat="1" x14ac:dyDescent="0.25">
      <c r="A146" s="28" t="s">
        <v>4222</v>
      </c>
      <c r="B146" s="28" t="s">
        <v>4223</v>
      </c>
      <c r="C146" s="41" t="s">
        <v>4224</v>
      </c>
      <c r="E146" s="42">
        <v>46070</v>
      </c>
      <c r="F146" s="61" t="s">
        <v>4594</v>
      </c>
      <c r="G146" s="55">
        <v>44.97</v>
      </c>
      <c r="H146" s="55" t="s">
        <v>227</v>
      </c>
      <c r="I146" s="55" t="s">
        <v>21</v>
      </c>
      <c r="J146" s="35" t="s">
        <v>239</v>
      </c>
      <c r="K146" s="55">
        <v>2106</v>
      </c>
      <c r="L146" s="61" t="s">
        <v>18</v>
      </c>
      <c r="M146" s="28" t="s">
        <v>4337</v>
      </c>
      <c r="N146" s="28" t="s">
        <v>419</v>
      </c>
      <c r="O146" s="47"/>
      <c r="P146" s="28">
        <f t="shared" si="2"/>
        <v>49</v>
      </c>
    </row>
    <row r="147" spans="1:16" s="28" customFormat="1" x14ac:dyDescent="0.25">
      <c r="A147" s="28" t="s">
        <v>4222</v>
      </c>
      <c r="B147" s="28" t="s">
        <v>4223</v>
      </c>
      <c r="C147" s="41" t="s">
        <v>4224</v>
      </c>
      <c r="E147" s="42">
        <v>46070</v>
      </c>
      <c r="F147" s="61" t="s">
        <v>4595</v>
      </c>
      <c r="G147" s="55">
        <v>50.99</v>
      </c>
      <c r="H147" s="55" t="s">
        <v>227</v>
      </c>
      <c r="I147" s="55" t="s">
        <v>21</v>
      </c>
      <c r="J147" s="35" t="s">
        <v>239</v>
      </c>
      <c r="K147" s="55">
        <v>2106</v>
      </c>
      <c r="L147" s="61" t="s">
        <v>18</v>
      </c>
      <c r="M147" s="28" t="s">
        <v>4337</v>
      </c>
      <c r="N147" s="28" t="s">
        <v>419</v>
      </c>
      <c r="O147" s="47"/>
      <c r="P147" s="28">
        <f t="shared" si="2"/>
        <v>44</v>
      </c>
    </row>
    <row r="148" spans="1:16" s="28" customFormat="1" x14ac:dyDescent="0.25">
      <c r="A148" s="28" t="s">
        <v>4222</v>
      </c>
      <c r="B148" s="28" t="s">
        <v>4223</v>
      </c>
      <c r="C148" s="41" t="s">
        <v>4224</v>
      </c>
      <c r="E148" s="42">
        <v>46071</v>
      </c>
      <c r="F148" s="61" t="s">
        <v>4587</v>
      </c>
      <c r="G148" s="55">
        <v>23.44</v>
      </c>
      <c r="H148" s="55" t="s">
        <v>227</v>
      </c>
      <c r="I148" s="55" t="s">
        <v>16</v>
      </c>
      <c r="J148" s="35" t="s">
        <v>2835</v>
      </c>
      <c r="K148" s="55">
        <v>2106</v>
      </c>
      <c r="L148" s="61" t="s">
        <v>18</v>
      </c>
      <c r="M148" s="28" t="s">
        <v>4337</v>
      </c>
      <c r="N148" s="28" t="s">
        <v>419</v>
      </c>
      <c r="O148" s="47"/>
      <c r="P148" s="28">
        <f t="shared" si="2"/>
        <v>55</v>
      </c>
    </row>
    <row r="149" spans="1:16" s="28" customFormat="1" x14ac:dyDescent="0.25">
      <c r="A149" s="28" t="s">
        <v>4222</v>
      </c>
      <c r="B149" s="28" t="s">
        <v>4223</v>
      </c>
      <c r="C149" s="41" t="s">
        <v>4224</v>
      </c>
      <c r="E149" s="42">
        <v>46071</v>
      </c>
      <c r="F149" s="61" t="s">
        <v>4587</v>
      </c>
      <c r="G149" s="55">
        <v>55.58</v>
      </c>
      <c r="H149" s="55" t="s">
        <v>227</v>
      </c>
      <c r="I149" s="55" t="s">
        <v>16</v>
      </c>
      <c r="J149" s="35" t="s">
        <v>4418</v>
      </c>
      <c r="K149" s="55">
        <v>2106</v>
      </c>
      <c r="L149" s="61" t="s">
        <v>18</v>
      </c>
      <c r="M149" s="28" t="s">
        <v>4337</v>
      </c>
      <c r="N149" s="28" t="s">
        <v>419</v>
      </c>
      <c r="O149" s="47"/>
      <c r="P149" s="28">
        <f t="shared" si="2"/>
        <v>56</v>
      </c>
    </row>
    <row r="150" spans="1:16" s="28" customFormat="1" x14ac:dyDescent="0.25">
      <c r="A150" s="28" t="s">
        <v>4222</v>
      </c>
      <c r="B150" s="28" t="s">
        <v>4223</v>
      </c>
      <c r="C150" s="41" t="s">
        <v>4224</v>
      </c>
      <c r="E150" s="42">
        <v>46072</v>
      </c>
      <c r="F150" s="61" t="s">
        <v>4596</v>
      </c>
      <c r="G150" s="55">
        <v>63.98</v>
      </c>
      <c r="H150" s="55" t="s">
        <v>227</v>
      </c>
      <c r="I150" s="55" t="s">
        <v>21</v>
      </c>
      <c r="J150" s="35" t="s">
        <v>239</v>
      </c>
      <c r="K150" s="55">
        <v>2106</v>
      </c>
      <c r="L150" s="61" t="s">
        <v>18</v>
      </c>
      <c r="M150" s="28" t="s">
        <v>4337</v>
      </c>
      <c r="N150" s="28" t="s">
        <v>419</v>
      </c>
      <c r="O150" s="47"/>
      <c r="P150" s="28">
        <f t="shared" si="2"/>
        <v>44</v>
      </c>
    </row>
    <row r="151" spans="1:16" s="28" customFormat="1" x14ac:dyDescent="0.25">
      <c r="A151" s="28" t="s">
        <v>4222</v>
      </c>
      <c r="B151" s="28" t="s">
        <v>4223</v>
      </c>
      <c r="C151" s="41" t="s">
        <v>4224</v>
      </c>
      <c r="E151" s="42">
        <v>46072</v>
      </c>
      <c r="F151" s="61" t="s">
        <v>4597</v>
      </c>
      <c r="G151" s="55">
        <v>40.26</v>
      </c>
      <c r="H151" s="55" t="s">
        <v>227</v>
      </c>
      <c r="I151" s="55" t="s">
        <v>21</v>
      </c>
      <c r="J151" s="35" t="s">
        <v>239</v>
      </c>
      <c r="K151" s="55">
        <v>2106</v>
      </c>
      <c r="L151" s="61" t="s">
        <v>18</v>
      </c>
      <c r="M151" s="28" t="s">
        <v>4337</v>
      </c>
      <c r="N151" s="28" t="s">
        <v>419</v>
      </c>
      <c r="O151" s="47"/>
      <c r="P151" s="28">
        <f t="shared" si="2"/>
        <v>47</v>
      </c>
    </row>
    <row r="152" spans="1:16" s="28" customFormat="1" x14ac:dyDescent="0.25">
      <c r="A152" s="28" t="s">
        <v>4222</v>
      </c>
      <c r="B152" s="28" t="s">
        <v>4223</v>
      </c>
      <c r="C152" s="41" t="s">
        <v>4224</v>
      </c>
      <c r="E152" s="42">
        <v>46083</v>
      </c>
      <c r="F152" s="55" t="s">
        <v>4225</v>
      </c>
      <c r="G152" s="55">
        <v>1799.72</v>
      </c>
      <c r="H152" s="55" t="s">
        <v>227</v>
      </c>
      <c r="I152" s="55" t="s">
        <v>3594</v>
      </c>
      <c r="J152" s="35" t="s">
        <v>29</v>
      </c>
      <c r="K152" s="55">
        <v>1016</v>
      </c>
      <c r="L152" s="55" t="s">
        <v>4137</v>
      </c>
      <c r="M152" s="28" t="s">
        <v>4337</v>
      </c>
      <c r="N152" s="28" t="s">
        <v>419</v>
      </c>
      <c r="O152" s="47"/>
      <c r="P152" s="28">
        <f t="shared" si="2"/>
        <v>48</v>
      </c>
    </row>
    <row r="153" spans="1:16" s="28" customFormat="1" x14ac:dyDescent="0.25">
      <c r="A153" s="28" t="s">
        <v>4222</v>
      </c>
      <c r="B153" s="28" t="s">
        <v>4223</v>
      </c>
      <c r="C153" s="41" t="s">
        <v>4224</v>
      </c>
      <c r="E153" s="42">
        <v>46083</v>
      </c>
      <c r="F153" s="55" t="s">
        <v>4226</v>
      </c>
      <c r="G153" s="55">
        <v>30</v>
      </c>
      <c r="H153" s="55" t="s">
        <v>227</v>
      </c>
      <c r="I153" s="61" t="s">
        <v>3594</v>
      </c>
      <c r="J153" s="35" t="s">
        <v>790</v>
      </c>
      <c r="K153" s="55">
        <v>1016</v>
      </c>
      <c r="L153" s="55" t="s">
        <v>4137</v>
      </c>
      <c r="M153" s="28" t="s">
        <v>4337</v>
      </c>
      <c r="N153" s="28" t="s">
        <v>419</v>
      </c>
      <c r="O153" s="47"/>
      <c r="P153" s="28">
        <f t="shared" si="2"/>
        <v>56</v>
      </c>
    </row>
    <row r="154" spans="1:16" s="28" customFormat="1" x14ac:dyDescent="0.25">
      <c r="A154" s="28" t="s">
        <v>4248</v>
      </c>
      <c r="B154" s="28" t="s">
        <v>4249</v>
      </c>
      <c r="C154" s="41" t="s">
        <v>4250</v>
      </c>
      <c r="E154" s="42">
        <v>46058</v>
      </c>
      <c r="F154" s="55" t="s">
        <v>4253</v>
      </c>
      <c r="G154" s="28">
        <v>27.98</v>
      </c>
      <c r="H154" s="28" t="s">
        <v>227</v>
      </c>
      <c r="I154" s="55" t="s">
        <v>21</v>
      </c>
      <c r="J154" s="41" t="s">
        <v>239</v>
      </c>
      <c r="K154" s="55">
        <v>4001</v>
      </c>
      <c r="L154" s="55" t="s">
        <v>3855</v>
      </c>
      <c r="M154" s="28" t="s">
        <v>4337</v>
      </c>
      <c r="N154" s="28" t="s">
        <v>299</v>
      </c>
      <c r="O154" s="47"/>
      <c r="P154" s="28">
        <f t="shared" si="2"/>
        <v>37</v>
      </c>
    </row>
    <row r="155" spans="1:16" s="28" customFormat="1" ht="15" customHeight="1" x14ac:dyDescent="0.25">
      <c r="A155" s="28" t="s">
        <v>4248</v>
      </c>
      <c r="B155" s="28" t="s">
        <v>4249</v>
      </c>
      <c r="C155" s="41" t="s">
        <v>4250</v>
      </c>
      <c r="E155" s="42">
        <v>46059</v>
      </c>
      <c r="F155" s="61" t="s">
        <v>4759</v>
      </c>
      <c r="G155" s="55">
        <v>16.34</v>
      </c>
      <c r="H155" s="55" t="s">
        <v>227</v>
      </c>
      <c r="I155" s="61" t="s">
        <v>4093</v>
      </c>
      <c r="J155" s="35" t="s">
        <v>735</v>
      </c>
      <c r="K155" s="61">
        <v>4001</v>
      </c>
      <c r="L155" s="55" t="s">
        <v>3855</v>
      </c>
      <c r="M155" s="28" t="s">
        <v>4337</v>
      </c>
      <c r="N155" s="28" t="s">
        <v>299</v>
      </c>
      <c r="O155" s="48" t="s">
        <v>4775</v>
      </c>
      <c r="P155" s="28">
        <f t="shared" si="2"/>
        <v>44</v>
      </c>
    </row>
    <row r="156" spans="1:16" s="28" customFormat="1" x14ac:dyDescent="0.25">
      <c r="A156" s="28" t="s">
        <v>4248</v>
      </c>
      <c r="B156" s="28" t="s">
        <v>4249</v>
      </c>
      <c r="C156" s="41" t="s">
        <v>4250</v>
      </c>
      <c r="E156" s="42">
        <v>46062</v>
      </c>
      <c r="F156" s="61" t="s">
        <v>4598</v>
      </c>
      <c r="G156" s="55">
        <v>16.100000000000001</v>
      </c>
      <c r="H156" s="55" t="s">
        <v>227</v>
      </c>
      <c r="I156" s="55" t="s">
        <v>16</v>
      </c>
      <c r="J156" s="35" t="s">
        <v>4350</v>
      </c>
      <c r="K156" s="55">
        <v>4001</v>
      </c>
      <c r="L156" s="55" t="s">
        <v>3855</v>
      </c>
      <c r="M156" s="28" t="s">
        <v>4337</v>
      </c>
      <c r="N156" s="28" t="s">
        <v>299</v>
      </c>
      <c r="O156" s="47"/>
      <c r="P156" s="28">
        <f t="shared" si="2"/>
        <v>46</v>
      </c>
    </row>
    <row r="157" spans="1:16" s="28" customFormat="1" x14ac:dyDescent="0.25">
      <c r="A157" s="28" t="s">
        <v>4248</v>
      </c>
      <c r="B157" s="28" t="s">
        <v>4249</v>
      </c>
      <c r="C157" s="41" t="s">
        <v>4250</v>
      </c>
      <c r="E157" s="42">
        <v>46063</v>
      </c>
      <c r="F157" s="55" t="s">
        <v>4253</v>
      </c>
      <c r="G157" s="28">
        <v>35.14</v>
      </c>
      <c r="H157" s="28" t="s">
        <v>227</v>
      </c>
      <c r="I157" s="55" t="s">
        <v>21</v>
      </c>
      <c r="J157" s="41" t="s">
        <v>239</v>
      </c>
      <c r="K157" s="55">
        <v>4001</v>
      </c>
      <c r="L157" s="55" t="s">
        <v>3855</v>
      </c>
      <c r="M157" s="28" t="s">
        <v>4337</v>
      </c>
      <c r="N157" s="28" t="s">
        <v>299</v>
      </c>
      <c r="O157" s="47"/>
      <c r="P157" s="28">
        <f t="shared" si="2"/>
        <v>37</v>
      </c>
    </row>
    <row r="158" spans="1:16" s="28" customFormat="1" x14ac:dyDescent="0.25">
      <c r="A158" s="28" t="s">
        <v>4248</v>
      </c>
      <c r="B158" s="28" t="s">
        <v>4249</v>
      </c>
      <c r="C158" s="41" t="s">
        <v>4250</v>
      </c>
      <c r="E158" s="42">
        <v>46064</v>
      </c>
      <c r="F158" s="43" t="s">
        <v>4599</v>
      </c>
      <c r="G158" s="28">
        <v>2236.27</v>
      </c>
      <c r="H158" s="28" t="s">
        <v>227</v>
      </c>
      <c r="I158" s="28" t="s">
        <v>3594</v>
      </c>
      <c r="J158" s="41" t="s">
        <v>29</v>
      </c>
      <c r="K158" s="28">
        <v>1035</v>
      </c>
      <c r="L158" s="28" t="s">
        <v>3855</v>
      </c>
      <c r="M158" s="28" t="s">
        <v>4337</v>
      </c>
      <c r="N158" s="28" t="s">
        <v>299</v>
      </c>
      <c r="O158" s="47"/>
      <c r="P158" s="28">
        <f t="shared" si="2"/>
        <v>38</v>
      </c>
    </row>
    <row r="159" spans="1:16" s="28" customFormat="1" x14ac:dyDescent="0.25">
      <c r="A159" s="28" t="s">
        <v>4248</v>
      </c>
      <c r="B159" s="28" t="s">
        <v>4249</v>
      </c>
      <c r="C159" s="41" t="s">
        <v>4250</v>
      </c>
      <c r="E159" s="42">
        <v>46064</v>
      </c>
      <c r="F159" s="55" t="s">
        <v>4253</v>
      </c>
      <c r="G159" s="28">
        <v>30.43</v>
      </c>
      <c r="H159" s="28" t="s">
        <v>227</v>
      </c>
      <c r="I159" s="55" t="s">
        <v>21</v>
      </c>
      <c r="J159" s="41" t="s">
        <v>239</v>
      </c>
      <c r="K159" s="55">
        <v>4001</v>
      </c>
      <c r="L159" s="55" t="s">
        <v>3855</v>
      </c>
      <c r="M159" s="28" t="s">
        <v>4337</v>
      </c>
      <c r="N159" s="28" t="s">
        <v>299</v>
      </c>
      <c r="O159" s="47"/>
      <c r="P159" s="28">
        <f t="shared" si="2"/>
        <v>37</v>
      </c>
    </row>
    <row r="160" spans="1:16" s="28" customFormat="1" ht="30" x14ac:dyDescent="0.25">
      <c r="A160" s="28" t="s">
        <v>4248</v>
      </c>
      <c r="B160" s="28" t="s">
        <v>4249</v>
      </c>
      <c r="C160" s="41" t="s">
        <v>4250</v>
      </c>
      <c r="E160" s="42">
        <v>46064</v>
      </c>
      <c r="F160" s="43" t="s">
        <v>4600</v>
      </c>
      <c r="G160" s="28">
        <v>-2108.56</v>
      </c>
      <c r="H160" s="28" t="s">
        <v>227</v>
      </c>
      <c r="I160" s="28" t="s">
        <v>3594</v>
      </c>
      <c r="J160" s="41" t="s">
        <v>41</v>
      </c>
      <c r="K160" s="28">
        <v>1035</v>
      </c>
      <c r="L160" s="28" t="s">
        <v>3855</v>
      </c>
      <c r="M160" s="28" t="s">
        <v>4337</v>
      </c>
      <c r="N160" s="28" t="s">
        <v>299</v>
      </c>
      <c r="O160" s="47" t="s">
        <v>4601</v>
      </c>
      <c r="P160" s="28">
        <f t="shared" si="2"/>
        <v>58</v>
      </c>
    </row>
    <row r="161" spans="1:16" s="28" customFormat="1" x14ac:dyDescent="0.25">
      <c r="A161" s="28" t="s">
        <v>4248</v>
      </c>
      <c r="B161" s="28" t="s">
        <v>4249</v>
      </c>
      <c r="C161" s="41" t="s">
        <v>4250</v>
      </c>
      <c r="E161" s="42">
        <v>46064</v>
      </c>
      <c r="F161" s="43" t="s">
        <v>4602</v>
      </c>
      <c r="G161" s="28">
        <v>30</v>
      </c>
      <c r="H161" s="28" t="s">
        <v>227</v>
      </c>
      <c r="I161" s="28" t="s">
        <v>3594</v>
      </c>
      <c r="J161" s="41" t="s">
        <v>790</v>
      </c>
      <c r="K161" s="28">
        <v>1035</v>
      </c>
      <c r="L161" s="28" t="s">
        <v>3855</v>
      </c>
      <c r="M161" s="28" t="s">
        <v>4337</v>
      </c>
      <c r="N161" s="28" t="s">
        <v>299</v>
      </c>
      <c r="O161" s="47"/>
      <c r="P161" s="28">
        <f t="shared" si="2"/>
        <v>46</v>
      </c>
    </row>
    <row r="162" spans="1:16" s="28" customFormat="1" x14ac:dyDescent="0.25">
      <c r="A162" s="28" t="s">
        <v>4248</v>
      </c>
      <c r="B162" s="28" t="s">
        <v>4249</v>
      </c>
      <c r="C162" s="41" t="s">
        <v>4250</v>
      </c>
      <c r="E162" s="42">
        <v>46064</v>
      </c>
      <c r="F162" s="43" t="s">
        <v>4603</v>
      </c>
      <c r="G162" s="28">
        <v>30</v>
      </c>
      <c r="H162" s="28" t="s">
        <v>227</v>
      </c>
      <c r="I162" s="28" t="s">
        <v>3594</v>
      </c>
      <c r="J162" s="41" t="s">
        <v>790</v>
      </c>
      <c r="K162" s="28">
        <v>1035</v>
      </c>
      <c r="L162" s="28" t="s">
        <v>3855</v>
      </c>
      <c r="M162" s="28" t="s">
        <v>4337</v>
      </c>
      <c r="N162" s="28" t="s">
        <v>299</v>
      </c>
      <c r="O162" s="47"/>
      <c r="P162" s="28">
        <f t="shared" si="2"/>
        <v>51</v>
      </c>
    </row>
    <row r="163" spans="1:16" s="28" customFormat="1" x14ac:dyDescent="0.25">
      <c r="A163" s="28" t="s">
        <v>4248</v>
      </c>
      <c r="B163" s="28" t="s">
        <v>4249</v>
      </c>
      <c r="C163" s="41" t="s">
        <v>4250</v>
      </c>
      <c r="E163" s="42">
        <v>46065</v>
      </c>
      <c r="F163" s="55" t="s">
        <v>4253</v>
      </c>
      <c r="G163" s="28">
        <v>37.32</v>
      </c>
      <c r="H163" s="28" t="s">
        <v>227</v>
      </c>
      <c r="I163" s="55" t="s">
        <v>21</v>
      </c>
      <c r="J163" s="41" t="s">
        <v>239</v>
      </c>
      <c r="K163" s="55">
        <v>4001</v>
      </c>
      <c r="L163" s="55" t="s">
        <v>3855</v>
      </c>
      <c r="M163" s="28" t="s">
        <v>4337</v>
      </c>
      <c r="N163" s="28" t="s">
        <v>299</v>
      </c>
      <c r="O163" s="47"/>
      <c r="P163" s="28">
        <f t="shared" si="2"/>
        <v>37</v>
      </c>
    </row>
    <row r="164" spans="1:16" s="28" customFormat="1" x14ac:dyDescent="0.25">
      <c r="A164" s="28" t="s">
        <v>4248</v>
      </c>
      <c r="B164" s="28" t="s">
        <v>4249</v>
      </c>
      <c r="C164" s="41" t="s">
        <v>4250</v>
      </c>
      <c r="E164" s="42">
        <v>46065</v>
      </c>
      <c r="F164" s="61" t="s">
        <v>4604</v>
      </c>
      <c r="G164" s="55">
        <v>19.09</v>
      </c>
      <c r="H164" s="55" t="s">
        <v>227</v>
      </c>
      <c r="I164" s="55" t="s">
        <v>16</v>
      </c>
      <c r="J164" s="35" t="s">
        <v>3185</v>
      </c>
      <c r="K164" s="55">
        <v>4001</v>
      </c>
      <c r="L164" s="55" t="s">
        <v>3855</v>
      </c>
      <c r="M164" s="28" t="s">
        <v>4337</v>
      </c>
      <c r="N164" s="28" t="s">
        <v>299</v>
      </c>
      <c r="O164" s="47" t="s">
        <v>4605</v>
      </c>
      <c r="P164" s="28">
        <f t="shared" si="2"/>
        <v>44</v>
      </c>
    </row>
    <row r="165" spans="1:16" s="28" customFormat="1" x14ac:dyDescent="0.25">
      <c r="A165" s="28" t="s">
        <v>4248</v>
      </c>
      <c r="B165" s="28" t="s">
        <v>4249</v>
      </c>
      <c r="C165" s="41" t="s">
        <v>4250</v>
      </c>
      <c r="E165" s="42">
        <v>46066</v>
      </c>
      <c r="F165" s="55" t="s">
        <v>4253</v>
      </c>
      <c r="G165" s="28">
        <v>38.44</v>
      </c>
      <c r="H165" s="28" t="s">
        <v>227</v>
      </c>
      <c r="I165" s="55" t="s">
        <v>21</v>
      </c>
      <c r="J165" s="41" t="s">
        <v>239</v>
      </c>
      <c r="K165" s="55">
        <v>4001</v>
      </c>
      <c r="L165" s="55" t="s">
        <v>3855</v>
      </c>
      <c r="M165" s="28" t="s">
        <v>4337</v>
      </c>
      <c r="N165" s="28" t="s">
        <v>299</v>
      </c>
      <c r="O165" s="47"/>
      <c r="P165" s="28">
        <f t="shared" si="2"/>
        <v>37</v>
      </c>
    </row>
    <row r="166" spans="1:16" s="28" customFormat="1" x14ac:dyDescent="0.25">
      <c r="A166" s="28" t="s">
        <v>4248</v>
      </c>
      <c r="B166" s="28" t="s">
        <v>4249</v>
      </c>
      <c r="C166" s="41" t="s">
        <v>4250</v>
      </c>
      <c r="E166" s="42">
        <v>46071</v>
      </c>
      <c r="F166" s="55" t="s">
        <v>4253</v>
      </c>
      <c r="G166" s="28">
        <v>67.930000000000007</v>
      </c>
      <c r="H166" s="28" t="s">
        <v>227</v>
      </c>
      <c r="I166" s="55" t="s">
        <v>21</v>
      </c>
      <c r="J166" s="41" t="s">
        <v>239</v>
      </c>
      <c r="K166" s="55">
        <v>4001</v>
      </c>
      <c r="L166" s="55" t="s">
        <v>3855</v>
      </c>
      <c r="M166" s="28" t="s">
        <v>4337</v>
      </c>
      <c r="N166" s="28" t="s">
        <v>299</v>
      </c>
      <c r="O166" s="47"/>
      <c r="P166" s="28">
        <f t="shared" si="2"/>
        <v>37</v>
      </c>
    </row>
    <row r="167" spans="1:16" s="28" customFormat="1" x14ac:dyDescent="0.25">
      <c r="A167" s="28" t="s">
        <v>4248</v>
      </c>
      <c r="B167" s="28" t="s">
        <v>4249</v>
      </c>
      <c r="C167" s="41" t="s">
        <v>4250</v>
      </c>
      <c r="E167" s="42">
        <v>46072</v>
      </c>
      <c r="F167" s="55" t="s">
        <v>4253</v>
      </c>
      <c r="G167" s="28">
        <v>51.39</v>
      </c>
      <c r="H167" s="28" t="s">
        <v>227</v>
      </c>
      <c r="I167" s="55" t="s">
        <v>21</v>
      </c>
      <c r="J167" s="41" t="s">
        <v>239</v>
      </c>
      <c r="K167" s="55">
        <v>4001</v>
      </c>
      <c r="L167" s="55" t="s">
        <v>3855</v>
      </c>
      <c r="M167" s="28" t="s">
        <v>4337</v>
      </c>
      <c r="N167" s="28" t="s">
        <v>299</v>
      </c>
      <c r="O167" s="47"/>
      <c r="P167" s="28">
        <f t="shared" si="2"/>
        <v>37</v>
      </c>
    </row>
    <row r="168" spans="1:16" s="28" customFormat="1" x14ac:dyDescent="0.25">
      <c r="A168" s="28" t="s">
        <v>4248</v>
      </c>
      <c r="B168" s="28" t="s">
        <v>4249</v>
      </c>
      <c r="C168" s="41" t="s">
        <v>4250</v>
      </c>
      <c r="E168" s="42">
        <v>46073</v>
      </c>
      <c r="F168" s="55" t="s">
        <v>4253</v>
      </c>
      <c r="G168" s="28">
        <v>24.63</v>
      </c>
      <c r="H168" s="28" t="s">
        <v>227</v>
      </c>
      <c r="I168" s="55" t="s">
        <v>21</v>
      </c>
      <c r="J168" s="41" t="s">
        <v>239</v>
      </c>
      <c r="K168" s="55">
        <v>4001</v>
      </c>
      <c r="L168" s="55" t="s">
        <v>3855</v>
      </c>
      <c r="M168" s="28" t="s">
        <v>4337</v>
      </c>
      <c r="N168" s="28" t="s">
        <v>299</v>
      </c>
      <c r="O168" s="47"/>
      <c r="P168" s="28">
        <f t="shared" si="2"/>
        <v>37</v>
      </c>
    </row>
    <row r="169" spans="1:16" s="28" customFormat="1" x14ac:dyDescent="0.25">
      <c r="A169" s="28" t="s">
        <v>4248</v>
      </c>
      <c r="B169" s="28" t="s">
        <v>4249</v>
      </c>
      <c r="C169" s="41" t="s">
        <v>4250</v>
      </c>
      <c r="E169" s="42">
        <v>46074</v>
      </c>
      <c r="F169" s="43" t="s">
        <v>4562</v>
      </c>
      <c r="G169" s="28">
        <v>160.87</v>
      </c>
      <c r="H169" s="28" t="s">
        <v>227</v>
      </c>
      <c r="I169" s="28" t="s">
        <v>21</v>
      </c>
      <c r="J169" s="41" t="s">
        <v>239</v>
      </c>
      <c r="K169" s="28">
        <v>1035</v>
      </c>
      <c r="L169" s="28" t="s">
        <v>3855</v>
      </c>
      <c r="M169" s="28" t="s">
        <v>4337</v>
      </c>
      <c r="N169" s="28" t="s">
        <v>299</v>
      </c>
      <c r="O169" s="47"/>
      <c r="P169" s="28">
        <f t="shared" si="2"/>
        <v>37</v>
      </c>
    </row>
    <row r="170" spans="1:16" s="28" customFormat="1" ht="30" x14ac:dyDescent="0.25">
      <c r="A170" s="28" t="s">
        <v>4248</v>
      </c>
      <c r="B170" s="28" t="s">
        <v>4249</v>
      </c>
      <c r="C170" s="41" t="s">
        <v>4250</v>
      </c>
      <c r="E170" s="42">
        <v>46078</v>
      </c>
      <c r="F170" s="61" t="s">
        <v>4606</v>
      </c>
      <c r="G170" s="55">
        <v>311.10000000000002</v>
      </c>
      <c r="H170" s="55" t="s">
        <v>227</v>
      </c>
      <c r="I170" s="55" t="s">
        <v>4500</v>
      </c>
      <c r="J170" s="35" t="s">
        <v>4465</v>
      </c>
      <c r="K170" s="55">
        <v>1035</v>
      </c>
      <c r="L170" s="55" t="s">
        <v>3855</v>
      </c>
      <c r="M170" s="28" t="s">
        <v>4337</v>
      </c>
      <c r="N170" s="28" t="s">
        <v>299</v>
      </c>
      <c r="O170" s="47" t="s">
        <v>4607</v>
      </c>
      <c r="P170" s="28">
        <f t="shared" si="2"/>
        <v>46</v>
      </c>
    </row>
    <row r="171" spans="1:16" s="28" customFormat="1" x14ac:dyDescent="0.25">
      <c r="A171" s="28" t="s">
        <v>4248</v>
      </c>
      <c r="B171" s="28" t="s">
        <v>4249</v>
      </c>
      <c r="C171" s="41" t="s">
        <v>4250</v>
      </c>
      <c r="E171" s="42">
        <v>46079</v>
      </c>
      <c r="F171" s="43" t="s">
        <v>4540</v>
      </c>
      <c r="G171" s="28">
        <v>17.82</v>
      </c>
      <c r="H171" s="28" t="s">
        <v>227</v>
      </c>
      <c r="I171" s="28" t="s">
        <v>16</v>
      </c>
      <c r="J171" s="41" t="s">
        <v>4343</v>
      </c>
      <c r="K171" s="28">
        <v>1035</v>
      </c>
      <c r="L171" s="28" t="s">
        <v>3855</v>
      </c>
      <c r="M171" s="28" t="s">
        <v>4337</v>
      </c>
      <c r="N171" s="28" t="s">
        <v>299</v>
      </c>
      <c r="O171" s="47"/>
      <c r="P171" s="28">
        <f t="shared" si="2"/>
        <v>48</v>
      </c>
    </row>
    <row r="172" spans="1:16" s="28" customFormat="1" x14ac:dyDescent="0.25">
      <c r="A172" s="28" t="s">
        <v>4248</v>
      </c>
      <c r="B172" s="28" t="s">
        <v>4249</v>
      </c>
      <c r="C172" s="41" t="s">
        <v>4250</v>
      </c>
      <c r="E172" s="42">
        <v>46079</v>
      </c>
      <c r="F172" s="43" t="s">
        <v>4548</v>
      </c>
      <c r="G172" s="28">
        <v>8</v>
      </c>
      <c r="H172" s="28" t="s">
        <v>227</v>
      </c>
      <c r="I172" s="43" t="s">
        <v>3922</v>
      </c>
      <c r="J172" s="41" t="s">
        <v>29</v>
      </c>
      <c r="K172" s="43">
        <v>1035</v>
      </c>
      <c r="L172" s="28" t="s">
        <v>3855</v>
      </c>
      <c r="M172" s="28" t="s">
        <v>4337</v>
      </c>
      <c r="N172" s="28" t="s">
        <v>299</v>
      </c>
      <c r="O172" s="47" t="s">
        <v>4581</v>
      </c>
      <c r="P172" s="28">
        <f t="shared" si="2"/>
        <v>44</v>
      </c>
    </row>
    <row r="173" spans="1:16" s="28" customFormat="1" x14ac:dyDescent="0.25">
      <c r="A173" s="28" t="s">
        <v>4248</v>
      </c>
      <c r="B173" s="28" t="s">
        <v>4249</v>
      </c>
      <c r="C173" s="41" t="s">
        <v>4250</v>
      </c>
      <c r="E173" s="42">
        <v>46080</v>
      </c>
      <c r="F173" s="43" t="s">
        <v>4580</v>
      </c>
      <c r="G173" s="28">
        <v>83.56</v>
      </c>
      <c r="H173" s="28" t="s">
        <v>227</v>
      </c>
      <c r="I173" s="28" t="s">
        <v>21</v>
      </c>
      <c r="J173" s="41" t="s">
        <v>239</v>
      </c>
      <c r="K173" s="28">
        <v>1035</v>
      </c>
      <c r="L173" s="28" t="s">
        <v>3855</v>
      </c>
      <c r="M173" s="28" t="s">
        <v>4337</v>
      </c>
      <c r="N173" s="28" t="s">
        <v>299</v>
      </c>
      <c r="O173" s="47"/>
      <c r="P173" s="28">
        <f t="shared" si="2"/>
        <v>37</v>
      </c>
    </row>
    <row r="174" spans="1:16" s="28" customFormat="1" x14ac:dyDescent="0.25">
      <c r="A174" s="28" t="s">
        <v>4248</v>
      </c>
      <c r="B174" s="28" t="s">
        <v>4249</v>
      </c>
      <c r="C174" s="41" t="s">
        <v>4250</v>
      </c>
      <c r="E174" s="42">
        <v>46080</v>
      </c>
      <c r="F174" s="43" t="s">
        <v>4540</v>
      </c>
      <c r="G174" s="28">
        <v>26.99</v>
      </c>
      <c r="H174" s="28" t="s">
        <v>227</v>
      </c>
      <c r="I174" s="28" t="s">
        <v>16</v>
      </c>
      <c r="J174" s="45" t="s">
        <v>236</v>
      </c>
      <c r="K174" s="28">
        <v>1035</v>
      </c>
      <c r="L174" s="28" t="s">
        <v>3855</v>
      </c>
      <c r="M174" s="28" t="s">
        <v>4337</v>
      </c>
      <c r="N174" s="28" t="s">
        <v>299</v>
      </c>
      <c r="O174" s="47"/>
      <c r="P174" s="28">
        <f t="shared" si="2"/>
        <v>45</v>
      </c>
    </row>
    <row r="175" spans="1:16" s="28" customFormat="1" x14ac:dyDescent="0.25">
      <c r="A175" s="28" t="s">
        <v>4248</v>
      </c>
      <c r="B175" s="28" t="s">
        <v>4249</v>
      </c>
      <c r="C175" s="41" t="s">
        <v>4250</v>
      </c>
      <c r="E175" s="42">
        <v>46084</v>
      </c>
      <c r="F175" s="55" t="s">
        <v>4253</v>
      </c>
      <c r="G175" s="28">
        <v>26.25</v>
      </c>
      <c r="H175" s="28" t="s">
        <v>227</v>
      </c>
      <c r="I175" s="55" t="s">
        <v>21</v>
      </c>
      <c r="J175" s="41" t="s">
        <v>239</v>
      </c>
      <c r="K175" s="55">
        <v>4001</v>
      </c>
      <c r="L175" s="55" t="s">
        <v>3855</v>
      </c>
      <c r="M175" s="28" t="s">
        <v>4337</v>
      </c>
      <c r="N175" s="28" t="s">
        <v>299</v>
      </c>
      <c r="O175" s="47"/>
      <c r="P175" s="28">
        <f t="shared" si="2"/>
        <v>37</v>
      </c>
    </row>
    <row r="176" spans="1:16" s="28" customFormat="1" x14ac:dyDescent="0.25">
      <c r="A176" s="28" t="s">
        <v>4248</v>
      </c>
      <c r="B176" s="28" t="s">
        <v>4249</v>
      </c>
      <c r="C176" s="41" t="s">
        <v>4250</v>
      </c>
      <c r="E176" s="42">
        <v>46084</v>
      </c>
      <c r="F176" s="61" t="s">
        <v>4608</v>
      </c>
      <c r="G176" s="55">
        <v>-153.4</v>
      </c>
      <c r="H176" s="55" t="s">
        <v>227</v>
      </c>
      <c r="I176" s="61" t="s">
        <v>3594</v>
      </c>
      <c r="J176" s="35" t="s">
        <v>227</v>
      </c>
      <c r="K176" s="55">
        <v>1008</v>
      </c>
      <c r="L176" s="55" t="s">
        <v>3855</v>
      </c>
      <c r="M176" s="28" t="s">
        <v>4337</v>
      </c>
      <c r="N176" s="49" t="s">
        <v>299</v>
      </c>
      <c r="O176" s="47"/>
      <c r="P176" s="28">
        <f t="shared" si="2"/>
        <v>43</v>
      </c>
    </row>
    <row r="177" spans="1:16" s="28" customFormat="1" x14ac:dyDescent="0.25">
      <c r="A177" s="28" t="s">
        <v>4248</v>
      </c>
      <c r="B177" s="28" t="s">
        <v>4249</v>
      </c>
      <c r="C177" s="41" t="s">
        <v>4250</v>
      </c>
      <c r="E177" s="42">
        <v>46085</v>
      </c>
      <c r="F177" s="43" t="s">
        <v>4609</v>
      </c>
      <c r="G177" s="28">
        <v>68.02</v>
      </c>
      <c r="H177" s="28" t="s">
        <v>227</v>
      </c>
      <c r="I177" s="55" t="s">
        <v>21</v>
      </c>
      <c r="J177" s="41" t="s">
        <v>239</v>
      </c>
      <c r="K177" s="28">
        <v>4246</v>
      </c>
      <c r="L177" s="28" t="s">
        <v>3855</v>
      </c>
      <c r="M177" s="28" t="s">
        <v>4337</v>
      </c>
      <c r="N177" s="28" t="s">
        <v>299</v>
      </c>
      <c r="O177" s="47"/>
      <c r="P177" s="28">
        <f t="shared" si="2"/>
        <v>47</v>
      </c>
    </row>
    <row r="178" spans="1:16" s="28" customFormat="1" x14ac:dyDescent="0.25">
      <c r="A178" s="28" t="s">
        <v>4248</v>
      </c>
      <c r="B178" s="28" t="s">
        <v>4249</v>
      </c>
      <c r="C178" s="41" t="s">
        <v>4250</v>
      </c>
      <c r="E178" s="42">
        <v>46085</v>
      </c>
      <c r="F178" s="43" t="s">
        <v>4610</v>
      </c>
      <c r="G178" s="28">
        <v>52.73</v>
      </c>
      <c r="H178" s="28" t="s">
        <v>227</v>
      </c>
      <c r="I178" s="55" t="s">
        <v>21</v>
      </c>
      <c r="J178" s="41" t="s">
        <v>239</v>
      </c>
      <c r="K178" s="28">
        <v>4246</v>
      </c>
      <c r="L178" s="28" t="s">
        <v>3855</v>
      </c>
      <c r="M178" s="28" t="s">
        <v>4337</v>
      </c>
      <c r="N178" s="28" t="s">
        <v>299</v>
      </c>
      <c r="O178" s="47"/>
      <c r="P178" s="28">
        <f t="shared" si="2"/>
        <v>49</v>
      </c>
    </row>
    <row r="179" spans="1:16" s="28" customFormat="1" x14ac:dyDescent="0.25">
      <c r="A179" s="28" t="s">
        <v>4248</v>
      </c>
      <c r="B179" s="28" t="s">
        <v>4249</v>
      </c>
      <c r="C179" s="41" t="s">
        <v>4250</v>
      </c>
      <c r="E179" s="42">
        <v>46086</v>
      </c>
      <c r="F179" s="55" t="s">
        <v>4253</v>
      </c>
      <c r="G179" s="28">
        <v>43.58</v>
      </c>
      <c r="H179" s="28" t="s">
        <v>227</v>
      </c>
      <c r="I179" s="55" t="s">
        <v>21</v>
      </c>
      <c r="J179" s="41" t="s">
        <v>239</v>
      </c>
      <c r="K179" s="55">
        <v>4001</v>
      </c>
      <c r="L179" s="55" t="s">
        <v>3855</v>
      </c>
      <c r="M179" s="28" t="s">
        <v>4337</v>
      </c>
      <c r="N179" s="28" t="s">
        <v>299</v>
      </c>
      <c r="O179" s="47"/>
      <c r="P179" s="28">
        <f t="shared" si="2"/>
        <v>37</v>
      </c>
    </row>
    <row r="180" spans="1:16" s="28" customFormat="1" x14ac:dyDescent="0.25">
      <c r="A180" s="28" t="s">
        <v>4248</v>
      </c>
      <c r="B180" s="28" t="s">
        <v>4249</v>
      </c>
      <c r="C180" s="41" t="s">
        <v>4250</v>
      </c>
      <c r="E180" s="42">
        <v>46086</v>
      </c>
      <c r="F180" s="55" t="s">
        <v>4253</v>
      </c>
      <c r="G180" s="28">
        <v>56.09</v>
      </c>
      <c r="H180" s="28" t="s">
        <v>227</v>
      </c>
      <c r="I180" s="55" t="s">
        <v>21</v>
      </c>
      <c r="J180" s="41" t="s">
        <v>239</v>
      </c>
      <c r="K180" s="55">
        <v>4001</v>
      </c>
      <c r="L180" s="55" t="s">
        <v>3855</v>
      </c>
      <c r="M180" s="28" t="s">
        <v>4337</v>
      </c>
      <c r="N180" s="28" t="s">
        <v>299</v>
      </c>
      <c r="O180" s="47"/>
      <c r="P180" s="28">
        <f t="shared" si="2"/>
        <v>37</v>
      </c>
    </row>
    <row r="181" spans="1:16" s="28" customFormat="1" ht="15" customHeight="1" x14ac:dyDescent="0.25">
      <c r="A181" s="28" t="s">
        <v>4248</v>
      </c>
      <c r="B181" s="28" t="s">
        <v>4249</v>
      </c>
      <c r="C181" s="41" t="s">
        <v>4250</v>
      </c>
      <c r="E181" s="42">
        <v>46087</v>
      </c>
      <c r="F181" s="61" t="s">
        <v>4759</v>
      </c>
      <c r="G181" s="55">
        <v>16.34</v>
      </c>
      <c r="H181" s="55" t="s">
        <v>227</v>
      </c>
      <c r="I181" s="61" t="s">
        <v>4093</v>
      </c>
      <c r="J181" s="35" t="s">
        <v>735</v>
      </c>
      <c r="K181" s="61">
        <v>4001</v>
      </c>
      <c r="L181" s="55" t="s">
        <v>3855</v>
      </c>
      <c r="M181" s="28" t="s">
        <v>4337</v>
      </c>
      <c r="N181" s="28" t="s">
        <v>299</v>
      </c>
      <c r="O181" s="48" t="s">
        <v>4836</v>
      </c>
      <c r="P181" s="28">
        <f t="shared" si="2"/>
        <v>44</v>
      </c>
    </row>
    <row r="182" spans="1:16" s="28" customFormat="1" x14ac:dyDescent="0.25">
      <c r="A182" s="28" t="s">
        <v>4316</v>
      </c>
      <c r="B182" s="28" t="s">
        <v>4317</v>
      </c>
      <c r="C182" s="41" t="s">
        <v>4318</v>
      </c>
      <c r="E182" s="42">
        <v>46058</v>
      </c>
      <c r="F182" s="55" t="s">
        <v>4253</v>
      </c>
      <c r="G182" s="28">
        <v>22.12</v>
      </c>
      <c r="H182" s="28" t="s">
        <v>227</v>
      </c>
      <c r="I182" s="55" t="s">
        <v>21</v>
      </c>
      <c r="J182" s="41" t="s">
        <v>239</v>
      </c>
      <c r="K182" s="55">
        <v>4001</v>
      </c>
      <c r="L182" s="55" t="s">
        <v>3855</v>
      </c>
      <c r="M182" s="28" t="s">
        <v>4337</v>
      </c>
      <c r="N182" s="28" t="s">
        <v>1272</v>
      </c>
      <c r="O182" s="47"/>
      <c r="P182" s="28">
        <f t="shared" si="2"/>
        <v>37</v>
      </c>
    </row>
    <row r="183" spans="1:16" s="28" customFormat="1" x14ac:dyDescent="0.25">
      <c r="A183" s="28" t="s">
        <v>4316</v>
      </c>
      <c r="B183" s="28" t="s">
        <v>4317</v>
      </c>
      <c r="C183" s="41" t="s">
        <v>4318</v>
      </c>
      <c r="E183" s="42">
        <v>46059</v>
      </c>
      <c r="F183" s="55" t="s">
        <v>4253</v>
      </c>
      <c r="G183" s="28">
        <v>65.98</v>
      </c>
      <c r="H183" s="28" t="s">
        <v>227</v>
      </c>
      <c r="I183" s="55" t="s">
        <v>21</v>
      </c>
      <c r="J183" s="41" t="s">
        <v>239</v>
      </c>
      <c r="K183" s="55">
        <v>4001</v>
      </c>
      <c r="L183" s="55" t="s">
        <v>3855</v>
      </c>
      <c r="M183" s="28" t="s">
        <v>4337</v>
      </c>
      <c r="N183" s="28" t="s">
        <v>1272</v>
      </c>
      <c r="O183" s="47"/>
      <c r="P183" s="28">
        <f t="shared" si="2"/>
        <v>37</v>
      </c>
    </row>
    <row r="184" spans="1:16" s="28" customFormat="1" x14ac:dyDescent="0.25">
      <c r="A184" s="28" t="s">
        <v>4316</v>
      </c>
      <c r="B184" s="28" t="s">
        <v>4317</v>
      </c>
      <c r="C184" s="41" t="s">
        <v>4318</v>
      </c>
      <c r="E184" s="42">
        <v>46063</v>
      </c>
      <c r="F184" s="55" t="s">
        <v>4253</v>
      </c>
      <c r="G184" s="28">
        <v>40.98</v>
      </c>
      <c r="H184" s="28" t="s">
        <v>227</v>
      </c>
      <c r="I184" s="55" t="s">
        <v>21</v>
      </c>
      <c r="J184" s="41" t="s">
        <v>239</v>
      </c>
      <c r="K184" s="55">
        <v>4001</v>
      </c>
      <c r="L184" s="55" t="s">
        <v>3855</v>
      </c>
      <c r="M184" s="28" t="s">
        <v>4337</v>
      </c>
      <c r="N184" s="28" t="s">
        <v>1272</v>
      </c>
      <c r="O184" s="47"/>
      <c r="P184" s="28">
        <f t="shared" si="2"/>
        <v>37</v>
      </c>
    </row>
    <row r="185" spans="1:16" s="28" customFormat="1" ht="30" x14ac:dyDescent="0.25">
      <c r="A185" s="28" t="s">
        <v>4316</v>
      </c>
      <c r="B185" s="28" t="s">
        <v>4317</v>
      </c>
      <c r="C185" s="41" t="s">
        <v>4318</v>
      </c>
      <c r="E185" s="42">
        <v>46063</v>
      </c>
      <c r="F185" s="43" t="s">
        <v>4612</v>
      </c>
      <c r="G185" s="28">
        <v>-519.16999999999996</v>
      </c>
      <c r="H185" s="28" t="s">
        <v>227</v>
      </c>
      <c r="I185" s="28" t="s">
        <v>3594</v>
      </c>
      <c r="J185" s="41" t="s">
        <v>41</v>
      </c>
      <c r="K185" s="28">
        <v>1035</v>
      </c>
      <c r="L185" s="28" t="s">
        <v>3855</v>
      </c>
      <c r="M185" s="28" t="s">
        <v>4337</v>
      </c>
      <c r="N185" s="28" t="s">
        <v>1272</v>
      </c>
      <c r="O185" s="47" t="s">
        <v>4611</v>
      </c>
      <c r="P185" s="28">
        <f t="shared" si="2"/>
        <v>53</v>
      </c>
    </row>
    <row r="186" spans="1:16" s="28" customFormat="1" x14ac:dyDescent="0.25">
      <c r="A186" s="28" t="s">
        <v>4316</v>
      </c>
      <c r="B186" s="28" t="s">
        <v>4317</v>
      </c>
      <c r="C186" s="41" t="s">
        <v>4318</v>
      </c>
      <c r="E186" s="42">
        <v>46063</v>
      </c>
      <c r="F186" s="43" t="s">
        <v>4613</v>
      </c>
      <c r="G186" s="28">
        <v>30</v>
      </c>
      <c r="H186" s="28" t="s">
        <v>227</v>
      </c>
      <c r="I186" s="28" t="s">
        <v>3594</v>
      </c>
      <c r="J186" s="41" t="s">
        <v>790</v>
      </c>
      <c r="K186" s="28">
        <v>1035</v>
      </c>
      <c r="L186" s="28" t="s">
        <v>3855</v>
      </c>
      <c r="M186" s="28" t="s">
        <v>4337</v>
      </c>
      <c r="N186" s="28" t="s">
        <v>1272</v>
      </c>
      <c r="O186" s="47"/>
      <c r="P186" s="28">
        <f t="shared" si="2"/>
        <v>51</v>
      </c>
    </row>
    <row r="187" spans="1:16" s="28" customFormat="1" x14ac:dyDescent="0.25">
      <c r="A187" s="28" t="s">
        <v>4316</v>
      </c>
      <c r="B187" s="28" t="s">
        <v>4317</v>
      </c>
      <c r="C187" s="41" t="s">
        <v>4318</v>
      </c>
      <c r="E187" s="42">
        <v>46064</v>
      </c>
      <c r="F187" s="55" t="s">
        <v>4253</v>
      </c>
      <c r="G187" s="28">
        <v>44.97</v>
      </c>
      <c r="H187" s="28" t="s">
        <v>227</v>
      </c>
      <c r="I187" s="55" t="s">
        <v>21</v>
      </c>
      <c r="J187" s="41" t="s">
        <v>239</v>
      </c>
      <c r="K187" s="55">
        <v>4001</v>
      </c>
      <c r="L187" s="55" t="s">
        <v>3855</v>
      </c>
      <c r="M187" s="28" t="s">
        <v>4337</v>
      </c>
      <c r="N187" s="28" t="s">
        <v>1272</v>
      </c>
      <c r="O187" s="47"/>
      <c r="P187" s="28">
        <f t="shared" si="2"/>
        <v>37</v>
      </c>
    </row>
    <row r="188" spans="1:16" s="28" customFormat="1" x14ac:dyDescent="0.25">
      <c r="A188" s="28" t="s">
        <v>4316</v>
      </c>
      <c r="B188" s="28" t="s">
        <v>4317</v>
      </c>
      <c r="C188" s="41" t="s">
        <v>4318</v>
      </c>
      <c r="E188" s="42">
        <v>46065</v>
      </c>
      <c r="F188" s="55" t="s">
        <v>4253</v>
      </c>
      <c r="G188" s="28">
        <v>80.989999999999995</v>
      </c>
      <c r="H188" s="28" t="s">
        <v>227</v>
      </c>
      <c r="I188" s="55" t="s">
        <v>21</v>
      </c>
      <c r="J188" s="41" t="s">
        <v>239</v>
      </c>
      <c r="K188" s="55">
        <v>4001</v>
      </c>
      <c r="L188" s="55" t="s">
        <v>3855</v>
      </c>
      <c r="M188" s="28" t="s">
        <v>4337</v>
      </c>
      <c r="N188" s="28" t="s">
        <v>1272</v>
      </c>
      <c r="O188" s="47"/>
      <c r="P188" s="28">
        <f t="shared" si="2"/>
        <v>37</v>
      </c>
    </row>
    <row r="189" spans="1:16" s="28" customFormat="1" x14ac:dyDescent="0.25">
      <c r="A189" s="28" t="s">
        <v>4316</v>
      </c>
      <c r="B189" s="28" t="s">
        <v>4317</v>
      </c>
      <c r="C189" s="41" t="s">
        <v>4318</v>
      </c>
      <c r="E189" s="42">
        <v>46066</v>
      </c>
      <c r="F189" s="55" t="s">
        <v>4253</v>
      </c>
      <c r="G189" s="28">
        <v>43.98</v>
      </c>
      <c r="H189" s="28" t="s">
        <v>227</v>
      </c>
      <c r="I189" s="55" t="s">
        <v>21</v>
      </c>
      <c r="J189" s="41" t="s">
        <v>239</v>
      </c>
      <c r="K189" s="55">
        <v>4001</v>
      </c>
      <c r="L189" s="55" t="s">
        <v>3855</v>
      </c>
      <c r="M189" s="28" t="s">
        <v>4337</v>
      </c>
      <c r="N189" s="28" t="s">
        <v>1272</v>
      </c>
      <c r="O189" s="47"/>
      <c r="P189" s="28">
        <f t="shared" si="2"/>
        <v>37</v>
      </c>
    </row>
    <row r="190" spans="1:16" s="28" customFormat="1" x14ac:dyDescent="0.25">
      <c r="A190" s="28" t="s">
        <v>4316</v>
      </c>
      <c r="B190" s="28" t="s">
        <v>4317</v>
      </c>
      <c r="C190" s="41" t="s">
        <v>4318</v>
      </c>
      <c r="E190" s="42">
        <v>46071</v>
      </c>
      <c r="F190" s="55" t="s">
        <v>4253</v>
      </c>
      <c r="G190" s="28">
        <v>39.54</v>
      </c>
      <c r="H190" s="28" t="s">
        <v>227</v>
      </c>
      <c r="I190" s="55" t="s">
        <v>21</v>
      </c>
      <c r="J190" s="41" t="s">
        <v>239</v>
      </c>
      <c r="K190" s="55">
        <v>4001</v>
      </c>
      <c r="L190" s="55" t="s">
        <v>3855</v>
      </c>
      <c r="M190" s="28" t="s">
        <v>4337</v>
      </c>
      <c r="N190" s="28" t="s">
        <v>1272</v>
      </c>
      <c r="O190" s="47"/>
      <c r="P190" s="28">
        <f t="shared" si="2"/>
        <v>37</v>
      </c>
    </row>
    <row r="191" spans="1:16" s="28" customFormat="1" x14ac:dyDescent="0.25">
      <c r="A191" s="28" t="s">
        <v>4316</v>
      </c>
      <c r="B191" s="28" t="s">
        <v>4317</v>
      </c>
      <c r="C191" s="41" t="s">
        <v>4318</v>
      </c>
      <c r="E191" s="42">
        <v>46072</v>
      </c>
      <c r="F191" s="55" t="s">
        <v>4253</v>
      </c>
      <c r="G191" s="28">
        <v>41.97</v>
      </c>
      <c r="H191" s="28" t="s">
        <v>227</v>
      </c>
      <c r="I191" s="55" t="s">
        <v>21</v>
      </c>
      <c r="J191" s="41" t="s">
        <v>239</v>
      </c>
      <c r="K191" s="55">
        <v>4001</v>
      </c>
      <c r="L191" s="55" t="s">
        <v>3855</v>
      </c>
      <c r="M191" s="28" t="s">
        <v>4337</v>
      </c>
      <c r="N191" s="28" t="s">
        <v>1272</v>
      </c>
      <c r="O191" s="47"/>
      <c r="P191" s="28">
        <f t="shared" si="2"/>
        <v>37</v>
      </c>
    </row>
    <row r="192" spans="1:16" s="28" customFormat="1" x14ac:dyDescent="0.25">
      <c r="A192" s="28" t="s">
        <v>4316</v>
      </c>
      <c r="B192" s="28" t="s">
        <v>4317</v>
      </c>
      <c r="C192" s="41" t="s">
        <v>4318</v>
      </c>
      <c r="E192" s="42">
        <v>46072</v>
      </c>
      <c r="F192" s="61" t="s">
        <v>4614</v>
      </c>
      <c r="G192" s="55">
        <v>17.97</v>
      </c>
      <c r="H192" s="55" t="s">
        <v>227</v>
      </c>
      <c r="I192" s="55" t="s">
        <v>16</v>
      </c>
      <c r="J192" s="35" t="s">
        <v>725</v>
      </c>
      <c r="K192" s="55">
        <v>4001</v>
      </c>
      <c r="L192" s="55" t="s">
        <v>3855</v>
      </c>
      <c r="M192" s="28" t="s">
        <v>4337</v>
      </c>
      <c r="N192" s="28" t="s">
        <v>1272</v>
      </c>
      <c r="O192" s="47"/>
      <c r="P192" s="28">
        <f t="shared" si="2"/>
        <v>59</v>
      </c>
    </row>
    <row r="193" spans="1:16" s="28" customFormat="1" x14ac:dyDescent="0.25">
      <c r="A193" s="28" t="s">
        <v>4316</v>
      </c>
      <c r="B193" s="28" t="s">
        <v>4317</v>
      </c>
      <c r="C193" s="41" t="s">
        <v>4318</v>
      </c>
      <c r="E193" s="42">
        <v>46073</v>
      </c>
      <c r="F193" s="43" t="s">
        <v>4562</v>
      </c>
      <c r="G193" s="28">
        <v>158.38</v>
      </c>
      <c r="H193" s="28" t="s">
        <v>227</v>
      </c>
      <c r="I193" s="28" t="s">
        <v>21</v>
      </c>
      <c r="J193" s="41" t="s">
        <v>239</v>
      </c>
      <c r="K193" s="28">
        <v>1035</v>
      </c>
      <c r="L193" s="28" t="s">
        <v>3855</v>
      </c>
      <c r="M193" s="28" t="s">
        <v>4337</v>
      </c>
      <c r="N193" s="28" t="s">
        <v>1272</v>
      </c>
      <c r="O193" s="47"/>
      <c r="P193" s="28">
        <f t="shared" ref="P193:P256" si="3">LEN(F193&amp;J193)+12</f>
        <v>37</v>
      </c>
    </row>
    <row r="194" spans="1:16" s="28" customFormat="1" x14ac:dyDescent="0.25">
      <c r="A194" s="28" t="s">
        <v>4316</v>
      </c>
      <c r="B194" s="28" t="s">
        <v>4317</v>
      </c>
      <c r="C194" s="41" t="s">
        <v>4318</v>
      </c>
      <c r="E194" s="42">
        <v>46073</v>
      </c>
      <c r="F194" s="55" t="s">
        <v>4253</v>
      </c>
      <c r="G194" s="28">
        <v>40.97</v>
      </c>
      <c r="H194" s="28" t="s">
        <v>227</v>
      </c>
      <c r="I194" s="55" t="s">
        <v>21</v>
      </c>
      <c r="J194" s="41" t="s">
        <v>239</v>
      </c>
      <c r="K194" s="55">
        <v>4001</v>
      </c>
      <c r="L194" s="55" t="s">
        <v>3855</v>
      </c>
      <c r="M194" s="28" t="s">
        <v>4337</v>
      </c>
      <c r="N194" s="28" t="s">
        <v>1272</v>
      </c>
      <c r="O194" s="47"/>
      <c r="P194" s="28">
        <f t="shared" si="3"/>
        <v>37</v>
      </c>
    </row>
    <row r="195" spans="1:16" s="28" customFormat="1" x14ac:dyDescent="0.25">
      <c r="A195" s="28" t="s">
        <v>4316</v>
      </c>
      <c r="B195" s="28" t="s">
        <v>4317</v>
      </c>
      <c r="C195" s="41" t="s">
        <v>4318</v>
      </c>
      <c r="E195" s="42">
        <v>46076</v>
      </c>
      <c r="F195" s="43" t="s">
        <v>4540</v>
      </c>
      <c r="G195" s="28">
        <v>13.82</v>
      </c>
      <c r="H195" s="28" t="s">
        <v>227</v>
      </c>
      <c r="I195" s="28" t="s">
        <v>16</v>
      </c>
      <c r="J195" s="41" t="s">
        <v>4360</v>
      </c>
      <c r="K195" s="28">
        <v>1035</v>
      </c>
      <c r="L195" s="28" t="s">
        <v>3855</v>
      </c>
      <c r="M195" s="28" t="s">
        <v>4337</v>
      </c>
      <c r="N195" s="28" t="s">
        <v>1272</v>
      </c>
      <c r="O195" s="47"/>
      <c r="P195" s="28">
        <f t="shared" si="3"/>
        <v>55</v>
      </c>
    </row>
    <row r="196" spans="1:16" s="28" customFormat="1" x14ac:dyDescent="0.25">
      <c r="A196" s="28" t="s">
        <v>4316</v>
      </c>
      <c r="B196" s="28" t="s">
        <v>4317</v>
      </c>
      <c r="C196" s="41" t="s">
        <v>4318</v>
      </c>
      <c r="E196" s="42">
        <v>46076</v>
      </c>
      <c r="F196" s="43" t="s">
        <v>4615</v>
      </c>
      <c r="G196" s="28">
        <v>136.97</v>
      </c>
      <c r="H196" s="28" t="s">
        <v>227</v>
      </c>
      <c r="I196" s="28" t="s">
        <v>16</v>
      </c>
      <c r="J196" s="41" t="s">
        <v>4360</v>
      </c>
      <c r="K196" s="28">
        <v>1035</v>
      </c>
      <c r="L196" s="28" t="s">
        <v>3855</v>
      </c>
      <c r="M196" s="28" t="s">
        <v>4337</v>
      </c>
      <c r="N196" s="28" t="s">
        <v>1272</v>
      </c>
      <c r="O196" s="47"/>
      <c r="P196" s="28">
        <f t="shared" si="3"/>
        <v>75</v>
      </c>
    </row>
    <row r="197" spans="1:16" s="28" customFormat="1" x14ac:dyDescent="0.25">
      <c r="A197" s="28" t="s">
        <v>4316</v>
      </c>
      <c r="B197" s="28" t="s">
        <v>4317</v>
      </c>
      <c r="C197" s="41" t="s">
        <v>4318</v>
      </c>
      <c r="E197" s="42">
        <v>46084</v>
      </c>
      <c r="F197" s="55" t="s">
        <v>4253</v>
      </c>
      <c r="G197" s="28">
        <v>61.98</v>
      </c>
      <c r="H197" s="28" t="s">
        <v>227</v>
      </c>
      <c r="I197" s="55" t="s">
        <v>21</v>
      </c>
      <c r="J197" s="41" t="s">
        <v>239</v>
      </c>
      <c r="K197" s="55">
        <v>4001</v>
      </c>
      <c r="L197" s="55" t="s">
        <v>3855</v>
      </c>
      <c r="M197" s="28" t="s">
        <v>4337</v>
      </c>
      <c r="N197" s="28" t="s">
        <v>1272</v>
      </c>
      <c r="O197" s="47"/>
      <c r="P197" s="28">
        <f t="shared" si="3"/>
        <v>37</v>
      </c>
    </row>
    <row r="198" spans="1:16" s="28" customFormat="1" x14ac:dyDescent="0.25">
      <c r="A198" s="28" t="s">
        <v>4316</v>
      </c>
      <c r="B198" s="28" t="s">
        <v>4317</v>
      </c>
      <c r="C198" s="41" t="s">
        <v>4318</v>
      </c>
      <c r="E198" s="42">
        <v>46085</v>
      </c>
      <c r="F198" s="28" t="s">
        <v>4321</v>
      </c>
      <c r="G198" s="28">
        <v>62.97</v>
      </c>
      <c r="H198" s="28" t="s">
        <v>227</v>
      </c>
      <c r="I198" s="55" t="s">
        <v>21</v>
      </c>
      <c r="J198" s="41" t="s">
        <v>239</v>
      </c>
      <c r="K198" s="28">
        <v>4246</v>
      </c>
      <c r="L198" s="28" t="s">
        <v>3855</v>
      </c>
      <c r="M198" s="28" t="s">
        <v>4337</v>
      </c>
      <c r="N198" s="28" t="s">
        <v>1272</v>
      </c>
      <c r="O198" s="47"/>
      <c r="P198" s="28">
        <f t="shared" si="3"/>
        <v>44</v>
      </c>
    </row>
    <row r="199" spans="1:16" s="28" customFormat="1" x14ac:dyDescent="0.25">
      <c r="A199" s="28" t="s">
        <v>4316</v>
      </c>
      <c r="B199" s="28" t="s">
        <v>4317</v>
      </c>
      <c r="C199" s="41" t="s">
        <v>4318</v>
      </c>
      <c r="E199" s="42">
        <v>46085</v>
      </c>
      <c r="F199" s="55" t="s">
        <v>4616</v>
      </c>
      <c r="G199" s="55">
        <v>14.24</v>
      </c>
      <c r="H199" s="55" t="s">
        <v>227</v>
      </c>
      <c r="I199" s="55" t="s">
        <v>16</v>
      </c>
      <c r="J199" s="35" t="s">
        <v>1169</v>
      </c>
      <c r="K199" s="55">
        <v>4001</v>
      </c>
      <c r="L199" s="55" t="s">
        <v>3855</v>
      </c>
      <c r="M199" s="28" t="s">
        <v>4337</v>
      </c>
      <c r="N199" s="28" t="s">
        <v>1272</v>
      </c>
      <c r="O199" s="47"/>
      <c r="P199" s="28">
        <f t="shared" si="3"/>
        <v>48</v>
      </c>
    </row>
    <row r="200" spans="1:16" s="28" customFormat="1" x14ac:dyDescent="0.25">
      <c r="A200" s="28" t="s">
        <v>4316</v>
      </c>
      <c r="B200" s="28" t="s">
        <v>4317</v>
      </c>
      <c r="C200" s="41" t="s">
        <v>4318</v>
      </c>
      <c r="E200" s="42">
        <v>46086</v>
      </c>
      <c r="F200" s="55" t="s">
        <v>4253</v>
      </c>
      <c r="G200" s="28">
        <v>42.78</v>
      </c>
      <c r="H200" s="28" t="s">
        <v>227</v>
      </c>
      <c r="I200" s="55" t="s">
        <v>21</v>
      </c>
      <c r="J200" s="41" t="s">
        <v>239</v>
      </c>
      <c r="K200" s="55">
        <v>4001</v>
      </c>
      <c r="L200" s="55" t="s">
        <v>3855</v>
      </c>
      <c r="M200" s="28" t="s">
        <v>4337</v>
      </c>
      <c r="N200" s="28" t="s">
        <v>1272</v>
      </c>
      <c r="O200" s="47"/>
      <c r="P200" s="28">
        <f t="shared" si="3"/>
        <v>37</v>
      </c>
    </row>
    <row r="201" spans="1:16" s="28" customFormat="1" x14ac:dyDescent="0.25">
      <c r="A201" s="28" t="s">
        <v>4316</v>
      </c>
      <c r="B201" s="28" t="s">
        <v>4317</v>
      </c>
      <c r="C201" s="41" t="s">
        <v>4318</v>
      </c>
      <c r="E201" s="42">
        <v>46087</v>
      </c>
      <c r="F201" s="55" t="s">
        <v>4253</v>
      </c>
      <c r="G201" s="28">
        <v>47.28</v>
      </c>
      <c r="H201" s="28" t="s">
        <v>227</v>
      </c>
      <c r="I201" s="55" t="s">
        <v>21</v>
      </c>
      <c r="J201" s="41" t="s">
        <v>239</v>
      </c>
      <c r="K201" s="55">
        <v>4001</v>
      </c>
      <c r="L201" s="55" t="s">
        <v>3855</v>
      </c>
      <c r="M201" s="28" t="s">
        <v>4337</v>
      </c>
      <c r="N201" s="28" t="s">
        <v>1272</v>
      </c>
      <c r="O201" s="47"/>
      <c r="P201" s="28">
        <f t="shared" si="3"/>
        <v>37</v>
      </c>
    </row>
    <row r="202" spans="1:16" s="28" customFormat="1" x14ac:dyDescent="0.25">
      <c r="A202" s="28" t="s">
        <v>3915</v>
      </c>
      <c r="B202" s="28" t="s">
        <v>3916</v>
      </c>
      <c r="C202" s="41" t="s">
        <v>3917</v>
      </c>
      <c r="E202" s="42">
        <v>46056</v>
      </c>
      <c r="F202" s="43" t="s">
        <v>4617</v>
      </c>
      <c r="G202" s="28">
        <v>-1445.08</v>
      </c>
      <c r="H202" s="28" t="s">
        <v>227</v>
      </c>
      <c r="I202" s="28" t="s">
        <v>3594</v>
      </c>
      <c r="J202" s="41" t="s">
        <v>41</v>
      </c>
      <c r="K202" s="28">
        <v>1035</v>
      </c>
      <c r="L202" s="28" t="s">
        <v>3855</v>
      </c>
      <c r="M202" s="28" t="s">
        <v>4337</v>
      </c>
      <c r="N202" s="28" t="s">
        <v>301</v>
      </c>
      <c r="O202" s="47" t="s">
        <v>4591</v>
      </c>
      <c r="P202" s="28">
        <f t="shared" si="3"/>
        <v>53</v>
      </c>
    </row>
    <row r="203" spans="1:16" s="28" customFormat="1" x14ac:dyDescent="0.25">
      <c r="A203" s="28" t="s">
        <v>3915</v>
      </c>
      <c r="B203" s="28" t="s">
        <v>3916</v>
      </c>
      <c r="C203" s="41" t="s">
        <v>3917</v>
      </c>
      <c r="E203" s="42">
        <v>46056</v>
      </c>
      <c r="F203" s="61" t="s">
        <v>4618</v>
      </c>
      <c r="G203" s="28">
        <v>3461.31</v>
      </c>
      <c r="H203" s="28" t="s">
        <v>227</v>
      </c>
      <c r="I203" s="28" t="s">
        <v>16</v>
      </c>
      <c r="J203" s="41" t="s">
        <v>4347</v>
      </c>
      <c r="K203" s="55">
        <v>4263</v>
      </c>
      <c r="L203" s="55" t="s">
        <v>3855</v>
      </c>
      <c r="M203" s="28" t="s">
        <v>4337</v>
      </c>
      <c r="N203" s="28" t="s">
        <v>301</v>
      </c>
      <c r="O203" s="47"/>
      <c r="P203" s="28">
        <f t="shared" si="3"/>
        <v>45</v>
      </c>
    </row>
    <row r="204" spans="1:16" s="28" customFormat="1" x14ac:dyDescent="0.25">
      <c r="A204" s="28" t="s">
        <v>3915</v>
      </c>
      <c r="B204" s="28" t="s">
        <v>3916</v>
      </c>
      <c r="C204" s="41" t="s">
        <v>3917</v>
      </c>
      <c r="E204" s="42">
        <v>46057</v>
      </c>
      <c r="F204" s="61" t="s">
        <v>4619</v>
      </c>
      <c r="G204" s="28">
        <v>8</v>
      </c>
      <c r="H204" s="28" t="s">
        <v>227</v>
      </c>
      <c r="I204" s="28" t="s">
        <v>3922</v>
      </c>
      <c r="J204" s="41" t="s">
        <v>29</v>
      </c>
      <c r="K204" s="55">
        <v>4263</v>
      </c>
      <c r="L204" s="55" t="s">
        <v>3855</v>
      </c>
      <c r="M204" s="28" t="s">
        <v>4337</v>
      </c>
      <c r="N204" s="28" t="s">
        <v>301</v>
      </c>
      <c r="O204" s="47" t="s">
        <v>4620</v>
      </c>
      <c r="P204" s="28">
        <f t="shared" si="3"/>
        <v>52</v>
      </c>
    </row>
    <row r="205" spans="1:16" s="28" customFormat="1" x14ac:dyDescent="0.25">
      <c r="A205" s="28" t="s">
        <v>3915</v>
      </c>
      <c r="B205" s="28" t="s">
        <v>3916</v>
      </c>
      <c r="C205" s="41" t="s">
        <v>3917</v>
      </c>
      <c r="E205" s="42">
        <v>46057</v>
      </c>
      <c r="F205" s="61" t="s">
        <v>4621</v>
      </c>
      <c r="G205" s="28">
        <v>95.02</v>
      </c>
      <c r="H205" s="28" t="s">
        <v>227</v>
      </c>
      <c r="I205" s="28" t="s">
        <v>16</v>
      </c>
      <c r="J205" s="41" t="s">
        <v>2852</v>
      </c>
      <c r="K205" s="55">
        <v>4263</v>
      </c>
      <c r="L205" s="55" t="s">
        <v>3855</v>
      </c>
      <c r="M205" s="28" t="s">
        <v>4337</v>
      </c>
      <c r="N205" s="28" t="s">
        <v>301</v>
      </c>
      <c r="O205" s="47"/>
      <c r="P205" s="28">
        <f t="shared" si="3"/>
        <v>52</v>
      </c>
    </row>
    <row r="206" spans="1:16" s="28" customFormat="1" x14ac:dyDescent="0.25">
      <c r="A206" s="28" t="s">
        <v>3915</v>
      </c>
      <c r="B206" s="28" t="s">
        <v>3916</v>
      </c>
      <c r="C206" s="41" t="s">
        <v>3917</v>
      </c>
      <c r="E206" s="42">
        <v>46057</v>
      </c>
      <c r="F206" s="61" t="s">
        <v>3865</v>
      </c>
      <c r="G206" s="28">
        <v>1255.94</v>
      </c>
      <c r="H206" s="28" t="s">
        <v>227</v>
      </c>
      <c r="I206" s="28" t="s">
        <v>3864</v>
      </c>
      <c r="J206" s="41" t="s">
        <v>2852</v>
      </c>
      <c r="K206" s="55">
        <v>4263</v>
      </c>
      <c r="L206" s="55" t="s">
        <v>3855</v>
      </c>
      <c r="M206" s="28" t="s">
        <v>4337</v>
      </c>
      <c r="N206" s="28" t="s">
        <v>301</v>
      </c>
      <c r="O206" s="47"/>
      <c r="P206" s="28">
        <f t="shared" si="3"/>
        <v>47</v>
      </c>
    </row>
    <row r="207" spans="1:16" s="28" customFormat="1" x14ac:dyDescent="0.25">
      <c r="A207" s="28" t="s">
        <v>3915</v>
      </c>
      <c r="B207" s="28" t="s">
        <v>3916</v>
      </c>
      <c r="C207" s="41" t="s">
        <v>3917</v>
      </c>
      <c r="E207" s="42">
        <v>46059</v>
      </c>
      <c r="F207" s="55" t="s">
        <v>3946</v>
      </c>
      <c r="G207" s="55">
        <v>255.13</v>
      </c>
      <c r="H207" s="55" t="s">
        <v>227</v>
      </c>
      <c r="I207" s="55" t="s">
        <v>21</v>
      </c>
      <c r="J207" s="35" t="s">
        <v>739</v>
      </c>
      <c r="K207" s="55">
        <v>4001</v>
      </c>
      <c r="L207" s="55" t="s">
        <v>3855</v>
      </c>
      <c r="M207" s="28" t="s">
        <v>4337</v>
      </c>
      <c r="N207" s="28" t="s">
        <v>301</v>
      </c>
      <c r="O207" s="47"/>
      <c r="P207" s="28">
        <f t="shared" si="3"/>
        <v>37</v>
      </c>
    </row>
    <row r="208" spans="1:16" s="28" customFormat="1" x14ac:dyDescent="0.25">
      <c r="A208" s="28" t="s">
        <v>3915</v>
      </c>
      <c r="B208" s="28" t="s">
        <v>3916</v>
      </c>
      <c r="C208" s="41" t="s">
        <v>3917</v>
      </c>
      <c r="E208" s="42">
        <v>46059</v>
      </c>
      <c r="F208" s="55" t="s">
        <v>3899</v>
      </c>
      <c r="G208" s="28">
        <v>278.13</v>
      </c>
      <c r="H208" s="28" t="s">
        <v>227</v>
      </c>
      <c r="I208" s="55" t="s">
        <v>21</v>
      </c>
      <c r="J208" s="41" t="s">
        <v>739</v>
      </c>
      <c r="K208" s="55">
        <v>1008</v>
      </c>
      <c r="L208" s="55" t="s">
        <v>3855</v>
      </c>
      <c r="M208" s="28" t="s">
        <v>4337</v>
      </c>
      <c r="N208" s="49" t="s">
        <v>301</v>
      </c>
      <c r="O208" s="60" t="s">
        <v>4830</v>
      </c>
      <c r="P208" s="28">
        <f t="shared" si="3"/>
        <v>26</v>
      </c>
    </row>
    <row r="209" spans="1:16" s="28" customFormat="1" x14ac:dyDescent="0.25">
      <c r="A209" s="28" t="s">
        <v>3915</v>
      </c>
      <c r="B209" s="28" t="s">
        <v>3916</v>
      </c>
      <c r="C209" s="41" t="s">
        <v>3917</v>
      </c>
      <c r="E209" s="42">
        <v>46059</v>
      </c>
      <c r="F209" s="61" t="s">
        <v>4622</v>
      </c>
      <c r="G209" s="28">
        <v>201.08</v>
      </c>
      <c r="H209" s="28" t="s">
        <v>227</v>
      </c>
      <c r="I209" s="55" t="s">
        <v>21</v>
      </c>
      <c r="J209" s="41" t="s">
        <v>739</v>
      </c>
      <c r="K209" s="55">
        <v>4263</v>
      </c>
      <c r="L209" s="55" t="s">
        <v>3855</v>
      </c>
      <c r="M209" s="28" t="s">
        <v>4337</v>
      </c>
      <c r="N209" s="28" t="s">
        <v>301</v>
      </c>
      <c r="O209" s="47"/>
      <c r="P209" s="28">
        <f t="shared" si="3"/>
        <v>49</v>
      </c>
    </row>
    <row r="210" spans="1:16" s="28" customFormat="1" x14ac:dyDescent="0.25">
      <c r="A210" s="28" t="s">
        <v>3915</v>
      </c>
      <c r="B210" s="28" t="s">
        <v>3916</v>
      </c>
      <c r="C210" s="41" t="s">
        <v>3917</v>
      </c>
      <c r="E210" s="42">
        <v>46062</v>
      </c>
      <c r="F210" s="61" t="s">
        <v>4624</v>
      </c>
      <c r="G210" s="55">
        <v>30</v>
      </c>
      <c r="H210" s="55" t="s">
        <v>227</v>
      </c>
      <c r="I210" s="55" t="s">
        <v>3594</v>
      </c>
      <c r="J210" s="35" t="s">
        <v>790</v>
      </c>
      <c r="K210" s="55">
        <v>4001</v>
      </c>
      <c r="L210" s="55" t="s">
        <v>3855</v>
      </c>
      <c r="M210" s="28" t="s">
        <v>4337</v>
      </c>
      <c r="N210" s="28" t="s">
        <v>301</v>
      </c>
      <c r="O210" s="47" t="s">
        <v>4625</v>
      </c>
      <c r="P210" s="28">
        <f t="shared" si="3"/>
        <v>60</v>
      </c>
    </row>
    <row r="211" spans="1:16" s="28" customFormat="1" x14ac:dyDescent="0.25">
      <c r="A211" s="28" t="s">
        <v>3915</v>
      </c>
      <c r="B211" s="28" t="s">
        <v>3916</v>
      </c>
      <c r="C211" s="41" t="s">
        <v>3917</v>
      </c>
      <c r="E211" s="42">
        <v>46062</v>
      </c>
      <c r="F211" s="61" t="s">
        <v>4623</v>
      </c>
      <c r="G211" s="55">
        <v>2108.4</v>
      </c>
      <c r="H211" s="55" t="s">
        <v>227</v>
      </c>
      <c r="I211" s="55" t="s">
        <v>3594</v>
      </c>
      <c r="J211" s="35" t="s">
        <v>41</v>
      </c>
      <c r="K211" s="55">
        <v>4001</v>
      </c>
      <c r="L211" s="55" t="s">
        <v>3855</v>
      </c>
      <c r="M211" s="28" t="s">
        <v>4337</v>
      </c>
      <c r="N211" s="28" t="s">
        <v>301</v>
      </c>
      <c r="O211" s="47"/>
      <c r="P211" s="28">
        <f t="shared" si="3"/>
        <v>51</v>
      </c>
    </row>
    <row r="212" spans="1:16" s="28" customFormat="1" x14ac:dyDescent="0.25">
      <c r="A212" s="28" t="s">
        <v>3915</v>
      </c>
      <c r="B212" s="28" t="s">
        <v>3916</v>
      </c>
      <c r="C212" s="41" t="s">
        <v>3917</v>
      </c>
      <c r="E212" s="42">
        <v>46062</v>
      </c>
      <c r="F212" s="61" t="s">
        <v>4626</v>
      </c>
      <c r="G212" s="28">
        <v>1276.67</v>
      </c>
      <c r="H212" s="28" t="s">
        <v>227</v>
      </c>
      <c r="I212" s="43" t="s">
        <v>3864</v>
      </c>
      <c r="J212" s="41" t="s">
        <v>2852</v>
      </c>
      <c r="K212" s="55">
        <v>4263</v>
      </c>
      <c r="L212" s="55" t="s">
        <v>3855</v>
      </c>
      <c r="M212" s="28" t="s">
        <v>4337</v>
      </c>
      <c r="N212" s="28" t="s">
        <v>301</v>
      </c>
      <c r="O212" s="47" t="s">
        <v>4627</v>
      </c>
      <c r="P212" s="28">
        <f t="shared" si="3"/>
        <v>60</v>
      </c>
    </row>
    <row r="213" spans="1:16" s="28" customFormat="1" x14ac:dyDescent="0.25">
      <c r="A213" s="28" t="s">
        <v>3915</v>
      </c>
      <c r="B213" s="28" t="s">
        <v>3916</v>
      </c>
      <c r="C213" s="41" t="s">
        <v>3917</v>
      </c>
      <c r="E213" s="42">
        <v>46063</v>
      </c>
      <c r="F213" s="61" t="s">
        <v>4628</v>
      </c>
      <c r="G213" s="55">
        <v>248.6</v>
      </c>
      <c r="H213" s="55" t="s">
        <v>227</v>
      </c>
      <c r="I213" s="55" t="s">
        <v>21</v>
      </c>
      <c r="J213" s="35" t="s">
        <v>739</v>
      </c>
      <c r="K213" s="55">
        <v>4001</v>
      </c>
      <c r="L213" s="55" t="s">
        <v>3855</v>
      </c>
      <c r="M213" s="28" t="s">
        <v>4337</v>
      </c>
      <c r="N213" s="28" t="s">
        <v>301</v>
      </c>
      <c r="O213" s="47"/>
      <c r="P213" s="28">
        <f t="shared" si="3"/>
        <v>53</v>
      </c>
    </row>
    <row r="214" spans="1:16" s="28" customFormat="1" x14ac:dyDescent="0.25">
      <c r="A214" s="28" t="s">
        <v>3915</v>
      </c>
      <c r="B214" s="28" t="s">
        <v>3916</v>
      </c>
      <c r="C214" s="41" t="s">
        <v>3917</v>
      </c>
      <c r="E214" s="42">
        <v>46063</v>
      </c>
      <c r="F214" s="61" t="s">
        <v>4629</v>
      </c>
      <c r="G214" s="55">
        <v>-324.29000000000002</v>
      </c>
      <c r="H214" s="55" t="s">
        <v>227</v>
      </c>
      <c r="I214" s="55" t="s">
        <v>3594</v>
      </c>
      <c r="J214" s="35" t="s">
        <v>119</v>
      </c>
      <c r="K214" s="55">
        <v>4001</v>
      </c>
      <c r="L214" s="55" t="s">
        <v>3855</v>
      </c>
      <c r="M214" s="28" t="s">
        <v>4337</v>
      </c>
      <c r="N214" s="28" t="s">
        <v>301</v>
      </c>
      <c r="O214" s="47"/>
      <c r="P214" s="28">
        <f t="shared" si="3"/>
        <v>60</v>
      </c>
    </row>
    <row r="215" spans="1:16" s="28" customFormat="1" x14ac:dyDescent="0.25">
      <c r="A215" s="28" t="s">
        <v>3915</v>
      </c>
      <c r="B215" s="28" t="s">
        <v>3916</v>
      </c>
      <c r="C215" s="41" t="s">
        <v>3917</v>
      </c>
      <c r="E215" s="42">
        <v>46064</v>
      </c>
      <c r="F215" s="61" t="s">
        <v>4859</v>
      </c>
      <c r="G215" s="28">
        <v>5106.83</v>
      </c>
      <c r="H215" s="28" t="s">
        <v>227</v>
      </c>
      <c r="I215" s="28" t="s">
        <v>16</v>
      </c>
      <c r="J215" s="41" t="s">
        <v>2691</v>
      </c>
      <c r="K215" s="55">
        <v>4263</v>
      </c>
      <c r="L215" s="55" t="s">
        <v>3855</v>
      </c>
      <c r="M215" s="28" t="s">
        <v>4337</v>
      </c>
      <c r="N215" s="28" t="s">
        <v>301</v>
      </c>
      <c r="O215" s="47" t="s">
        <v>4630</v>
      </c>
      <c r="P215" s="28">
        <f t="shared" si="3"/>
        <v>51</v>
      </c>
    </row>
    <row r="216" spans="1:16" s="28" customFormat="1" x14ac:dyDescent="0.25">
      <c r="A216" s="28" t="s">
        <v>3915</v>
      </c>
      <c r="B216" s="28" t="s">
        <v>3916</v>
      </c>
      <c r="C216" s="41" t="s">
        <v>3917</v>
      </c>
      <c r="E216" s="42">
        <v>46065</v>
      </c>
      <c r="F216" s="61" t="s">
        <v>4631</v>
      </c>
      <c r="G216" s="55">
        <v>70.25</v>
      </c>
      <c r="H216" s="55" t="s">
        <v>227</v>
      </c>
      <c r="I216" s="55" t="s">
        <v>16</v>
      </c>
      <c r="J216" s="35" t="s">
        <v>4466</v>
      </c>
      <c r="K216" s="55">
        <v>4001</v>
      </c>
      <c r="L216" s="55" t="s">
        <v>3855</v>
      </c>
      <c r="M216" s="28" t="s">
        <v>4337</v>
      </c>
      <c r="N216" s="28" t="s">
        <v>301</v>
      </c>
      <c r="O216" s="47"/>
      <c r="P216" s="44">
        <f t="shared" si="3"/>
        <v>71</v>
      </c>
    </row>
    <row r="217" spans="1:16" s="28" customFormat="1" x14ac:dyDescent="0.25">
      <c r="A217" s="28" t="s">
        <v>3915</v>
      </c>
      <c r="B217" s="28" t="s">
        <v>3916</v>
      </c>
      <c r="C217" s="41" t="s">
        <v>3917</v>
      </c>
      <c r="E217" s="42">
        <v>46065</v>
      </c>
      <c r="F217" s="61" t="s">
        <v>4633</v>
      </c>
      <c r="G217" s="28">
        <v>816.56</v>
      </c>
      <c r="H217" s="28" t="s">
        <v>227</v>
      </c>
      <c r="I217" s="43" t="s">
        <v>3864</v>
      </c>
      <c r="J217" s="41" t="s">
        <v>1491</v>
      </c>
      <c r="K217" s="55">
        <v>4263</v>
      </c>
      <c r="L217" s="55" t="s">
        <v>3855</v>
      </c>
      <c r="M217" s="28" t="s">
        <v>4337</v>
      </c>
      <c r="N217" s="28" t="s">
        <v>301</v>
      </c>
      <c r="O217" s="47"/>
      <c r="P217" s="28">
        <f t="shared" si="3"/>
        <v>51</v>
      </c>
    </row>
    <row r="218" spans="1:16" s="28" customFormat="1" x14ac:dyDescent="0.25">
      <c r="A218" s="28" t="s">
        <v>3915</v>
      </c>
      <c r="B218" s="28" t="s">
        <v>3916</v>
      </c>
      <c r="C218" s="41" t="s">
        <v>3917</v>
      </c>
      <c r="E218" s="42">
        <v>46065</v>
      </c>
      <c r="F218" s="61" t="s">
        <v>4632</v>
      </c>
      <c r="G218" s="28">
        <v>816.57</v>
      </c>
      <c r="H218" s="28" t="s">
        <v>227</v>
      </c>
      <c r="I218" s="43" t="s">
        <v>3864</v>
      </c>
      <c r="J218" s="41" t="s">
        <v>1491</v>
      </c>
      <c r="K218" s="55">
        <v>6470</v>
      </c>
      <c r="L218" s="61" t="s">
        <v>3836</v>
      </c>
      <c r="M218" s="28" t="s">
        <v>4337</v>
      </c>
      <c r="N218" s="28" t="s">
        <v>301</v>
      </c>
      <c r="O218" s="60" t="s">
        <v>4845</v>
      </c>
      <c r="P218" s="28">
        <f t="shared" si="3"/>
        <v>51</v>
      </c>
    </row>
    <row r="219" spans="1:16" s="28" customFormat="1" ht="30" x14ac:dyDescent="0.25">
      <c r="A219" s="28" t="s">
        <v>3915</v>
      </c>
      <c r="B219" s="28" t="s">
        <v>3916</v>
      </c>
      <c r="C219" s="41" t="s">
        <v>3917</v>
      </c>
      <c r="E219" s="42">
        <v>46066</v>
      </c>
      <c r="F219" s="61" t="s">
        <v>4833</v>
      </c>
      <c r="G219" s="55">
        <v>30</v>
      </c>
      <c r="H219" s="55" t="s">
        <v>227</v>
      </c>
      <c r="I219" s="55" t="s">
        <v>3594</v>
      </c>
      <c r="J219" s="35" t="s">
        <v>790</v>
      </c>
      <c r="K219" s="55">
        <v>1020</v>
      </c>
      <c r="L219" s="61" t="s">
        <v>4634</v>
      </c>
      <c r="M219" s="28" t="s">
        <v>4337</v>
      </c>
      <c r="N219" s="28" t="s">
        <v>301</v>
      </c>
      <c r="O219" s="47" t="s">
        <v>4834</v>
      </c>
      <c r="P219" s="28">
        <f t="shared" si="3"/>
        <v>75</v>
      </c>
    </row>
    <row r="220" spans="1:16" s="28" customFormat="1" x14ac:dyDescent="0.25">
      <c r="A220" s="28" t="s">
        <v>3915</v>
      </c>
      <c r="B220" s="28" t="s">
        <v>3916</v>
      </c>
      <c r="C220" s="41" t="s">
        <v>3917</v>
      </c>
      <c r="E220" s="42">
        <v>46066</v>
      </c>
      <c r="F220" s="61" t="s">
        <v>4832</v>
      </c>
      <c r="G220" s="55">
        <v>1386.81</v>
      </c>
      <c r="H220" s="55" t="s">
        <v>227</v>
      </c>
      <c r="I220" s="55" t="s">
        <v>3594</v>
      </c>
      <c r="J220" s="35" t="s">
        <v>41</v>
      </c>
      <c r="K220" s="55">
        <v>1020</v>
      </c>
      <c r="L220" s="61" t="s">
        <v>4634</v>
      </c>
      <c r="M220" s="28" t="s">
        <v>4337</v>
      </c>
      <c r="N220" s="28" t="s">
        <v>301</v>
      </c>
      <c r="O220" s="47" t="s">
        <v>4635</v>
      </c>
      <c r="P220" s="28">
        <f t="shared" si="3"/>
        <v>66</v>
      </c>
    </row>
    <row r="221" spans="1:16" s="28" customFormat="1" x14ac:dyDescent="0.25">
      <c r="A221" s="28" t="s">
        <v>3915</v>
      </c>
      <c r="B221" s="28" t="s">
        <v>3916</v>
      </c>
      <c r="C221" s="41" t="s">
        <v>3917</v>
      </c>
      <c r="E221" s="42">
        <v>46070</v>
      </c>
      <c r="F221" s="61" t="s">
        <v>4636</v>
      </c>
      <c r="G221" s="55">
        <v>42.45</v>
      </c>
      <c r="H221" s="55" t="s">
        <v>227</v>
      </c>
      <c r="I221" s="61" t="s">
        <v>3922</v>
      </c>
      <c r="J221" s="35" t="s">
        <v>737</v>
      </c>
      <c r="K221" s="55">
        <v>4001</v>
      </c>
      <c r="L221" s="55" t="s">
        <v>3855</v>
      </c>
      <c r="M221" s="28" t="s">
        <v>4337</v>
      </c>
      <c r="N221" s="28" t="s">
        <v>301</v>
      </c>
      <c r="O221" s="47"/>
      <c r="P221" s="28">
        <f t="shared" si="3"/>
        <v>42</v>
      </c>
    </row>
    <row r="222" spans="1:16" s="28" customFormat="1" x14ac:dyDescent="0.25">
      <c r="A222" s="28" t="s">
        <v>3915</v>
      </c>
      <c r="B222" s="28" t="s">
        <v>3916</v>
      </c>
      <c r="C222" s="41" t="s">
        <v>3917</v>
      </c>
      <c r="E222" s="42">
        <v>46071</v>
      </c>
      <c r="F222" s="61" t="s">
        <v>4637</v>
      </c>
      <c r="G222" s="55">
        <v>45</v>
      </c>
      <c r="H222" s="55" t="s">
        <v>227</v>
      </c>
      <c r="I222" s="55" t="s">
        <v>16</v>
      </c>
      <c r="J222" s="35" t="s">
        <v>232</v>
      </c>
      <c r="K222" s="55">
        <v>4001</v>
      </c>
      <c r="L222" s="55" t="s">
        <v>3855</v>
      </c>
      <c r="M222" s="28" t="s">
        <v>4337</v>
      </c>
      <c r="N222" s="28" t="s">
        <v>301</v>
      </c>
      <c r="O222" s="47"/>
      <c r="P222" s="28">
        <f t="shared" si="3"/>
        <v>50</v>
      </c>
    </row>
    <row r="223" spans="1:16" s="28" customFormat="1" x14ac:dyDescent="0.25">
      <c r="A223" s="28" t="s">
        <v>3915</v>
      </c>
      <c r="B223" s="28" t="s">
        <v>3916</v>
      </c>
      <c r="C223" s="41" t="s">
        <v>3917</v>
      </c>
      <c r="E223" s="42">
        <v>46072</v>
      </c>
      <c r="F223" s="61" t="s">
        <v>4638</v>
      </c>
      <c r="G223" s="55">
        <v>914.37</v>
      </c>
      <c r="H223" s="55" t="s">
        <v>227</v>
      </c>
      <c r="I223" s="55" t="s">
        <v>16</v>
      </c>
      <c r="J223" s="35" t="s">
        <v>970</v>
      </c>
      <c r="K223" s="55">
        <v>4001</v>
      </c>
      <c r="L223" s="55" t="s">
        <v>3855</v>
      </c>
      <c r="M223" s="28" t="s">
        <v>4337</v>
      </c>
      <c r="N223" s="28" t="s">
        <v>301</v>
      </c>
      <c r="O223" s="47"/>
      <c r="P223" s="28">
        <f t="shared" si="3"/>
        <v>39</v>
      </c>
    </row>
    <row r="224" spans="1:16" s="28" customFormat="1" x14ac:dyDescent="0.25">
      <c r="A224" s="28" t="s">
        <v>3915</v>
      </c>
      <c r="B224" s="28" t="s">
        <v>3916</v>
      </c>
      <c r="C224" s="41" t="s">
        <v>3917</v>
      </c>
      <c r="E224" s="42">
        <v>46072</v>
      </c>
      <c r="F224" s="61" t="s">
        <v>4753</v>
      </c>
      <c r="G224" s="28">
        <v>577.13</v>
      </c>
      <c r="H224" s="28" t="s">
        <v>227</v>
      </c>
      <c r="I224" s="55" t="s">
        <v>21</v>
      </c>
      <c r="J224" s="41" t="s">
        <v>739</v>
      </c>
      <c r="K224" s="55">
        <v>4263</v>
      </c>
      <c r="L224" s="55" t="s">
        <v>3855</v>
      </c>
      <c r="M224" s="28" t="s">
        <v>4337</v>
      </c>
      <c r="N224" s="28" t="s">
        <v>301</v>
      </c>
      <c r="O224" s="47"/>
      <c r="P224" s="28">
        <f t="shared" si="3"/>
        <v>69</v>
      </c>
    </row>
    <row r="225" spans="1:16" s="28" customFormat="1" x14ac:dyDescent="0.25">
      <c r="A225" s="28" t="s">
        <v>3915</v>
      </c>
      <c r="B225" s="28" t="s">
        <v>3916</v>
      </c>
      <c r="C225" s="41" t="s">
        <v>3917</v>
      </c>
      <c r="E225" s="42">
        <v>46072</v>
      </c>
      <c r="F225" s="61" t="s">
        <v>4628</v>
      </c>
      <c r="G225" s="55">
        <v>248.6</v>
      </c>
      <c r="H225" s="55" t="s">
        <v>227</v>
      </c>
      <c r="I225" s="55" t="s">
        <v>21</v>
      </c>
      <c r="J225" s="35" t="s">
        <v>739</v>
      </c>
      <c r="K225" s="55">
        <v>4001</v>
      </c>
      <c r="L225" s="55" t="s">
        <v>3855</v>
      </c>
      <c r="M225" s="28" t="s">
        <v>4337</v>
      </c>
      <c r="N225" s="28" t="s">
        <v>301</v>
      </c>
      <c r="O225" s="47"/>
      <c r="P225" s="28">
        <f t="shared" si="3"/>
        <v>53</v>
      </c>
    </row>
    <row r="226" spans="1:16" s="28" customFormat="1" x14ac:dyDescent="0.25">
      <c r="A226" s="28" t="s">
        <v>3915</v>
      </c>
      <c r="B226" s="28" t="s">
        <v>3916</v>
      </c>
      <c r="C226" s="41" t="s">
        <v>3917</v>
      </c>
      <c r="E226" s="42">
        <v>46072</v>
      </c>
      <c r="F226" s="55" t="s">
        <v>4639</v>
      </c>
      <c r="G226" s="55">
        <v>255.13</v>
      </c>
      <c r="H226" s="55" t="s">
        <v>227</v>
      </c>
      <c r="I226" s="55" t="s">
        <v>21</v>
      </c>
      <c r="J226" s="35" t="s">
        <v>739</v>
      </c>
      <c r="K226" s="55">
        <v>4001</v>
      </c>
      <c r="L226" s="55" t="s">
        <v>3855</v>
      </c>
      <c r="M226" s="28" t="s">
        <v>4337</v>
      </c>
      <c r="N226" s="28" t="s">
        <v>301</v>
      </c>
      <c r="O226" s="47"/>
      <c r="P226" s="28">
        <f t="shared" si="3"/>
        <v>53</v>
      </c>
    </row>
    <row r="227" spans="1:16" s="28" customFormat="1" x14ac:dyDescent="0.25">
      <c r="A227" s="28" t="s">
        <v>3915</v>
      </c>
      <c r="B227" s="28" t="s">
        <v>3916</v>
      </c>
      <c r="C227" s="41" t="s">
        <v>3917</v>
      </c>
      <c r="E227" s="42">
        <v>46072</v>
      </c>
      <c r="F227" s="61" t="s">
        <v>4874</v>
      </c>
      <c r="G227" s="55">
        <v>278.99</v>
      </c>
      <c r="H227" s="55" t="s">
        <v>227</v>
      </c>
      <c r="I227" s="55" t="s">
        <v>21</v>
      </c>
      <c r="J227" s="35" t="s">
        <v>739</v>
      </c>
      <c r="K227" s="55">
        <v>4001</v>
      </c>
      <c r="L227" s="55" t="s">
        <v>3855</v>
      </c>
      <c r="M227" s="28" t="s">
        <v>4337</v>
      </c>
      <c r="N227" s="28" t="s">
        <v>301</v>
      </c>
      <c r="O227" s="47"/>
      <c r="P227" s="28">
        <f t="shared" si="3"/>
        <v>49</v>
      </c>
    </row>
    <row r="228" spans="1:16" s="28" customFormat="1" x14ac:dyDescent="0.25">
      <c r="A228" s="28" t="s">
        <v>3915</v>
      </c>
      <c r="B228" s="28" t="s">
        <v>3916</v>
      </c>
      <c r="C228" s="41" t="s">
        <v>3917</v>
      </c>
      <c r="E228" s="42">
        <v>46072</v>
      </c>
      <c r="F228" s="43" t="s">
        <v>4528</v>
      </c>
      <c r="G228" s="28">
        <v>-1668.4</v>
      </c>
      <c r="H228" s="28" t="s">
        <v>227</v>
      </c>
      <c r="I228" s="28" t="s">
        <v>3594</v>
      </c>
      <c r="J228" s="41" t="s">
        <v>41</v>
      </c>
      <c r="K228" s="28">
        <v>1035</v>
      </c>
      <c r="L228" s="28" t="s">
        <v>3855</v>
      </c>
      <c r="M228" s="28" t="s">
        <v>4337</v>
      </c>
      <c r="N228" s="28" t="s">
        <v>301</v>
      </c>
      <c r="O228" s="47" t="s">
        <v>4640</v>
      </c>
      <c r="P228" s="28">
        <f t="shared" si="3"/>
        <v>44</v>
      </c>
    </row>
    <row r="229" spans="1:16" s="28" customFormat="1" ht="60" x14ac:dyDescent="0.25">
      <c r="A229" s="28" t="s">
        <v>3915</v>
      </c>
      <c r="B229" s="28" t="s">
        <v>3916</v>
      </c>
      <c r="C229" s="41" t="s">
        <v>3917</v>
      </c>
      <c r="E229" s="42">
        <v>46072</v>
      </c>
      <c r="F229" s="43" t="s">
        <v>4888</v>
      </c>
      <c r="G229" s="28">
        <v>6830.84</v>
      </c>
      <c r="H229" s="28" t="s">
        <v>227</v>
      </c>
      <c r="I229" s="28" t="s">
        <v>3864</v>
      </c>
      <c r="J229" s="41" t="s">
        <v>979</v>
      </c>
      <c r="K229" s="28">
        <v>4246</v>
      </c>
      <c r="L229" s="28" t="s">
        <v>3855</v>
      </c>
      <c r="M229" s="28" t="s">
        <v>4337</v>
      </c>
      <c r="N229" s="28" t="s">
        <v>301</v>
      </c>
      <c r="O229" s="47" t="s">
        <v>4887</v>
      </c>
      <c r="P229" s="28">
        <f t="shared" si="3"/>
        <v>51</v>
      </c>
    </row>
    <row r="230" spans="1:16" s="28" customFormat="1" x14ac:dyDescent="0.25">
      <c r="A230" s="28" t="s">
        <v>3915</v>
      </c>
      <c r="B230" s="28" t="s">
        <v>3916</v>
      </c>
      <c r="C230" s="41" t="s">
        <v>3917</v>
      </c>
      <c r="E230" s="42">
        <v>46072</v>
      </c>
      <c r="F230" s="61" t="s">
        <v>4641</v>
      </c>
      <c r="G230" s="55">
        <v>1083.1300000000001</v>
      </c>
      <c r="H230" s="55" t="s">
        <v>227</v>
      </c>
      <c r="I230" s="55" t="s">
        <v>21</v>
      </c>
      <c r="J230" s="35" t="s">
        <v>739</v>
      </c>
      <c r="K230" s="55">
        <v>4001</v>
      </c>
      <c r="L230" s="55" t="s">
        <v>3855</v>
      </c>
      <c r="M230" s="28" t="s">
        <v>4337</v>
      </c>
      <c r="N230" s="28" t="s">
        <v>301</v>
      </c>
      <c r="O230" s="47"/>
      <c r="P230" s="28">
        <f t="shared" si="3"/>
        <v>60</v>
      </c>
    </row>
    <row r="231" spans="1:16" s="28" customFormat="1" x14ac:dyDescent="0.25">
      <c r="A231" s="28" t="s">
        <v>3915</v>
      </c>
      <c r="B231" s="28" t="s">
        <v>3916</v>
      </c>
      <c r="C231" s="41" t="s">
        <v>3917</v>
      </c>
      <c r="E231" s="42">
        <v>46076</v>
      </c>
      <c r="F231" s="43" t="s">
        <v>4642</v>
      </c>
      <c r="G231" s="28">
        <v>476.14</v>
      </c>
      <c r="H231" s="28" t="s">
        <v>227</v>
      </c>
      <c r="I231" s="28" t="s">
        <v>16</v>
      </c>
      <c r="J231" s="41" t="s">
        <v>1090</v>
      </c>
      <c r="K231" s="28">
        <v>1035</v>
      </c>
      <c r="L231" s="28" t="s">
        <v>3855</v>
      </c>
      <c r="M231" s="28" t="s">
        <v>4337</v>
      </c>
      <c r="N231" s="28" t="s">
        <v>301</v>
      </c>
      <c r="O231" s="47"/>
      <c r="P231" s="28">
        <f t="shared" si="3"/>
        <v>57</v>
      </c>
    </row>
    <row r="232" spans="1:16" s="28" customFormat="1" ht="30" x14ac:dyDescent="0.25">
      <c r="A232" s="28" t="s">
        <v>3915</v>
      </c>
      <c r="B232" s="28" t="s">
        <v>3916</v>
      </c>
      <c r="C232" s="41" t="s">
        <v>3917</v>
      </c>
      <c r="E232" s="42">
        <v>46077</v>
      </c>
      <c r="F232" s="61" t="s">
        <v>3921</v>
      </c>
      <c r="G232" s="55">
        <v>14.99</v>
      </c>
      <c r="H232" s="55" t="s">
        <v>227</v>
      </c>
      <c r="I232" s="55" t="s">
        <v>3922</v>
      </c>
      <c r="J232" s="35" t="s">
        <v>649</v>
      </c>
      <c r="K232" s="55">
        <v>4001</v>
      </c>
      <c r="L232" s="55" t="s">
        <v>3855</v>
      </c>
      <c r="M232" s="28" t="s">
        <v>4337</v>
      </c>
      <c r="N232" s="28" t="s">
        <v>301</v>
      </c>
      <c r="O232" s="60" t="s">
        <v>4885</v>
      </c>
      <c r="P232" s="28">
        <f t="shared" si="3"/>
        <v>40</v>
      </c>
    </row>
    <row r="233" spans="1:16" s="28" customFormat="1" x14ac:dyDescent="0.25">
      <c r="A233" s="28" t="s">
        <v>3915</v>
      </c>
      <c r="B233" s="28" t="s">
        <v>3916</v>
      </c>
      <c r="C233" s="41" t="s">
        <v>3917</v>
      </c>
      <c r="E233" s="42">
        <v>46080</v>
      </c>
      <c r="F233" s="43" t="s">
        <v>4861</v>
      </c>
      <c r="G233" s="28">
        <v>763.83</v>
      </c>
      <c r="H233" s="28" t="s">
        <v>227</v>
      </c>
      <c r="I233" s="28" t="s">
        <v>16</v>
      </c>
      <c r="J233" s="41" t="s">
        <v>1533</v>
      </c>
      <c r="K233" s="28">
        <v>4246</v>
      </c>
      <c r="L233" s="28" t="s">
        <v>3855</v>
      </c>
      <c r="M233" s="28" t="s">
        <v>4337</v>
      </c>
      <c r="N233" s="28" t="s">
        <v>301</v>
      </c>
      <c r="O233" s="47"/>
      <c r="P233" s="28">
        <f t="shared" si="3"/>
        <v>46</v>
      </c>
    </row>
    <row r="234" spans="1:16" s="28" customFormat="1" x14ac:dyDescent="0.25">
      <c r="A234" s="28" t="s">
        <v>3915</v>
      </c>
      <c r="B234" s="28" t="s">
        <v>3916</v>
      </c>
      <c r="C234" s="41" t="s">
        <v>3917</v>
      </c>
      <c r="E234" s="42">
        <v>46080</v>
      </c>
      <c r="F234" s="43" t="s">
        <v>4862</v>
      </c>
      <c r="G234" s="28">
        <v>987.43</v>
      </c>
      <c r="H234" s="28" t="s">
        <v>227</v>
      </c>
      <c r="I234" s="28" t="s">
        <v>16</v>
      </c>
      <c r="J234" s="41" t="s">
        <v>677</v>
      </c>
      <c r="K234" s="28">
        <v>4246</v>
      </c>
      <c r="L234" s="28" t="s">
        <v>3855</v>
      </c>
      <c r="M234" s="28" t="s">
        <v>4337</v>
      </c>
      <c r="N234" s="28" t="s">
        <v>301</v>
      </c>
      <c r="O234" s="47"/>
      <c r="P234" s="28">
        <f t="shared" si="3"/>
        <v>55</v>
      </c>
    </row>
    <row r="235" spans="1:16" s="28" customFormat="1" x14ac:dyDescent="0.25">
      <c r="A235" s="28" t="s">
        <v>3915</v>
      </c>
      <c r="B235" s="28" t="s">
        <v>3916</v>
      </c>
      <c r="C235" s="41" t="s">
        <v>3917</v>
      </c>
      <c r="E235" s="42">
        <v>46082</v>
      </c>
      <c r="F235" s="55" t="s">
        <v>3899</v>
      </c>
      <c r="G235" s="55">
        <v>237.44</v>
      </c>
      <c r="H235" s="55" t="s">
        <v>227</v>
      </c>
      <c r="I235" s="55" t="s">
        <v>21</v>
      </c>
      <c r="J235" s="35" t="s">
        <v>739</v>
      </c>
      <c r="K235" s="55">
        <v>1008</v>
      </c>
      <c r="L235" s="55" t="s">
        <v>3855</v>
      </c>
      <c r="M235" s="28" t="s">
        <v>4337</v>
      </c>
      <c r="N235" s="49" t="s">
        <v>301</v>
      </c>
      <c r="O235" s="60" t="s">
        <v>4830</v>
      </c>
      <c r="P235" s="28">
        <f t="shared" si="3"/>
        <v>26</v>
      </c>
    </row>
    <row r="236" spans="1:16" s="28" customFormat="1" x14ac:dyDescent="0.25">
      <c r="A236" s="28" t="s">
        <v>3915</v>
      </c>
      <c r="B236" s="28" t="s">
        <v>3916</v>
      </c>
      <c r="C236" s="41" t="s">
        <v>3917</v>
      </c>
      <c r="E236" s="42">
        <v>46085</v>
      </c>
      <c r="F236" s="43" t="s">
        <v>4643</v>
      </c>
      <c r="G236" s="28">
        <v>7833.32</v>
      </c>
      <c r="H236" s="28" t="s">
        <v>227</v>
      </c>
      <c r="I236" s="28" t="s">
        <v>16</v>
      </c>
      <c r="J236" s="41" t="s">
        <v>1750</v>
      </c>
      <c r="K236" s="28">
        <v>4246</v>
      </c>
      <c r="L236" s="28" t="s">
        <v>3855</v>
      </c>
      <c r="M236" s="28" t="s">
        <v>4337</v>
      </c>
      <c r="N236" s="28" t="s">
        <v>301</v>
      </c>
      <c r="O236" s="47"/>
      <c r="P236" s="28">
        <f t="shared" si="3"/>
        <v>50</v>
      </c>
    </row>
    <row r="237" spans="1:16" s="28" customFormat="1" ht="45" x14ac:dyDescent="0.25">
      <c r="A237" s="28" t="s">
        <v>3875</v>
      </c>
      <c r="B237" s="28" t="s">
        <v>3876</v>
      </c>
      <c r="C237" s="41" t="s">
        <v>3877</v>
      </c>
      <c r="E237" s="42">
        <v>46057</v>
      </c>
      <c r="F237" s="61" t="s">
        <v>4839</v>
      </c>
      <c r="G237" s="28">
        <v>17726.63</v>
      </c>
      <c r="H237" s="28" t="s">
        <v>227</v>
      </c>
      <c r="I237" s="55" t="s">
        <v>3594</v>
      </c>
      <c r="J237" s="41" t="s">
        <v>1844</v>
      </c>
      <c r="K237" s="55">
        <v>6915</v>
      </c>
      <c r="L237" s="55" t="s">
        <v>3836</v>
      </c>
      <c r="M237" s="28" t="s">
        <v>4337</v>
      </c>
      <c r="N237" s="28" t="s">
        <v>565</v>
      </c>
      <c r="O237" s="47" t="s">
        <v>4838</v>
      </c>
      <c r="P237" s="28">
        <f t="shared" si="3"/>
        <v>54</v>
      </c>
    </row>
    <row r="238" spans="1:16" s="28" customFormat="1" x14ac:dyDescent="0.25">
      <c r="A238" s="28" t="s">
        <v>3875</v>
      </c>
      <c r="B238" s="28" t="s">
        <v>3876</v>
      </c>
      <c r="C238" s="41" t="s">
        <v>3877</v>
      </c>
      <c r="E238" s="42">
        <v>46057</v>
      </c>
      <c r="F238" s="61" t="s">
        <v>4840</v>
      </c>
      <c r="G238" s="28">
        <v>45</v>
      </c>
      <c r="H238" s="28" t="s">
        <v>227</v>
      </c>
      <c r="I238" s="55" t="s">
        <v>3594</v>
      </c>
      <c r="J238" s="41" t="s">
        <v>790</v>
      </c>
      <c r="K238" s="55">
        <v>6915</v>
      </c>
      <c r="L238" s="55" t="s">
        <v>3836</v>
      </c>
      <c r="M238" s="28" t="s">
        <v>4337</v>
      </c>
      <c r="N238" s="28" t="s">
        <v>565</v>
      </c>
      <c r="O238" s="47"/>
      <c r="P238" s="28">
        <f t="shared" si="3"/>
        <v>59</v>
      </c>
    </row>
    <row r="239" spans="1:16" s="28" customFormat="1" x14ac:dyDescent="0.25">
      <c r="A239" s="28" t="s">
        <v>3875</v>
      </c>
      <c r="B239" s="28" t="s">
        <v>3876</v>
      </c>
      <c r="C239" s="41" t="s">
        <v>3877</v>
      </c>
      <c r="E239" s="42">
        <v>46063</v>
      </c>
      <c r="F239" s="55" t="s">
        <v>3886</v>
      </c>
      <c r="G239" s="28">
        <v>25.99</v>
      </c>
      <c r="H239" s="28" t="s">
        <v>227</v>
      </c>
      <c r="I239" s="55" t="s">
        <v>21</v>
      </c>
      <c r="J239" s="41" t="s">
        <v>239</v>
      </c>
      <c r="K239" s="55">
        <v>6448</v>
      </c>
      <c r="L239" s="55" t="s">
        <v>3836</v>
      </c>
      <c r="M239" s="28" t="s">
        <v>4337</v>
      </c>
      <c r="N239" s="28" t="s">
        <v>565</v>
      </c>
      <c r="O239" s="47"/>
      <c r="P239" s="28">
        <f t="shared" si="3"/>
        <v>56</v>
      </c>
    </row>
    <row r="240" spans="1:16" s="28" customFormat="1" x14ac:dyDescent="0.25">
      <c r="A240" s="28" t="s">
        <v>3875</v>
      </c>
      <c r="B240" s="28" t="s">
        <v>3876</v>
      </c>
      <c r="C240" s="41" t="s">
        <v>3877</v>
      </c>
      <c r="E240" s="42">
        <v>46064</v>
      </c>
      <c r="F240" s="55" t="s">
        <v>3889</v>
      </c>
      <c r="G240" s="28">
        <v>23.72</v>
      </c>
      <c r="H240" s="28" t="s">
        <v>227</v>
      </c>
      <c r="I240" s="55" t="s">
        <v>21</v>
      </c>
      <c r="J240" s="41" t="s">
        <v>239</v>
      </c>
      <c r="K240" s="55">
        <v>6448</v>
      </c>
      <c r="L240" s="55" t="s">
        <v>3836</v>
      </c>
      <c r="M240" s="28" t="s">
        <v>4337</v>
      </c>
      <c r="N240" s="28" t="s">
        <v>565</v>
      </c>
      <c r="O240" s="47"/>
      <c r="P240" s="28">
        <f t="shared" si="3"/>
        <v>56</v>
      </c>
    </row>
    <row r="241" spans="1:16" s="28" customFormat="1" x14ac:dyDescent="0.25">
      <c r="A241" s="28" t="s">
        <v>3875</v>
      </c>
      <c r="B241" s="28" t="s">
        <v>3876</v>
      </c>
      <c r="C241" s="41" t="s">
        <v>3877</v>
      </c>
      <c r="E241" s="42">
        <v>46064</v>
      </c>
      <c r="F241" s="55" t="s">
        <v>3886</v>
      </c>
      <c r="G241" s="28">
        <v>20.7</v>
      </c>
      <c r="H241" s="28" t="s">
        <v>227</v>
      </c>
      <c r="I241" s="55" t="s">
        <v>21</v>
      </c>
      <c r="J241" s="41" t="s">
        <v>239</v>
      </c>
      <c r="K241" s="55">
        <v>6448</v>
      </c>
      <c r="L241" s="55" t="s">
        <v>3836</v>
      </c>
      <c r="M241" s="28" t="s">
        <v>4337</v>
      </c>
      <c r="N241" s="28" t="s">
        <v>565</v>
      </c>
      <c r="O241" s="47"/>
      <c r="P241" s="28">
        <f t="shared" si="3"/>
        <v>56</v>
      </c>
    </row>
    <row r="242" spans="1:16" s="28" customFormat="1" x14ac:dyDescent="0.25">
      <c r="A242" s="28" t="s">
        <v>3875</v>
      </c>
      <c r="B242" s="28" t="s">
        <v>3876</v>
      </c>
      <c r="C242" s="41" t="s">
        <v>3877</v>
      </c>
      <c r="E242" s="42">
        <v>46064</v>
      </c>
      <c r="F242" s="55" t="s">
        <v>3890</v>
      </c>
      <c r="G242" s="28">
        <v>8.1999999999999993</v>
      </c>
      <c r="H242" s="28" t="s">
        <v>227</v>
      </c>
      <c r="I242" s="28" t="s">
        <v>16</v>
      </c>
      <c r="J242" s="41" t="s">
        <v>3214</v>
      </c>
      <c r="K242" s="55">
        <v>6448</v>
      </c>
      <c r="L242" s="55" t="s">
        <v>3836</v>
      </c>
      <c r="M242" s="28" t="s">
        <v>4337</v>
      </c>
      <c r="N242" s="28" t="s">
        <v>565</v>
      </c>
      <c r="O242" s="47"/>
      <c r="P242" s="28">
        <f t="shared" si="3"/>
        <v>63</v>
      </c>
    </row>
    <row r="243" spans="1:16" s="28" customFormat="1" x14ac:dyDescent="0.25">
      <c r="A243" s="28" t="s">
        <v>3875</v>
      </c>
      <c r="B243" s="28" t="s">
        <v>3876</v>
      </c>
      <c r="C243" s="41" t="s">
        <v>3877</v>
      </c>
      <c r="E243" s="42">
        <v>46065</v>
      </c>
      <c r="F243" s="61" t="s">
        <v>4644</v>
      </c>
      <c r="G243" s="28">
        <v>68.98</v>
      </c>
      <c r="H243" s="28" t="s">
        <v>227</v>
      </c>
      <c r="I243" s="55" t="s">
        <v>21</v>
      </c>
      <c r="J243" s="41" t="s">
        <v>239</v>
      </c>
      <c r="K243" s="55">
        <v>6448</v>
      </c>
      <c r="L243" s="55" t="s">
        <v>3836</v>
      </c>
      <c r="M243" s="28" t="s">
        <v>4337</v>
      </c>
      <c r="N243" s="28" t="s">
        <v>565</v>
      </c>
      <c r="O243" s="47"/>
      <c r="P243" s="28">
        <f t="shared" si="3"/>
        <v>54</v>
      </c>
    </row>
    <row r="244" spans="1:16" s="28" customFormat="1" x14ac:dyDescent="0.25">
      <c r="A244" s="28" t="s">
        <v>3875</v>
      </c>
      <c r="B244" s="28" t="s">
        <v>3876</v>
      </c>
      <c r="C244" s="41" t="s">
        <v>3877</v>
      </c>
      <c r="E244" s="42">
        <v>46065</v>
      </c>
      <c r="F244" s="55" t="s">
        <v>3886</v>
      </c>
      <c r="G244" s="28">
        <v>26.94</v>
      </c>
      <c r="H244" s="28" t="s">
        <v>227</v>
      </c>
      <c r="I244" s="55" t="s">
        <v>21</v>
      </c>
      <c r="J244" s="41" t="s">
        <v>239</v>
      </c>
      <c r="K244" s="55">
        <v>6448</v>
      </c>
      <c r="L244" s="55" t="s">
        <v>3836</v>
      </c>
      <c r="M244" s="28" t="s">
        <v>4337</v>
      </c>
      <c r="N244" s="28" t="s">
        <v>565</v>
      </c>
      <c r="O244" s="47"/>
      <c r="P244" s="28">
        <f t="shared" si="3"/>
        <v>56</v>
      </c>
    </row>
    <row r="245" spans="1:16" s="28" customFormat="1" x14ac:dyDescent="0.25">
      <c r="A245" s="28" t="s">
        <v>3875</v>
      </c>
      <c r="B245" s="28" t="s">
        <v>3876</v>
      </c>
      <c r="C245" s="41" t="s">
        <v>3877</v>
      </c>
      <c r="E245" s="42">
        <v>46065</v>
      </c>
      <c r="F245" s="55" t="s">
        <v>3887</v>
      </c>
      <c r="G245" s="28">
        <v>637.32000000000005</v>
      </c>
      <c r="H245" s="28" t="s">
        <v>227</v>
      </c>
      <c r="I245" s="28" t="s">
        <v>3864</v>
      </c>
      <c r="J245" s="41" t="s">
        <v>819</v>
      </c>
      <c r="K245" s="55">
        <v>6448</v>
      </c>
      <c r="L245" s="55" t="s">
        <v>3836</v>
      </c>
      <c r="M245" s="28" t="s">
        <v>4337</v>
      </c>
      <c r="N245" s="28" t="s">
        <v>565</v>
      </c>
      <c r="O245" s="47"/>
      <c r="P245" s="28">
        <f t="shared" si="3"/>
        <v>53</v>
      </c>
    </row>
    <row r="246" spans="1:16" s="28" customFormat="1" x14ac:dyDescent="0.25">
      <c r="A246" s="28" t="s">
        <v>3875</v>
      </c>
      <c r="B246" s="28" t="s">
        <v>3876</v>
      </c>
      <c r="C246" s="41" t="s">
        <v>3877</v>
      </c>
      <c r="E246" s="42">
        <v>46065</v>
      </c>
      <c r="F246" s="61" t="s">
        <v>3890</v>
      </c>
      <c r="G246" s="28">
        <v>13.49</v>
      </c>
      <c r="H246" s="28" t="s">
        <v>227</v>
      </c>
      <c r="I246" s="28" t="s">
        <v>16</v>
      </c>
      <c r="J246" s="41" t="s">
        <v>1433</v>
      </c>
      <c r="K246" s="55">
        <v>6448</v>
      </c>
      <c r="L246" s="55" t="s">
        <v>3836</v>
      </c>
      <c r="M246" s="28" t="s">
        <v>4337</v>
      </c>
      <c r="N246" s="28" t="s">
        <v>565</v>
      </c>
      <c r="O246" s="47"/>
      <c r="P246" s="28">
        <f t="shared" si="3"/>
        <v>59</v>
      </c>
    </row>
    <row r="247" spans="1:16" s="28" customFormat="1" x14ac:dyDescent="0.25">
      <c r="A247" s="28" t="s">
        <v>3875</v>
      </c>
      <c r="B247" s="28" t="s">
        <v>3876</v>
      </c>
      <c r="C247" s="41" t="s">
        <v>3877</v>
      </c>
      <c r="E247" s="42">
        <v>46070</v>
      </c>
      <c r="F247" s="61" t="s">
        <v>4841</v>
      </c>
      <c r="G247" s="28">
        <v>19.440000000000001</v>
      </c>
      <c r="H247" s="28" t="s">
        <v>227</v>
      </c>
      <c r="I247" s="28" t="s">
        <v>16</v>
      </c>
      <c r="J247" s="41" t="s">
        <v>918</v>
      </c>
      <c r="K247" s="55">
        <v>6915</v>
      </c>
      <c r="L247" s="55" t="s">
        <v>3836</v>
      </c>
      <c r="M247" s="28" t="s">
        <v>4337</v>
      </c>
      <c r="N247" s="28" t="s">
        <v>565</v>
      </c>
      <c r="O247" s="47"/>
      <c r="P247" s="28">
        <f t="shared" si="3"/>
        <v>50</v>
      </c>
    </row>
    <row r="248" spans="1:16" s="28" customFormat="1" x14ac:dyDescent="0.25">
      <c r="A248" s="28" t="s">
        <v>3875</v>
      </c>
      <c r="B248" s="28" t="s">
        <v>3876</v>
      </c>
      <c r="C248" s="41" t="s">
        <v>3877</v>
      </c>
      <c r="E248" s="42">
        <v>46070</v>
      </c>
      <c r="F248" s="61" t="s">
        <v>4842</v>
      </c>
      <c r="G248" s="28">
        <v>225.93</v>
      </c>
      <c r="H248" s="28" t="s">
        <v>227</v>
      </c>
      <c r="I248" s="28" t="s">
        <v>3864</v>
      </c>
      <c r="J248" s="41" t="s">
        <v>918</v>
      </c>
      <c r="K248" s="55">
        <v>6915</v>
      </c>
      <c r="L248" s="55" t="s">
        <v>3836</v>
      </c>
      <c r="M248" s="28" t="s">
        <v>4337</v>
      </c>
      <c r="N248" s="28" t="s">
        <v>565</v>
      </c>
      <c r="O248" s="47"/>
      <c r="P248" s="28">
        <f t="shared" si="3"/>
        <v>46</v>
      </c>
    </row>
    <row r="249" spans="1:16" s="28" customFormat="1" x14ac:dyDescent="0.25">
      <c r="A249" s="28" t="s">
        <v>3875</v>
      </c>
      <c r="B249" s="28" t="s">
        <v>3876</v>
      </c>
      <c r="C249" s="41" t="s">
        <v>3877</v>
      </c>
      <c r="E249" s="42">
        <v>46075</v>
      </c>
      <c r="F249" s="43" t="s">
        <v>4540</v>
      </c>
      <c r="G249" s="28">
        <v>11.82</v>
      </c>
      <c r="H249" s="28" t="s">
        <v>227</v>
      </c>
      <c r="I249" s="28" t="s">
        <v>16</v>
      </c>
      <c r="J249" s="41" t="s">
        <v>1015</v>
      </c>
      <c r="K249" s="28">
        <v>1035</v>
      </c>
      <c r="L249" s="28" t="s">
        <v>3836</v>
      </c>
      <c r="M249" s="28" t="s">
        <v>4337</v>
      </c>
      <c r="N249" s="28" t="s">
        <v>565</v>
      </c>
      <c r="O249" s="47"/>
      <c r="P249" s="28">
        <f t="shared" si="3"/>
        <v>47</v>
      </c>
    </row>
    <row r="250" spans="1:16" s="28" customFormat="1" x14ac:dyDescent="0.25">
      <c r="A250" s="28" t="s">
        <v>3875</v>
      </c>
      <c r="B250" s="28" t="s">
        <v>3876</v>
      </c>
      <c r="C250" s="41" t="s">
        <v>3877</v>
      </c>
      <c r="E250" s="42">
        <v>46076</v>
      </c>
      <c r="F250" s="43" t="s">
        <v>4540</v>
      </c>
      <c r="G250" s="28">
        <v>28.19</v>
      </c>
      <c r="H250" s="28" t="s">
        <v>227</v>
      </c>
      <c r="I250" s="28" t="s">
        <v>16</v>
      </c>
      <c r="J250" s="41" t="s">
        <v>4375</v>
      </c>
      <c r="K250" s="28">
        <v>1035</v>
      </c>
      <c r="L250" s="28" t="s">
        <v>3836</v>
      </c>
      <c r="M250" s="28" t="s">
        <v>4337</v>
      </c>
      <c r="N250" s="28" t="s">
        <v>565</v>
      </c>
      <c r="O250" s="47"/>
      <c r="P250" s="28">
        <f t="shared" si="3"/>
        <v>58</v>
      </c>
    </row>
    <row r="251" spans="1:16" ht="30" x14ac:dyDescent="0.25">
      <c r="A251" s="28" t="s">
        <v>3875</v>
      </c>
      <c r="B251" s="28" t="s">
        <v>3876</v>
      </c>
      <c r="C251" s="41" t="s">
        <v>3877</v>
      </c>
      <c r="D251" s="28"/>
      <c r="E251" s="42">
        <v>46079</v>
      </c>
      <c r="F251" s="43" t="s">
        <v>4647</v>
      </c>
      <c r="G251" s="28">
        <v>0.02</v>
      </c>
      <c r="H251" s="28" t="s">
        <v>227</v>
      </c>
      <c r="I251" s="28" t="s">
        <v>3594</v>
      </c>
      <c r="J251" s="41" t="s">
        <v>601</v>
      </c>
      <c r="K251" s="28">
        <v>1035</v>
      </c>
      <c r="L251" s="28" t="s">
        <v>3836</v>
      </c>
      <c r="M251" s="28" t="s">
        <v>4337</v>
      </c>
      <c r="N251" s="28" t="s">
        <v>565</v>
      </c>
      <c r="O251" s="47" t="s">
        <v>4648</v>
      </c>
      <c r="P251" s="28">
        <f t="shared" si="3"/>
        <v>53</v>
      </c>
    </row>
    <row r="252" spans="1:16" s="28" customFormat="1" x14ac:dyDescent="0.25">
      <c r="A252" s="28" t="s">
        <v>3875</v>
      </c>
      <c r="B252" s="28" t="s">
        <v>3876</v>
      </c>
      <c r="C252" s="41" t="s">
        <v>3877</v>
      </c>
      <c r="E252" s="42">
        <v>46079</v>
      </c>
      <c r="F252" s="43" t="s">
        <v>4649</v>
      </c>
      <c r="G252" s="28">
        <v>30</v>
      </c>
      <c r="H252" s="28" t="s">
        <v>227</v>
      </c>
      <c r="I252" s="28" t="s">
        <v>3594</v>
      </c>
      <c r="J252" s="41" t="s">
        <v>790</v>
      </c>
      <c r="K252" s="28">
        <v>1035</v>
      </c>
      <c r="L252" s="28" t="s">
        <v>3836</v>
      </c>
      <c r="M252" s="28" t="s">
        <v>4337</v>
      </c>
      <c r="N252" s="28" t="s">
        <v>565</v>
      </c>
      <c r="O252" s="47"/>
      <c r="P252" s="28">
        <f t="shared" si="3"/>
        <v>55</v>
      </c>
    </row>
    <row r="253" spans="1:16" s="28" customFormat="1" x14ac:dyDescent="0.25">
      <c r="A253" s="28" t="s">
        <v>3875</v>
      </c>
      <c r="B253" s="28" t="s">
        <v>3876</v>
      </c>
      <c r="C253" s="41" t="s">
        <v>3877</v>
      </c>
      <c r="E253" s="42">
        <v>46079</v>
      </c>
      <c r="F253" s="43" t="s">
        <v>4540</v>
      </c>
      <c r="G253" s="28">
        <v>7.41</v>
      </c>
      <c r="H253" s="28" t="s">
        <v>227</v>
      </c>
      <c r="I253" s="28" t="s">
        <v>16</v>
      </c>
      <c r="J253" s="41" t="s">
        <v>4459</v>
      </c>
      <c r="K253" s="43">
        <v>1035</v>
      </c>
      <c r="L253" s="28" t="s">
        <v>3836</v>
      </c>
      <c r="M253" s="28" t="s">
        <v>4337</v>
      </c>
      <c r="N253" s="28" t="s">
        <v>565</v>
      </c>
      <c r="O253" s="47"/>
      <c r="P253" s="28">
        <f t="shared" si="3"/>
        <v>43</v>
      </c>
    </row>
    <row r="254" spans="1:16" s="28" customFormat="1" x14ac:dyDescent="0.25">
      <c r="A254" s="28" t="s">
        <v>3875</v>
      </c>
      <c r="B254" s="28" t="s">
        <v>3876</v>
      </c>
      <c r="C254" s="41" t="s">
        <v>3877</v>
      </c>
      <c r="E254" s="42">
        <v>46084</v>
      </c>
      <c r="F254" s="43" t="s">
        <v>4646</v>
      </c>
      <c r="G254" s="28">
        <v>-2185.1999999999998</v>
      </c>
      <c r="H254" s="28" t="s">
        <v>227</v>
      </c>
      <c r="I254" s="28" t="s">
        <v>3594</v>
      </c>
      <c r="J254" s="41" t="s">
        <v>601</v>
      </c>
      <c r="K254" s="28">
        <v>1035</v>
      </c>
      <c r="L254" s="28" t="s">
        <v>3836</v>
      </c>
      <c r="M254" s="28" t="s">
        <v>4337</v>
      </c>
      <c r="N254" s="28" t="s">
        <v>565</v>
      </c>
      <c r="O254" s="47"/>
      <c r="P254" s="28">
        <f t="shared" si="3"/>
        <v>51</v>
      </c>
    </row>
    <row r="255" spans="1:16" s="28" customFormat="1" x14ac:dyDescent="0.25">
      <c r="A255" s="28" t="s">
        <v>3875</v>
      </c>
      <c r="B255" s="28" t="s">
        <v>3876</v>
      </c>
      <c r="C255" s="41" t="s">
        <v>3877</v>
      </c>
      <c r="E255" s="42">
        <v>46084</v>
      </c>
      <c r="F255" s="28" t="s">
        <v>4645</v>
      </c>
      <c r="G255" s="28">
        <v>956.41</v>
      </c>
      <c r="H255" s="28" t="s">
        <v>227</v>
      </c>
      <c r="I255" s="28" t="s">
        <v>3594</v>
      </c>
      <c r="J255" s="41" t="s">
        <v>29</v>
      </c>
      <c r="K255" s="28">
        <v>1035</v>
      </c>
      <c r="L255" s="28" t="s">
        <v>3836</v>
      </c>
      <c r="M255" s="28" t="s">
        <v>4337</v>
      </c>
      <c r="N255" s="28" t="s">
        <v>565</v>
      </c>
      <c r="O255" s="47"/>
      <c r="P255" s="28">
        <f t="shared" si="3"/>
        <v>42</v>
      </c>
    </row>
    <row r="256" spans="1:16" s="28" customFormat="1" x14ac:dyDescent="0.25">
      <c r="A256" s="28" t="s">
        <v>3875</v>
      </c>
      <c r="B256" s="28" t="s">
        <v>3876</v>
      </c>
      <c r="C256" s="41" t="s">
        <v>3877</v>
      </c>
      <c r="E256" s="42">
        <v>46084</v>
      </c>
      <c r="F256" s="28" t="s">
        <v>4650</v>
      </c>
      <c r="G256" s="28">
        <v>30</v>
      </c>
      <c r="H256" s="28" t="s">
        <v>227</v>
      </c>
      <c r="I256" s="28" t="s">
        <v>3594</v>
      </c>
      <c r="J256" s="41" t="s">
        <v>790</v>
      </c>
      <c r="K256" s="28">
        <v>1035</v>
      </c>
      <c r="L256" s="28" t="s">
        <v>3836</v>
      </c>
      <c r="M256" s="28" t="s">
        <v>4337</v>
      </c>
      <c r="N256" s="28" t="s">
        <v>565</v>
      </c>
      <c r="O256" s="47"/>
      <c r="P256" s="28">
        <f t="shared" si="3"/>
        <v>50</v>
      </c>
    </row>
    <row r="257" spans="1:16" s="28" customFormat="1" x14ac:dyDescent="0.25">
      <c r="A257" s="28" t="s">
        <v>3875</v>
      </c>
      <c r="B257" s="28" t="s">
        <v>3876</v>
      </c>
      <c r="C257" s="41" t="s">
        <v>3877</v>
      </c>
      <c r="E257" s="42">
        <v>46086</v>
      </c>
      <c r="F257" s="55" t="s">
        <v>4651</v>
      </c>
      <c r="G257" s="28">
        <v>30</v>
      </c>
      <c r="H257" s="28" t="s">
        <v>227</v>
      </c>
      <c r="I257" s="55" t="s">
        <v>3594</v>
      </c>
      <c r="J257" s="41" t="s">
        <v>790</v>
      </c>
      <c r="K257" s="55">
        <v>6448</v>
      </c>
      <c r="L257" s="55" t="s">
        <v>3836</v>
      </c>
      <c r="M257" s="28" t="s">
        <v>4337</v>
      </c>
      <c r="N257" s="28" t="s">
        <v>565</v>
      </c>
      <c r="O257" s="47"/>
      <c r="P257" s="28">
        <f t="shared" ref="P257:P320" si="4">LEN(F257&amp;J257)+12</f>
        <v>61</v>
      </c>
    </row>
    <row r="258" spans="1:16" s="28" customFormat="1" x14ac:dyDescent="0.25">
      <c r="A258" s="28" t="s">
        <v>3875</v>
      </c>
      <c r="B258" s="28" t="s">
        <v>3876</v>
      </c>
      <c r="C258" s="41" t="s">
        <v>3877</v>
      </c>
      <c r="E258" s="42">
        <v>46086</v>
      </c>
      <c r="F258" s="55" t="s">
        <v>3899</v>
      </c>
      <c r="G258" s="55">
        <v>30</v>
      </c>
      <c r="H258" s="55" t="s">
        <v>227</v>
      </c>
      <c r="I258" s="55" t="s">
        <v>3594</v>
      </c>
      <c r="J258" s="35" t="s">
        <v>790</v>
      </c>
      <c r="K258" s="55">
        <v>1008</v>
      </c>
      <c r="L258" s="55" t="s">
        <v>3836</v>
      </c>
      <c r="M258" s="28" t="s">
        <v>4337</v>
      </c>
      <c r="N258" s="49" t="s">
        <v>565</v>
      </c>
      <c r="O258" s="47"/>
      <c r="P258" s="28">
        <f t="shared" si="4"/>
        <v>26</v>
      </c>
    </row>
    <row r="259" spans="1:16" s="28" customFormat="1" x14ac:dyDescent="0.25">
      <c r="A259" s="28" t="s">
        <v>3875</v>
      </c>
      <c r="B259" s="28" t="s">
        <v>3876</v>
      </c>
      <c r="C259" s="41" t="s">
        <v>3877</v>
      </c>
      <c r="E259" s="42">
        <v>46086</v>
      </c>
      <c r="F259" s="55" t="s">
        <v>3900</v>
      </c>
      <c r="G259" s="28">
        <v>591.4</v>
      </c>
      <c r="H259" s="28" t="s">
        <v>227</v>
      </c>
      <c r="I259" s="55" t="s">
        <v>3594</v>
      </c>
      <c r="J259" s="41" t="s">
        <v>1072</v>
      </c>
      <c r="K259" s="55">
        <v>6448</v>
      </c>
      <c r="L259" s="55" t="s">
        <v>3836</v>
      </c>
      <c r="M259" s="28" t="s">
        <v>4337</v>
      </c>
      <c r="N259" s="28" t="s">
        <v>565</v>
      </c>
      <c r="O259" s="47"/>
      <c r="P259" s="28">
        <f t="shared" si="4"/>
        <v>56</v>
      </c>
    </row>
    <row r="260" spans="1:16" s="28" customFormat="1" x14ac:dyDescent="0.25">
      <c r="A260" s="28" t="s">
        <v>3875</v>
      </c>
      <c r="B260" s="28" t="s">
        <v>3876</v>
      </c>
      <c r="C260" s="41" t="s">
        <v>3877</v>
      </c>
      <c r="E260" s="42">
        <v>46086</v>
      </c>
      <c r="F260" s="55" t="s">
        <v>3899</v>
      </c>
      <c r="G260" s="55">
        <v>293.39999999999998</v>
      </c>
      <c r="H260" s="55" t="s">
        <v>227</v>
      </c>
      <c r="I260" s="55" t="s">
        <v>3594</v>
      </c>
      <c r="J260" s="35" t="s">
        <v>29</v>
      </c>
      <c r="K260" s="55">
        <v>1008</v>
      </c>
      <c r="L260" s="55" t="s">
        <v>3836</v>
      </c>
      <c r="M260" s="28" t="s">
        <v>4337</v>
      </c>
      <c r="N260" s="49" t="s">
        <v>565</v>
      </c>
      <c r="O260" s="60" t="s">
        <v>4830</v>
      </c>
      <c r="P260" s="28">
        <f t="shared" si="4"/>
        <v>26</v>
      </c>
    </row>
    <row r="261" spans="1:16" s="28" customFormat="1" x14ac:dyDescent="0.25">
      <c r="A261" s="28" t="s">
        <v>3906</v>
      </c>
      <c r="B261" s="28" t="s">
        <v>4133</v>
      </c>
      <c r="C261" s="41" t="s">
        <v>4134</v>
      </c>
      <c r="E261" s="42">
        <v>46065</v>
      </c>
      <c r="F261" s="55" t="s">
        <v>4150</v>
      </c>
      <c r="G261" s="55">
        <v>2.84</v>
      </c>
      <c r="H261" s="55" t="s">
        <v>227</v>
      </c>
      <c r="I261" s="55" t="s">
        <v>16</v>
      </c>
      <c r="J261" s="35" t="s">
        <v>742</v>
      </c>
      <c r="K261" s="55">
        <v>1016</v>
      </c>
      <c r="L261" s="55" t="s">
        <v>4137</v>
      </c>
      <c r="M261" s="28" t="s">
        <v>4337</v>
      </c>
      <c r="N261" s="28" t="s">
        <v>425</v>
      </c>
      <c r="O261" s="47"/>
      <c r="P261" s="28">
        <f t="shared" si="4"/>
        <v>55</v>
      </c>
    </row>
    <row r="262" spans="1:16" s="28" customFormat="1" x14ac:dyDescent="0.25">
      <c r="A262" s="28" t="s">
        <v>3906</v>
      </c>
      <c r="B262" s="28" t="s">
        <v>4133</v>
      </c>
      <c r="C262" s="41" t="s">
        <v>4134</v>
      </c>
      <c r="E262" s="42">
        <v>46065</v>
      </c>
      <c r="F262" s="55" t="s">
        <v>4150</v>
      </c>
      <c r="G262" s="55">
        <v>37.25</v>
      </c>
      <c r="H262" s="55" t="s">
        <v>227</v>
      </c>
      <c r="I262" s="55" t="s">
        <v>16</v>
      </c>
      <c r="J262" s="35" t="s">
        <v>4394</v>
      </c>
      <c r="K262" s="55">
        <v>1016</v>
      </c>
      <c r="L262" s="55" t="s">
        <v>4137</v>
      </c>
      <c r="M262" s="28" t="s">
        <v>4337</v>
      </c>
      <c r="N262" s="28" t="s">
        <v>425</v>
      </c>
      <c r="O262" s="47"/>
      <c r="P262" s="28">
        <f t="shared" si="4"/>
        <v>53</v>
      </c>
    </row>
    <row r="263" spans="1:16" s="28" customFormat="1" x14ac:dyDescent="0.25">
      <c r="A263" s="28" t="s">
        <v>3906</v>
      </c>
      <c r="B263" s="28" t="s">
        <v>4133</v>
      </c>
      <c r="C263" s="41" t="s">
        <v>4134</v>
      </c>
      <c r="E263" s="42">
        <v>46065</v>
      </c>
      <c r="F263" s="61" t="s">
        <v>4652</v>
      </c>
      <c r="G263" s="55">
        <v>34</v>
      </c>
      <c r="H263" s="55" t="s">
        <v>227</v>
      </c>
      <c r="I263" s="55" t="s">
        <v>3843</v>
      </c>
      <c r="J263" s="35" t="s">
        <v>4394</v>
      </c>
      <c r="K263" s="55">
        <v>1016</v>
      </c>
      <c r="L263" s="55" t="s">
        <v>4137</v>
      </c>
      <c r="M263" s="28" t="s">
        <v>4337</v>
      </c>
      <c r="N263" s="28" t="s">
        <v>425</v>
      </c>
      <c r="O263" s="47"/>
      <c r="P263" s="28">
        <f t="shared" si="4"/>
        <v>53</v>
      </c>
    </row>
    <row r="264" spans="1:16" s="28" customFormat="1" x14ac:dyDescent="0.25">
      <c r="A264" s="28" t="s">
        <v>3906</v>
      </c>
      <c r="B264" s="28" t="s">
        <v>4133</v>
      </c>
      <c r="C264" s="41" t="s">
        <v>4134</v>
      </c>
      <c r="E264" s="42">
        <v>46066</v>
      </c>
      <c r="F264" s="55" t="s">
        <v>4150</v>
      </c>
      <c r="G264" s="55">
        <v>11.11</v>
      </c>
      <c r="H264" s="55" t="s">
        <v>227</v>
      </c>
      <c r="I264" s="55" t="s">
        <v>16</v>
      </c>
      <c r="J264" s="35" t="s">
        <v>2972</v>
      </c>
      <c r="K264" s="55">
        <v>1016</v>
      </c>
      <c r="L264" s="55" t="s">
        <v>4137</v>
      </c>
      <c r="M264" s="28" t="s">
        <v>4337</v>
      </c>
      <c r="N264" s="28" t="s">
        <v>425</v>
      </c>
      <c r="O264" s="47"/>
      <c r="P264" s="28">
        <f t="shared" si="4"/>
        <v>50</v>
      </c>
    </row>
    <row r="265" spans="1:16" s="28" customFormat="1" x14ac:dyDescent="0.25">
      <c r="A265" s="28" t="s">
        <v>3906</v>
      </c>
      <c r="B265" s="28" t="s">
        <v>4133</v>
      </c>
      <c r="C265" s="41" t="s">
        <v>4134</v>
      </c>
      <c r="E265" s="42">
        <v>46066</v>
      </c>
      <c r="F265" s="61" t="s">
        <v>4652</v>
      </c>
      <c r="G265" s="55">
        <v>15</v>
      </c>
      <c r="H265" s="55" t="s">
        <v>227</v>
      </c>
      <c r="I265" s="55" t="s">
        <v>3843</v>
      </c>
      <c r="J265" s="35" t="s">
        <v>4368</v>
      </c>
      <c r="K265" s="55">
        <v>1016</v>
      </c>
      <c r="L265" s="55" t="s">
        <v>4137</v>
      </c>
      <c r="M265" s="28" t="s">
        <v>4337</v>
      </c>
      <c r="N265" s="28" t="s">
        <v>425</v>
      </c>
      <c r="O265" s="47"/>
      <c r="P265" s="28">
        <f t="shared" si="4"/>
        <v>57</v>
      </c>
    </row>
    <row r="266" spans="1:16" s="28" customFormat="1" x14ac:dyDescent="0.25">
      <c r="A266" s="28" t="s">
        <v>3906</v>
      </c>
      <c r="B266" s="28" t="s">
        <v>4133</v>
      </c>
      <c r="C266" s="41" t="s">
        <v>4134</v>
      </c>
      <c r="E266" s="42">
        <v>46072</v>
      </c>
      <c r="F266" s="43" t="s">
        <v>4653</v>
      </c>
      <c r="G266" s="28">
        <v>75.849999999999994</v>
      </c>
      <c r="H266" s="28" t="s">
        <v>227</v>
      </c>
      <c r="I266" s="28" t="s">
        <v>3922</v>
      </c>
      <c r="J266" s="41" t="s">
        <v>886</v>
      </c>
      <c r="K266" s="28">
        <v>1001</v>
      </c>
      <c r="L266" s="28" t="s">
        <v>4137</v>
      </c>
      <c r="M266" s="28" t="s">
        <v>4337</v>
      </c>
      <c r="N266" s="28" t="s">
        <v>425</v>
      </c>
      <c r="O266" s="47"/>
      <c r="P266" s="28">
        <f t="shared" si="4"/>
        <v>49</v>
      </c>
    </row>
    <row r="267" spans="1:16" s="28" customFormat="1" x14ac:dyDescent="0.25">
      <c r="A267" s="28" t="s">
        <v>3906</v>
      </c>
      <c r="B267" s="28" t="s">
        <v>4133</v>
      </c>
      <c r="C267" s="41" t="s">
        <v>4134</v>
      </c>
      <c r="E267" s="42">
        <v>46074</v>
      </c>
      <c r="F267" s="43" t="s">
        <v>4654</v>
      </c>
      <c r="G267" s="28">
        <v>31.55</v>
      </c>
      <c r="H267" s="28" t="s">
        <v>227</v>
      </c>
      <c r="I267" s="28" t="s">
        <v>3843</v>
      </c>
      <c r="J267" s="41" t="s">
        <v>595</v>
      </c>
      <c r="K267" s="28">
        <v>1035</v>
      </c>
      <c r="L267" s="28" t="s">
        <v>4137</v>
      </c>
      <c r="M267" s="28" t="s">
        <v>4337</v>
      </c>
      <c r="N267" s="28" t="s">
        <v>425</v>
      </c>
      <c r="O267" s="47"/>
      <c r="P267" s="28">
        <f t="shared" si="4"/>
        <v>46</v>
      </c>
    </row>
    <row r="268" spans="1:16" s="28" customFormat="1" x14ac:dyDescent="0.25">
      <c r="A268" s="28" t="s">
        <v>3906</v>
      </c>
      <c r="B268" s="28" t="s">
        <v>4133</v>
      </c>
      <c r="C268" s="41" t="s">
        <v>4134</v>
      </c>
      <c r="E268" s="42">
        <v>46074</v>
      </c>
      <c r="F268" s="43" t="s">
        <v>4655</v>
      </c>
      <c r="G268" s="28">
        <v>467.41</v>
      </c>
      <c r="H268" s="28" t="s">
        <v>227</v>
      </c>
      <c r="I268" s="28" t="s">
        <v>3594</v>
      </c>
      <c r="J268" s="41" t="s">
        <v>119</v>
      </c>
      <c r="K268" s="28">
        <v>1035</v>
      </c>
      <c r="L268" s="28" t="s">
        <v>4137</v>
      </c>
      <c r="M268" s="28" t="s">
        <v>4337</v>
      </c>
      <c r="N268" s="28" t="s">
        <v>425</v>
      </c>
      <c r="O268" s="47"/>
      <c r="P268" s="28">
        <f t="shared" si="4"/>
        <v>39</v>
      </c>
    </row>
    <row r="269" spans="1:16" s="28" customFormat="1" x14ac:dyDescent="0.25">
      <c r="A269" s="28" t="s">
        <v>3906</v>
      </c>
      <c r="B269" s="28" t="s">
        <v>4133</v>
      </c>
      <c r="C269" s="41" t="s">
        <v>4134</v>
      </c>
      <c r="E269" s="42">
        <v>46075</v>
      </c>
      <c r="F269" s="43" t="s">
        <v>4540</v>
      </c>
      <c r="G269" s="28">
        <v>3.8</v>
      </c>
      <c r="H269" s="28" t="s">
        <v>227</v>
      </c>
      <c r="I269" s="28" t="s">
        <v>16</v>
      </c>
      <c r="J269" s="41" t="s">
        <v>249</v>
      </c>
      <c r="K269" s="28">
        <v>1035</v>
      </c>
      <c r="L269" s="28" t="s">
        <v>4137</v>
      </c>
      <c r="M269" s="28" t="s">
        <v>4337</v>
      </c>
      <c r="N269" s="28" t="s">
        <v>425</v>
      </c>
      <c r="O269" s="47"/>
      <c r="P269" s="28">
        <f t="shared" si="4"/>
        <v>41</v>
      </c>
    </row>
    <row r="270" spans="1:16" s="28" customFormat="1" x14ac:dyDescent="0.25">
      <c r="A270" s="28" t="s">
        <v>3906</v>
      </c>
      <c r="B270" s="28" t="s">
        <v>4133</v>
      </c>
      <c r="C270" s="41" t="s">
        <v>4134</v>
      </c>
      <c r="E270" s="42">
        <v>46075</v>
      </c>
      <c r="F270" s="43" t="s">
        <v>4540</v>
      </c>
      <c r="G270" s="28">
        <v>42.38</v>
      </c>
      <c r="H270" s="28" t="s">
        <v>227</v>
      </c>
      <c r="I270" s="28" t="s">
        <v>16</v>
      </c>
      <c r="J270" s="41" t="s">
        <v>2761</v>
      </c>
      <c r="K270" s="28">
        <v>1035</v>
      </c>
      <c r="L270" s="28" t="s">
        <v>4137</v>
      </c>
      <c r="M270" s="28" t="s">
        <v>4337</v>
      </c>
      <c r="N270" s="28" t="s">
        <v>425</v>
      </c>
      <c r="O270" s="47"/>
      <c r="P270" s="28">
        <f t="shared" si="4"/>
        <v>51</v>
      </c>
    </row>
    <row r="271" spans="1:16" s="28" customFormat="1" x14ac:dyDescent="0.25">
      <c r="A271" s="28" t="s">
        <v>3906</v>
      </c>
      <c r="B271" s="28" t="s">
        <v>4133</v>
      </c>
      <c r="C271" s="41" t="s">
        <v>4134</v>
      </c>
      <c r="E271" s="42">
        <v>46075</v>
      </c>
      <c r="F271" s="43" t="s">
        <v>4540</v>
      </c>
      <c r="G271" s="28">
        <v>14.06</v>
      </c>
      <c r="H271" s="28" t="s">
        <v>227</v>
      </c>
      <c r="I271" s="28" t="s">
        <v>16</v>
      </c>
      <c r="J271" s="41" t="s">
        <v>4360</v>
      </c>
      <c r="K271" s="28">
        <v>1035</v>
      </c>
      <c r="L271" s="28" t="s">
        <v>4137</v>
      </c>
      <c r="M271" s="28" t="s">
        <v>4337</v>
      </c>
      <c r="N271" s="28" t="s">
        <v>425</v>
      </c>
      <c r="O271" s="47"/>
      <c r="P271" s="28">
        <f t="shared" si="4"/>
        <v>55</v>
      </c>
    </row>
    <row r="272" spans="1:16" s="28" customFormat="1" x14ac:dyDescent="0.25">
      <c r="A272" s="28" t="s">
        <v>3906</v>
      </c>
      <c r="B272" s="28" t="s">
        <v>4133</v>
      </c>
      <c r="C272" s="41" t="s">
        <v>4134</v>
      </c>
      <c r="E272" s="42">
        <v>46076</v>
      </c>
      <c r="F272" s="43" t="s">
        <v>4657</v>
      </c>
      <c r="G272" s="28">
        <v>161.97999999999999</v>
      </c>
      <c r="H272" s="28" t="s">
        <v>227</v>
      </c>
      <c r="I272" s="28" t="s">
        <v>21</v>
      </c>
      <c r="J272" s="41" t="s">
        <v>239</v>
      </c>
      <c r="K272" s="28">
        <v>1035</v>
      </c>
      <c r="L272" s="28" t="s">
        <v>4137</v>
      </c>
      <c r="M272" s="28" t="s">
        <v>4337</v>
      </c>
      <c r="N272" s="28" t="s">
        <v>425</v>
      </c>
      <c r="O272" s="47"/>
      <c r="P272" s="28">
        <f t="shared" si="4"/>
        <v>38</v>
      </c>
    </row>
    <row r="273" spans="1:16" s="28" customFormat="1" x14ac:dyDescent="0.25">
      <c r="A273" s="28" t="s">
        <v>3906</v>
      </c>
      <c r="B273" s="28" t="s">
        <v>4133</v>
      </c>
      <c r="C273" s="41" t="s">
        <v>4134</v>
      </c>
      <c r="E273" s="42">
        <v>46076</v>
      </c>
      <c r="F273" s="43" t="s">
        <v>4656</v>
      </c>
      <c r="G273" s="28">
        <v>-1308.49</v>
      </c>
      <c r="H273" s="28" t="s">
        <v>227</v>
      </c>
      <c r="I273" s="28" t="s">
        <v>3594</v>
      </c>
      <c r="J273" s="41" t="s">
        <v>41</v>
      </c>
      <c r="K273" s="28">
        <v>1035</v>
      </c>
      <c r="L273" s="28" t="s">
        <v>4137</v>
      </c>
      <c r="M273" s="28" t="s">
        <v>4337</v>
      </c>
      <c r="N273" s="28" t="s">
        <v>425</v>
      </c>
      <c r="O273" s="47"/>
      <c r="P273" s="28">
        <f t="shared" si="4"/>
        <v>40</v>
      </c>
    </row>
    <row r="274" spans="1:16" s="28" customFormat="1" x14ac:dyDescent="0.25">
      <c r="A274" s="28" t="s">
        <v>3906</v>
      </c>
      <c r="B274" s="28" t="s">
        <v>4133</v>
      </c>
      <c r="C274" s="41" t="s">
        <v>4134</v>
      </c>
      <c r="E274" s="42">
        <v>46076</v>
      </c>
      <c r="F274" s="43" t="s">
        <v>4540</v>
      </c>
      <c r="G274" s="28">
        <v>35.1</v>
      </c>
      <c r="H274" s="28" t="s">
        <v>227</v>
      </c>
      <c r="I274" s="28" t="s">
        <v>16</v>
      </c>
      <c r="J274" s="41" t="s">
        <v>4375</v>
      </c>
      <c r="K274" s="28">
        <v>1035</v>
      </c>
      <c r="L274" s="28" t="s">
        <v>4137</v>
      </c>
      <c r="M274" s="28" t="s">
        <v>4337</v>
      </c>
      <c r="N274" s="28" t="s">
        <v>425</v>
      </c>
      <c r="O274" s="47"/>
      <c r="P274" s="28">
        <f t="shared" si="4"/>
        <v>58</v>
      </c>
    </row>
    <row r="275" spans="1:16" s="28" customFormat="1" x14ac:dyDescent="0.25">
      <c r="A275" s="28" t="s">
        <v>3906</v>
      </c>
      <c r="B275" s="28" t="s">
        <v>4133</v>
      </c>
      <c r="C275" s="41" t="s">
        <v>4134</v>
      </c>
      <c r="E275" s="42">
        <v>46077</v>
      </c>
      <c r="F275" s="43" t="s">
        <v>4540</v>
      </c>
      <c r="G275" s="28">
        <v>14</v>
      </c>
      <c r="H275" s="28" t="s">
        <v>227</v>
      </c>
      <c r="I275" s="28" t="s">
        <v>16</v>
      </c>
      <c r="J275" s="41" t="s">
        <v>4391</v>
      </c>
      <c r="K275" s="28">
        <v>1035</v>
      </c>
      <c r="L275" s="28" t="s">
        <v>4137</v>
      </c>
      <c r="M275" s="28" t="s">
        <v>4337</v>
      </c>
      <c r="N275" s="28" t="s">
        <v>425</v>
      </c>
      <c r="O275" s="47"/>
      <c r="P275" s="28">
        <f t="shared" si="4"/>
        <v>46</v>
      </c>
    </row>
    <row r="276" spans="1:16" s="28" customFormat="1" x14ac:dyDescent="0.25">
      <c r="A276" s="28" t="s">
        <v>3906</v>
      </c>
      <c r="B276" s="28" t="s">
        <v>4133</v>
      </c>
      <c r="C276" s="41" t="s">
        <v>4134</v>
      </c>
      <c r="E276" s="42">
        <v>46079</v>
      </c>
      <c r="F276" s="43" t="s">
        <v>4540</v>
      </c>
      <c r="G276" s="28">
        <v>3.8</v>
      </c>
      <c r="H276" s="28" t="s">
        <v>227</v>
      </c>
      <c r="I276" s="28" t="s">
        <v>16</v>
      </c>
      <c r="J276" s="41" t="s">
        <v>4458</v>
      </c>
      <c r="K276" s="28">
        <v>1035</v>
      </c>
      <c r="L276" s="28" t="s">
        <v>4137</v>
      </c>
      <c r="M276" s="28" t="s">
        <v>4337</v>
      </c>
      <c r="N276" s="28" t="s">
        <v>425</v>
      </c>
      <c r="O276" s="47"/>
      <c r="P276" s="28">
        <f t="shared" si="4"/>
        <v>48</v>
      </c>
    </row>
    <row r="277" spans="1:16" s="28" customFormat="1" x14ac:dyDescent="0.25">
      <c r="A277" s="28" t="s">
        <v>3906</v>
      </c>
      <c r="B277" s="28" t="s">
        <v>4133</v>
      </c>
      <c r="C277" s="41" t="s">
        <v>4134</v>
      </c>
      <c r="E277" s="42">
        <v>46079</v>
      </c>
      <c r="F277" s="43" t="s">
        <v>4540</v>
      </c>
      <c r="G277" s="28">
        <v>3.34</v>
      </c>
      <c r="H277" s="28" t="s">
        <v>227</v>
      </c>
      <c r="I277" s="28" t="s">
        <v>16</v>
      </c>
      <c r="J277" s="41" t="s">
        <v>4351</v>
      </c>
      <c r="K277" s="28">
        <v>1035</v>
      </c>
      <c r="L277" s="28" t="s">
        <v>4137</v>
      </c>
      <c r="M277" s="28" t="s">
        <v>4337</v>
      </c>
      <c r="N277" s="28" t="s">
        <v>425</v>
      </c>
      <c r="O277" s="47"/>
      <c r="P277" s="28">
        <f t="shared" si="4"/>
        <v>56</v>
      </c>
    </row>
    <row r="278" spans="1:16" s="28" customFormat="1" x14ac:dyDescent="0.25">
      <c r="A278" s="28" t="s">
        <v>3906</v>
      </c>
      <c r="B278" s="28" t="s">
        <v>4133</v>
      </c>
      <c r="C278" s="41" t="s">
        <v>4134</v>
      </c>
      <c r="E278" s="42">
        <v>46079</v>
      </c>
      <c r="F278" s="43" t="s">
        <v>4540</v>
      </c>
      <c r="G278" s="28">
        <v>21.35</v>
      </c>
      <c r="H278" s="28" t="s">
        <v>227</v>
      </c>
      <c r="I278" s="28" t="s">
        <v>16</v>
      </c>
      <c r="J278" s="41" t="s">
        <v>917</v>
      </c>
      <c r="K278" s="43">
        <v>1035</v>
      </c>
      <c r="L278" s="28" t="s">
        <v>4137</v>
      </c>
      <c r="M278" s="28" t="s">
        <v>4337</v>
      </c>
      <c r="N278" s="28" t="s">
        <v>425</v>
      </c>
      <c r="O278" s="47"/>
      <c r="P278" s="28">
        <f t="shared" si="4"/>
        <v>55</v>
      </c>
    </row>
    <row r="279" spans="1:16" s="28" customFormat="1" x14ac:dyDescent="0.25">
      <c r="A279" s="28" t="s">
        <v>3906</v>
      </c>
      <c r="B279" s="28" t="s">
        <v>4133</v>
      </c>
      <c r="C279" s="41" t="s">
        <v>4134</v>
      </c>
      <c r="E279" s="42">
        <v>46083</v>
      </c>
      <c r="F279" s="61" t="s">
        <v>4658</v>
      </c>
      <c r="G279" s="55">
        <v>210.29</v>
      </c>
      <c r="H279" s="55" t="s">
        <v>227</v>
      </c>
      <c r="I279" s="55" t="s">
        <v>16</v>
      </c>
      <c r="J279" s="35" t="s">
        <v>4411</v>
      </c>
      <c r="K279" s="55">
        <v>1016</v>
      </c>
      <c r="L279" s="55" t="s">
        <v>4137</v>
      </c>
      <c r="M279" s="28" t="s">
        <v>4337</v>
      </c>
      <c r="N279" s="28" t="s">
        <v>425</v>
      </c>
      <c r="O279" s="47"/>
      <c r="P279" s="28">
        <f t="shared" si="4"/>
        <v>47</v>
      </c>
    </row>
    <row r="280" spans="1:16" s="28" customFormat="1" x14ac:dyDescent="0.25">
      <c r="A280" s="28" t="s">
        <v>4267</v>
      </c>
      <c r="B280" s="28" t="s">
        <v>4268</v>
      </c>
      <c r="C280" s="41" t="s">
        <v>4269</v>
      </c>
      <c r="E280" s="42">
        <v>46058</v>
      </c>
      <c r="F280" s="61" t="s">
        <v>4659</v>
      </c>
      <c r="G280" s="28">
        <v>6696.8</v>
      </c>
      <c r="H280" s="28" t="s">
        <v>227</v>
      </c>
      <c r="I280" s="55" t="s">
        <v>3594</v>
      </c>
      <c r="J280" s="41" t="s">
        <v>41</v>
      </c>
      <c r="K280" s="55">
        <v>4239</v>
      </c>
      <c r="L280" s="55" t="s">
        <v>3855</v>
      </c>
      <c r="M280" s="28" t="s">
        <v>4337</v>
      </c>
      <c r="N280" s="28" t="s">
        <v>305</v>
      </c>
      <c r="O280" s="47"/>
      <c r="P280" s="28">
        <f t="shared" si="4"/>
        <v>49</v>
      </c>
    </row>
    <row r="281" spans="1:16" s="28" customFormat="1" x14ac:dyDescent="0.25">
      <c r="A281" s="28" t="s">
        <v>4267</v>
      </c>
      <c r="B281" s="28" t="s">
        <v>4268</v>
      </c>
      <c r="C281" s="41" t="s">
        <v>4269</v>
      </c>
      <c r="E281" s="42">
        <v>46058</v>
      </c>
      <c r="F281" s="61" t="s">
        <v>4526</v>
      </c>
      <c r="G281" s="28">
        <v>4.91</v>
      </c>
      <c r="H281" s="28" t="s">
        <v>227</v>
      </c>
      <c r="I281" s="55" t="s">
        <v>21</v>
      </c>
      <c r="J281" s="41" t="s">
        <v>239</v>
      </c>
      <c r="K281" s="55">
        <v>4001</v>
      </c>
      <c r="L281" s="55" t="s">
        <v>3855</v>
      </c>
      <c r="M281" s="28" t="s">
        <v>4337</v>
      </c>
      <c r="N281" s="28" t="s">
        <v>305</v>
      </c>
      <c r="O281" s="47"/>
      <c r="P281" s="28">
        <f t="shared" si="4"/>
        <v>41</v>
      </c>
    </row>
    <row r="282" spans="1:16" s="28" customFormat="1" x14ac:dyDescent="0.25">
      <c r="A282" s="28" t="s">
        <v>4267</v>
      </c>
      <c r="B282" s="28" t="s">
        <v>4268</v>
      </c>
      <c r="C282" s="41" t="s">
        <v>4269</v>
      </c>
      <c r="E282" s="42">
        <v>46058</v>
      </c>
      <c r="F282" s="55" t="s">
        <v>4253</v>
      </c>
      <c r="G282" s="28">
        <v>49.18</v>
      </c>
      <c r="H282" s="28" t="s">
        <v>227</v>
      </c>
      <c r="I282" s="55" t="s">
        <v>21</v>
      </c>
      <c r="J282" s="41" t="s">
        <v>239</v>
      </c>
      <c r="K282" s="55">
        <v>4001</v>
      </c>
      <c r="L282" s="55" t="s">
        <v>3855</v>
      </c>
      <c r="M282" s="28" t="s">
        <v>4337</v>
      </c>
      <c r="N282" s="28" t="s">
        <v>305</v>
      </c>
      <c r="O282" s="47"/>
      <c r="P282" s="28">
        <f t="shared" si="4"/>
        <v>37</v>
      </c>
    </row>
    <row r="283" spans="1:16" s="28" customFormat="1" x14ac:dyDescent="0.25">
      <c r="A283" s="28" t="s">
        <v>4267</v>
      </c>
      <c r="B283" s="28" t="s">
        <v>4268</v>
      </c>
      <c r="C283" s="41" t="s">
        <v>4269</v>
      </c>
      <c r="E283" s="42">
        <v>46058</v>
      </c>
      <c r="F283" s="61" t="s">
        <v>4661</v>
      </c>
      <c r="G283" s="28">
        <v>8</v>
      </c>
      <c r="H283" s="28" t="s">
        <v>227</v>
      </c>
      <c r="I283" s="28" t="s">
        <v>3864</v>
      </c>
      <c r="J283" s="41" t="s">
        <v>790</v>
      </c>
      <c r="K283" s="55">
        <v>4239</v>
      </c>
      <c r="L283" s="55" t="s">
        <v>3855</v>
      </c>
      <c r="M283" s="28" t="s">
        <v>4337</v>
      </c>
      <c r="N283" s="28" t="s">
        <v>305</v>
      </c>
      <c r="O283" s="47" t="s">
        <v>4660</v>
      </c>
      <c r="P283" s="28">
        <f t="shared" si="4"/>
        <v>55</v>
      </c>
    </row>
    <row r="284" spans="1:16" s="28" customFormat="1" x14ac:dyDescent="0.25">
      <c r="A284" s="28" t="s">
        <v>4267</v>
      </c>
      <c r="B284" s="28" t="s">
        <v>4268</v>
      </c>
      <c r="C284" s="41" t="s">
        <v>4269</v>
      </c>
      <c r="E284" s="42">
        <v>46059</v>
      </c>
      <c r="F284" s="61" t="s">
        <v>4526</v>
      </c>
      <c r="G284" s="28">
        <v>6.39</v>
      </c>
      <c r="H284" s="28" t="s">
        <v>227</v>
      </c>
      <c r="I284" s="55" t="s">
        <v>21</v>
      </c>
      <c r="J284" s="41" t="s">
        <v>239</v>
      </c>
      <c r="K284" s="55">
        <v>4001</v>
      </c>
      <c r="L284" s="55" t="s">
        <v>3855</v>
      </c>
      <c r="M284" s="28" t="s">
        <v>4337</v>
      </c>
      <c r="N284" s="28" t="s">
        <v>305</v>
      </c>
      <c r="O284" s="47"/>
      <c r="P284" s="28">
        <f t="shared" si="4"/>
        <v>41</v>
      </c>
    </row>
    <row r="285" spans="1:16" s="28" customFormat="1" x14ac:dyDescent="0.25">
      <c r="A285" s="28" t="s">
        <v>4267</v>
      </c>
      <c r="B285" s="28" t="s">
        <v>4268</v>
      </c>
      <c r="C285" s="41" t="s">
        <v>4269</v>
      </c>
      <c r="E285" s="42">
        <v>46059</v>
      </c>
      <c r="F285" s="55" t="s">
        <v>4253</v>
      </c>
      <c r="G285" s="28">
        <v>63.99</v>
      </c>
      <c r="H285" s="28" t="s">
        <v>227</v>
      </c>
      <c r="I285" s="55" t="s">
        <v>21</v>
      </c>
      <c r="J285" s="41" t="s">
        <v>239</v>
      </c>
      <c r="K285" s="55">
        <v>4001</v>
      </c>
      <c r="L285" s="55" t="s">
        <v>3855</v>
      </c>
      <c r="M285" s="28" t="s">
        <v>4337</v>
      </c>
      <c r="N285" s="28" t="s">
        <v>305</v>
      </c>
      <c r="O285" s="47"/>
      <c r="P285" s="28">
        <f t="shared" si="4"/>
        <v>37</v>
      </c>
    </row>
    <row r="286" spans="1:16" s="28" customFormat="1" x14ac:dyDescent="0.25">
      <c r="A286" s="28" t="s">
        <v>4267</v>
      </c>
      <c r="B286" s="28" t="s">
        <v>4268</v>
      </c>
      <c r="C286" s="41" t="s">
        <v>4269</v>
      </c>
      <c r="E286" s="42">
        <v>46061</v>
      </c>
      <c r="F286" s="61" t="s">
        <v>4334</v>
      </c>
      <c r="G286" s="28">
        <v>1578.86</v>
      </c>
      <c r="H286" s="28" t="s">
        <v>227</v>
      </c>
      <c r="I286" s="28" t="s">
        <v>3864</v>
      </c>
      <c r="J286" s="41" t="s">
        <v>1014</v>
      </c>
      <c r="K286" s="55">
        <v>4239</v>
      </c>
      <c r="L286" s="55" t="s">
        <v>3855</v>
      </c>
      <c r="M286" s="28" t="s">
        <v>4337</v>
      </c>
      <c r="N286" s="28" t="s">
        <v>305</v>
      </c>
      <c r="O286" s="47"/>
      <c r="P286" s="28">
        <f t="shared" si="4"/>
        <v>53</v>
      </c>
    </row>
    <row r="287" spans="1:16" s="28" customFormat="1" x14ac:dyDescent="0.25">
      <c r="A287" s="28" t="s">
        <v>4267</v>
      </c>
      <c r="B287" s="28" t="s">
        <v>4268</v>
      </c>
      <c r="C287" s="41" t="s">
        <v>4269</v>
      </c>
      <c r="E287" s="42">
        <v>46062</v>
      </c>
      <c r="F287" s="61" t="s">
        <v>4277</v>
      </c>
      <c r="G287" s="28">
        <v>129.74</v>
      </c>
      <c r="H287" s="28" t="s">
        <v>227</v>
      </c>
      <c r="I287" s="55" t="s">
        <v>21</v>
      </c>
      <c r="J287" s="41" t="s">
        <v>239</v>
      </c>
      <c r="K287" s="55">
        <v>4239</v>
      </c>
      <c r="L287" s="55" t="s">
        <v>3855</v>
      </c>
      <c r="M287" s="28" t="s">
        <v>4337</v>
      </c>
      <c r="N287" s="28" t="s">
        <v>305</v>
      </c>
      <c r="O287" s="47"/>
      <c r="P287" s="28">
        <f t="shared" si="4"/>
        <v>43</v>
      </c>
    </row>
    <row r="288" spans="1:16" s="28" customFormat="1" x14ac:dyDescent="0.25">
      <c r="A288" s="28" t="s">
        <v>4267</v>
      </c>
      <c r="B288" s="28" t="s">
        <v>4268</v>
      </c>
      <c r="C288" s="41" t="s">
        <v>4269</v>
      </c>
      <c r="E288" s="42">
        <v>46062</v>
      </c>
      <c r="F288" s="61" t="s">
        <v>4330</v>
      </c>
      <c r="G288" s="28">
        <v>82.98</v>
      </c>
      <c r="H288" s="28" t="s">
        <v>227</v>
      </c>
      <c r="I288" s="55" t="s">
        <v>21</v>
      </c>
      <c r="J288" s="41" t="s">
        <v>239</v>
      </c>
      <c r="K288" s="55">
        <v>4239</v>
      </c>
      <c r="L288" s="55" t="s">
        <v>3855</v>
      </c>
      <c r="M288" s="28" t="s">
        <v>4337</v>
      </c>
      <c r="N288" s="28" t="s">
        <v>305</v>
      </c>
      <c r="O288" s="47"/>
      <c r="P288" s="28">
        <f t="shared" si="4"/>
        <v>47</v>
      </c>
    </row>
    <row r="289" spans="1:16" s="28" customFormat="1" x14ac:dyDescent="0.25">
      <c r="A289" s="28" t="s">
        <v>4267</v>
      </c>
      <c r="B289" s="28" t="s">
        <v>4268</v>
      </c>
      <c r="C289" s="41" t="s">
        <v>4269</v>
      </c>
      <c r="E289" s="42">
        <v>46062</v>
      </c>
      <c r="F289" s="61" t="s">
        <v>4662</v>
      </c>
      <c r="G289" s="28">
        <v>106.55</v>
      </c>
      <c r="H289" s="28" t="s">
        <v>227</v>
      </c>
      <c r="I289" s="55" t="s">
        <v>21</v>
      </c>
      <c r="J289" s="41" t="s">
        <v>239</v>
      </c>
      <c r="K289" s="55">
        <v>4239</v>
      </c>
      <c r="L289" s="55" t="s">
        <v>3855</v>
      </c>
      <c r="M289" s="28" t="s">
        <v>4337</v>
      </c>
      <c r="N289" s="28" t="s">
        <v>305</v>
      </c>
      <c r="O289" s="47"/>
      <c r="P289" s="28">
        <f t="shared" si="4"/>
        <v>46</v>
      </c>
    </row>
    <row r="290" spans="1:16" s="28" customFormat="1" x14ac:dyDescent="0.25">
      <c r="A290" s="28" t="s">
        <v>4267</v>
      </c>
      <c r="B290" s="28" t="s">
        <v>4268</v>
      </c>
      <c r="C290" s="41" t="s">
        <v>4269</v>
      </c>
      <c r="E290" s="42">
        <v>46063</v>
      </c>
      <c r="F290" s="55" t="s">
        <v>4277</v>
      </c>
      <c r="G290" s="28">
        <v>129.97999999999999</v>
      </c>
      <c r="H290" s="28" t="s">
        <v>227</v>
      </c>
      <c r="I290" s="55" t="s">
        <v>21</v>
      </c>
      <c r="J290" s="41" t="s">
        <v>239</v>
      </c>
      <c r="K290" s="55">
        <v>4239</v>
      </c>
      <c r="L290" s="55" t="s">
        <v>3855</v>
      </c>
      <c r="M290" s="28" t="s">
        <v>4337</v>
      </c>
      <c r="N290" s="28" t="s">
        <v>305</v>
      </c>
      <c r="O290" s="47"/>
      <c r="P290" s="28">
        <f t="shared" si="4"/>
        <v>43</v>
      </c>
    </row>
    <row r="291" spans="1:16" s="28" customFormat="1" x14ac:dyDescent="0.25">
      <c r="A291" s="28" t="s">
        <v>4267</v>
      </c>
      <c r="B291" s="28" t="s">
        <v>4268</v>
      </c>
      <c r="C291" s="41" t="s">
        <v>4269</v>
      </c>
      <c r="E291" s="42">
        <v>46063</v>
      </c>
      <c r="F291" s="61" t="s">
        <v>4327</v>
      </c>
      <c r="G291" s="28">
        <v>87.25</v>
      </c>
      <c r="H291" s="28" t="s">
        <v>227</v>
      </c>
      <c r="I291" s="28" t="s">
        <v>16</v>
      </c>
      <c r="J291" s="41" t="s">
        <v>1014</v>
      </c>
      <c r="K291" s="55">
        <v>4239</v>
      </c>
      <c r="L291" s="55" t="s">
        <v>3855</v>
      </c>
      <c r="M291" s="28" t="s">
        <v>4337</v>
      </c>
      <c r="N291" s="28" t="s">
        <v>305</v>
      </c>
      <c r="O291" s="47"/>
      <c r="P291" s="28">
        <f t="shared" si="4"/>
        <v>57</v>
      </c>
    </row>
    <row r="292" spans="1:16" s="28" customFormat="1" x14ac:dyDescent="0.25">
      <c r="A292" s="28" t="s">
        <v>4267</v>
      </c>
      <c r="B292" s="28" t="s">
        <v>4268</v>
      </c>
      <c r="C292" s="41" t="s">
        <v>4269</v>
      </c>
      <c r="E292" s="42">
        <v>46064</v>
      </c>
      <c r="F292" s="61" t="s">
        <v>4663</v>
      </c>
      <c r="G292" s="28">
        <v>11.17</v>
      </c>
      <c r="H292" s="28" t="s">
        <v>227</v>
      </c>
      <c r="I292" s="55" t="s">
        <v>21</v>
      </c>
      <c r="J292" s="41" t="s">
        <v>239</v>
      </c>
      <c r="K292" s="55">
        <v>4239</v>
      </c>
      <c r="L292" s="55" t="s">
        <v>3855</v>
      </c>
      <c r="M292" s="28" t="s">
        <v>4337</v>
      </c>
      <c r="N292" s="28" t="s">
        <v>305</v>
      </c>
      <c r="O292" s="47"/>
      <c r="P292" s="28">
        <f t="shared" si="4"/>
        <v>50</v>
      </c>
    </row>
    <row r="293" spans="1:16" s="28" customFormat="1" x14ac:dyDescent="0.25">
      <c r="A293" s="28" t="s">
        <v>4267</v>
      </c>
      <c r="B293" s="28" t="s">
        <v>4268</v>
      </c>
      <c r="C293" s="41" t="s">
        <v>4269</v>
      </c>
      <c r="E293" s="42">
        <v>46064</v>
      </c>
      <c r="F293" s="61" t="s">
        <v>4326</v>
      </c>
      <c r="G293" s="28">
        <v>111.76</v>
      </c>
      <c r="H293" s="28" t="s">
        <v>227</v>
      </c>
      <c r="I293" s="55" t="s">
        <v>21</v>
      </c>
      <c r="J293" s="41" t="s">
        <v>239</v>
      </c>
      <c r="K293" s="55">
        <v>4239</v>
      </c>
      <c r="L293" s="55" t="s">
        <v>3855</v>
      </c>
      <c r="M293" s="28" t="s">
        <v>4337</v>
      </c>
      <c r="N293" s="28" t="s">
        <v>305</v>
      </c>
      <c r="O293" s="47"/>
      <c r="P293" s="28">
        <f t="shared" si="4"/>
        <v>46</v>
      </c>
    </row>
    <row r="294" spans="1:16" s="28" customFormat="1" x14ac:dyDescent="0.25">
      <c r="A294" s="28" t="s">
        <v>4267</v>
      </c>
      <c r="B294" s="28" t="s">
        <v>4268</v>
      </c>
      <c r="C294" s="41" t="s">
        <v>4269</v>
      </c>
      <c r="E294" s="42">
        <v>46065</v>
      </c>
      <c r="F294" s="55" t="s">
        <v>4253</v>
      </c>
      <c r="G294" s="28">
        <v>50.57</v>
      </c>
      <c r="H294" s="28" t="s">
        <v>227</v>
      </c>
      <c r="I294" s="55" t="s">
        <v>21</v>
      </c>
      <c r="J294" s="41" t="s">
        <v>239</v>
      </c>
      <c r="K294" s="55">
        <v>4001</v>
      </c>
      <c r="L294" s="55" t="s">
        <v>3855</v>
      </c>
      <c r="M294" s="28" t="s">
        <v>4337</v>
      </c>
      <c r="N294" s="28" t="s">
        <v>305</v>
      </c>
      <c r="O294" s="47"/>
      <c r="P294" s="28">
        <f t="shared" si="4"/>
        <v>37</v>
      </c>
    </row>
    <row r="295" spans="1:16" s="28" customFormat="1" x14ac:dyDescent="0.25">
      <c r="A295" s="28" t="s">
        <v>4267</v>
      </c>
      <c r="B295" s="28" t="s">
        <v>4268</v>
      </c>
      <c r="C295" s="41" t="s">
        <v>4269</v>
      </c>
      <c r="E295" s="42">
        <v>46065</v>
      </c>
      <c r="F295" s="55" t="s">
        <v>4253</v>
      </c>
      <c r="G295" s="28">
        <v>44.98</v>
      </c>
      <c r="H295" s="28" t="s">
        <v>227</v>
      </c>
      <c r="I295" s="55" t="s">
        <v>21</v>
      </c>
      <c r="J295" s="41" t="s">
        <v>239</v>
      </c>
      <c r="K295" s="55">
        <v>4001</v>
      </c>
      <c r="L295" s="55" t="s">
        <v>3855</v>
      </c>
      <c r="M295" s="28" t="s">
        <v>4337</v>
      </c>
      <c r="N295" s="28" t="s">
        <v>305</v>
      </c>
      <c r="O295" s="47" t="s">
        <v>4664</v>
      </c>
      <c r="P295" s="28">
        <f t="shared" si="4"/>
        <v>37</v>
      </c>
    </row>
    <row r="296" spans="1:16" s="28" customFormat="1" x14ac:dyDescent="0.25">
      <c r="A296" s="28" t="s">
        <v>4267</v>
      </c>
      <c r="B296" s="28" t="s">
        <v>4268</v>
      </c>
      <c r="C296" s="41" t="s">
        <v>4269</v>
      </c>
      <c r="E296" s="42">
        <v>46066</v>
      </c>
      <c r="F296" s="55" t="s">
        <v>4253</v>
      </c>
      <c r="G296" s="28">
        <v>25.73</v>
      </c>
      <c r="H296" s="28" t="s">
        <v>227</v>
      </c>
      <c r="I296" s="55" t="s">
        <v>21</v>
      </c>
      <c r="J296" s="41" t="s">
        <v>239</v>
      </c>
      <c r="K296" s="55">
        <v>4001</v>
      </c>
      <c r="L296" s="55" t="s">
        <v>3855</v>
      </c>
      <c r="M296" s="28" t="s">
        <v>4337</v>
      </c>
      <c r="N296" s="28" t="s">
        <v>305</v>
      </c>
      <c r="O296" s="47" t="s">
        <v>4667</v>
      </c>
      <c r="P296" s="28">
        <f t="shared" si="4"/>
        <v>37</v>
      </c>
    </row>
    <row r="297" spans="1:16" s="28" customFormat="1" ht="30" x14ac:dyDescent="0.25">
      <c r="A297" s="28" t="s">
        <v>4267</v>
      </c>
      <c r="B297" s="28" t="s">
        <v>4268</v>
      </c>
      <c r="C297" s="41" t="s">
        <v>4269</v>
      </c>
      <c r="E297" s="42">
        <v>46070</v>
      </c>
      <c r="F297" s="61" t="s">
        <v>4666</v>
      </c>
      <c r="G297" s="28">
        <v>-4793.3999999999996</v>
      </c>
      <c r="H297" s="28" t="s">
        <v>227</v>
      </c>
      <c r="I297" s="55" t="s">
        <v>3594</v>
      </c>
      <c r="J297" s="41" t="s">
        <v>601</v>
      </c>
      <c r="K297" s="55">
        <v>4239</v>
      </c>
      <c r="L297" s="55" t="s">
        <v>3855</v>
      </c>
      <c r="M297" s="28" t="s">
        <v>4337</v>
      </c>
      <c r="N297" s="28" t="s">
        <v>305</v>
      </c>
      <c r="O297" s="47" t="s">
        <v>4866</v>
      </c>
      <c r="P297" s="28">
        <f t="shared" si="4"/>
        <v>56</v>
      </c>
    </row>
    <row r="298" spans="1:16" s="28" customFormat="1" ht="30" x14ac:dyDescent="0.25">
      <c r="A298" s="28" t="s">
        <v>4267</v>
      </c>
      <c r="B298" s="28" t="s">
        <v>4268</v>
      </c>
      <c r="C298" s="41" t="s">
        <v>4269</v>
      </c>
      <c r="E298" s="42">
        <v>46070</v>
      </c>
      <c r="F298" s="61" t="s">
        <v>4665</v>
      </c>
      <c r="G298" s="28">
        <v>-3498.49</v>
      </c>
      <c r="H298" s="28" t="s">
        <v>227</v>
      </c>
      <c r="I298" s="55" t="s">
        <v>3594</v>
      </c>
      <c r="J298" s="41" t="s">
        <v>41</v>
      </c>
      <c r="K298" s="55">
        <v>4239</v>
      </c>
      <c r="L298" s="55" t="s">
        <v>3855</v>
      </c>
      <c r="M298" s="28" t="s">
        <v>4337</v>
      </c>
      <c r="N298" s="28" t="s">
        <v>305</v>
      </c>
      <c r="O298" s="48" t="s">
        <v>4867</v>
      </c>
      <c r="P298" s="28">
        <f t="shared" si="4"/>
        <v>53</v>
      </c>
    </row>
    <row r="299" spans="1:16" s="28" customFormat="1" x14ac:dyDescent="0.25">
      <c r="A299" s="28" t="s">
        <v>4267</v>
      </c>
      <c r="B299" s="28" t="s">
        <v>4268</v>
      </c>
      <c r="C299" s="41" t="s">
        <v>4269</v>
      </c>
      <c r="E299" s="42">
        <v>46070</v>
      </c>
      <c r="F299" s="61" t="s">
        <v>4668</v>
      </c>
      <c r="G299" s="55">
        <v>27.85</v>
      </c>
      <c r="H299" s="55" t="s">
        <v>227</v>
      </c>
      <c r="I299" s="55" t="s">
        <v>16</v>
      </c>
      <c r="J299" s="35" t="s">
        <v>3185</v>
      </c>
      <c r="K299" s="55">
        <v>4001</v>
      </c>
      <c r="L299" s="55" t="s">
        <v>3855</v>
      </c>
      <c r="M299" s="28" t="s">
        <v>4337</v>
      </c>
      <c r="N299" s="28" t="s">
        <v>305</v>
      </c>
      <c r="O299" s="47"/>
      <c r="P299" s="28">
        <f t="shared" si="4"/>
        <v>50</v>
      </c>
    </row>
    <row r="300" spans="1:16" s="28" customFormat="1" x14ac:dyDescent="0.25">
      <c r="A300" s="28" t="s">
        <v>4267</v>
      </c>
      <c r="B300" s="28" t="s">
        <v>4268</v>
      </c>
      <c r="C300" s="41" t="s">
        <v>4269</v>
      </c>
      <c r="E300" s="42">
        <v>46071</v>
      </c>
      <c r="F300" s="55" t="s">
        <v>4253</v>
      </c>
      <c r="G300" s="28">
        <v>39.44</v>
      </c>
      <c r="H300" s="28" t="s">
        <v>227</v>
      </c>
      <c r="I300" s="55" t="s">
        <v>21</v>
      </c>
      <c r="J300" s="41" t="s">
        <v>239</v>
      </c>
      <c r="K300" s="55">
        <v>4001</v>
      </c>
      <c r="L300" s="55" t="s">
        <v>3855</v>
      </c>
      <c r="M300" s="28" t="s">
        <v>4337</v>
      </c>
      <c r="N300" s="28" t="s">
        <v>305</v>
      </c>
      <c r="O300" s="47"/>
      <c r="P300" s="28">
        <f t="shared" si="4"/>
        <v>37</v>
      </c>
    </row>
    <row r="301" spans="1:16" s="28" customFormat="1" x14ac:dyDescent="0.25">
      <c r="A301" s="28" t="s">
        <v>4267</v>
      </c>
      <c r="B301" s="28" t="s">
        <v>4268</v>
      </c>
      <c r="C301" s="41" t="s">
        <v>4269</v>
      </c>
      <c r="E301" s="42">
        <v>46072</v>
      </c>
      <c r="F301" s="55" t="s">
        <v>4253</v>
      </c>
      <c r="G301" s="28">
        <v>53.17</v>
      </c>
      <c r="H301" s="28" t="s">
        <v>227</v>
      </c>
      <c r="I301" s="55" t="s">
        <v>21</v>
      </c>
      <c r="J301" s="41" t="s">
        <v>239</v>
      </c>
      <c r="K301" s="55">
        <v>4001</v>
      </c>
      <c r="L301" s="55" t="s">
        <v>3855</v>
      </c>
      <c r="M301" s="28" t="s">
        <v>4337</v>
      </c>
      <c r="N301" s="28" t="s">
        <v>305</v>
      </c>
      <c r="O301" s="47"/>
      <c r="P301" s="28">
        <f t="shared" si="4"/>
        <v>37</v>
      </c>
    </row>
    <row r="302" spans="1:16" s="28" customFormat="1" x14ac:dyDescent="0.25">
      <c r="A302" s="28" t="s">
        <v>4267</v>
      </c>
      <c r="B302" s="28" t="s">
        <v>4268</v>
      </c>
      <c r="C302" s="41" t="s">
        <v>4269</v>
      </c>
      <c r="E302" s="42">
        <v>46073</v>
      </c>
      <c r="F302" s="55" t="s">
        <v>4253</v>
      </c>
      <c r="G302" s="28">
        <v>36.97</v>
      </c>
      <c r="H302" s="28" t="s">
        <v>227</v>
      </c>
      <c r="I302" s="55" t="s">
        <v>21</v>
      </c>
      <c r="J302" s="41" t="s">
        <v>239</v>
      </c>
      <c r="K302" s="55">
        <v>4001</v>
      </c>
      <c r="L302" s="55" t="s">
        <v>3855</v>
      </c>
      <c r="M302" s="28" t="s">
        <v>4337</v>
      </c>
      <c r="N302" s="28" t="s">
        <v>305</v>
      </c>
      <c r="O302" s="47"/>
      <c r="P302" s="28">
        <f t="shared" si="4"/>
        <v>37</v>
      </c>
    </row>
    <row r="303" spans="1:16" s="28" customFormat="1" x14ac:dyDescent="0.25">
      <c r="A303" s="28" t="s">
        <v>4267</v>
      </c>
      <c r="B303" s="28" t="s">
        <v>4268</v>
      </c>
      <c r="C303" s="41" t="s">
        <v>4269</v>
      </c>
      <c r="E303" s="42">
        <v>46074</v>
      </c>
      <c r="F303" s="43" t="s">
        <v>4562</v>
      </c>
      <c r="G303" s="28">
        <v>192.12</v>
      </c>
      <c r="H303" s="28" t="s">
        <v>227</v>
      </c>
      <c r="I303" s="28" t="s">
        <v>21</v>
      </c>
      <c r="J303" s="41" t="s">
        <v>239</v>
      </c>
      <c r="K303" s="28">
        <v>1035</v>
      </c>
      <c r="L303" s="28" t="s">
        <v>3855</v>
      </c>
      <c r="M303" s="28" t="s">
        <v>4337</v>
      </c>
      <c r="N303" s="28" t="s">
        <v>305</v>
      </c>
      <c r="O303" s="47"/>
      <c r="P303" s="28">
        <f t="shared" si="4"/>
        <v>37</v>
      </c>
    </row>
    <row r="304" spans="1:16" s="28" customFormat="1" x14ac:dyDescent="0.25">
      <c r="A304" s="28" t="s">
        <v>4267</v>
      </c>
      <c r="B304" s="28" t="s">
        <v>4268</v>
      </c>
      <c r="C304" s="41" t="s">
        <v>4269</v>
      </c>
      <c r="E304" s="42">
        <v>46082</v>
      </c>
      <c r="F304" s="43" t="s">
        <v>4669</v>
      </c>
      <c r="G304" s="28">
        <v>50.69</v>
      </c>
      <c r="H304" s="28" t="s">
        <v>227</v>
      </c>
      <c r="I304" s="28" t="s">
        <v>21</v>
      </c>
      <c r="J304" s="41" t="s">
        <v>239</v>
      </c>
      <c r="K304" s="28">
        <v>1035</v>
      </c>
      <c r="L304" s="28" t="s">
        <v>3855</v>
      </c>
      <c r="M304" s="28" t="s">
        <v>4337</v>
      </c>
      <c r="N304" s="28" t="s">
        <v>305</v>
      </c>
      <c r="O304" s="47"/>
      <c r="P304" s="28">
        <f t="shared" si="4"/>
        <v>38</v>
      </c>
    </row>
    <row r="305" spans="1:16" s="28" customFormat="1" x14ac:dyDescent="0.25">
      <c r="A305" s="28" t="s">
        <v>4267</v>
      </c>
      <c r="B305" s="28" t="s">
        <v>4268</v>
      </c>
      <c r="C305" s="41" t="s">
        <v>4269</v>
      </c>
      <c r="E305" s="42">
        <v>46082</v>
      </c>
      <c r="F305" s="43" t="s">
        <v>4580</v>
      </c>
      <c r="G305" s="28">
        <v>125.35</v>
      </c>
      <c r="H305" s="28" t="s">
        <v>227</v>
      </c>
      <c r="I305" s="28" t="s">
        <v>21</v>
      </c>
      <c r="J305" s="41" t="s">
        <v>239</v>
      </c>
      <c r="K305" s="28">
        <v>1035</v>
      </c>
      <c r="L305" s="28" t="s">
        <v>3855</v>
      </c>
      <c r="M305" s="28" t="s">
        <v>4337</v>
      </c>
      <c r="N305" s="28" t="s">
        <v>305</v>
      </c>
      <c r="O305" s="47"/>
      <c r="P305" s="28">
        <f t="shared" si="4"/>
        <v>37</v>
      </c>
    </row>
    <row r="306" spans="1:16" s="28" customFormat="1" ht="30" x14ac:dyDescent="0.25">
      <c r="A306" s="28" t="s">
        <v>4267</v>
      </c>
      <c r="B306" s="28" t="s">
        <v>4268</v>
      </c>
      <c r="C306" s="41" t="s">
        <v>4269</v>
      </c>
      <c r="E306" s="42">
        <v>46083</v>
      </c>
      <c r="F306" s="55" t="s">
        <v>3921</v>
      </c>
      <c r="G306" s="55">
        <v>5</v>
      </c>
      <c r="H306" s="55" t="s">
        <v>227</v>
      </c>
      <c r="I306" s="61" t="s">
        <v>3922</v>
      </c>
      <c r="J306" s="35" t="s">
        <v>41</v>
      </c>
      <c r="K306" s="55">
        <v>4001</v>
      </c>
      <c r="L306" s="55" t="s">
        <v>3855</v>
      </c>
      <c r="M306" s="28" t="s">
        <v>4337</v>
      </c>
      <c r="N306" s="28" t="s">
        <v>305</v>
      </c>
      <c r="O306" s="47" t="s">
        <v>4886</v>
      </c>
      <c r="P306" s="28">
        <f t="shared" si="4"/>
        <v>30</v>
      </c>
    </row>
    <row r="307" spans="1:16" s="28" customFormat="1" x14ac:dyDescent="0.25">
      <c r="A307" s="28" t="s">
        <v>4267</v>
      </c>
      <c r="B307" s="28" t="s">
        <v>4268</v>
      </c>
      <c r="C307" s="41" t="s">
        <v>4269</v>
      </c>
      <c r="E307" s="42">
        <v>46084</v>
      </c>
      <c r="F307" s="55" t="s">
        <v>4253</v>
      </c>
      <c r="G307" s="28">
        <v>38.520000000000003</v>
      </c>
      <c r="H307" s="28" t="s">
        <v>227</v>
      </c>
      <c r="I307" s="55" t="s">
        <v>21</v>
      </c>
      <c r="J307" s="41" t="s">
        <v>239</v>
      </c>
      <c r="K307" s="55">
        <v>4001</v>
      </c>
      <c r="L307" s="55" t="s">
        <v>3855</v>
      </c>
      <c r="M307" s="28" t="s">
        <v>4337</v>
      </c>
      <c r="N307" s="28" t="s">
        <v>305</v>
      </c>
      <c r="O307" s="47"/>
      <c r="P307" s="28">
        <f t="shared" si="4"/>
        <v>37</v>
      </c>
    </row>
    <row r="308" spans="1:16" s="28" customFormat="1" x14ac:dyDescent="0.25">
      <c r="A308" s="28" t="s">
        <v>4267</v>
      </c>
      <c r="B308" s="28" t="s">
        <v>4268</v>
      </c>
      <c r="C308" s="41" t="s">
        <v>4269</v>
      </c>
      <c r="E308" s="42">
        <v>46085</v>
      </c>
      <c r="F308" s="55" t="s">
        <v>4253</v>
      </c>
      <c r="G308" s="28">
        <v>37.99</v>
      </c>
      <c r="H308" s="28" t="s">
        <v>227</v>
      </c>
      <c r="I308" s="55" t="s">
        <v>21</v>
      </c>
      <c r="J308" s="41" t="s">
        <v>239</v>
      </c>
      <c r="K308" s="55">
        <v>4001</v>
      </c>
      <c r="L308" s="55" t="s">
        <v>3855</v>
      </c>
      <c r="M308" s="28" t="s">
        <v>4337</v>
      </c>
      <c r="N308" s="28" t="s">
        <v>305</v>
      </c>
      <c r="O308" s="47"/>
      <c r="P308" s="28">
        <f t="shared" si="4"/>
        <v>37</v>
      </c>
    </row>
    <row r="309" spans="1:16" s="28" customFormat="1" x14ac:dyDescent="0.25">
      <c r="A309" s="28" t="s">
        <v>4267</v>
      </c>
      <c r="B309" s="28" t="s">
        <v>4268</v>
      </c>
      <c r="C309" s="41" t="s">
        <v>4269</v>
      </c>
      <c r="E309" s="42">
        <v>46085</v>
      </c>
      <c r="F309" s="55" t="s">
        <v>4253</v>
      </c>
      <c r="G309" s="28">
        <v>37.979999999999997</v>
      </c>
      <c r="H309" s="28" t="s">
        <v>227</v>
      </c>
      <c r="I309" s="55" t="s">
        <v>21</v>
      </c>
      <c r="J309" s="41" t="s">
        <v>239</v>
      </c>
      <c r="K309" s="55">
        <v>4001</v>
      </c>
      <c r="L309" s="55" t="s">
        <v>3855</v>
      </c>
      <c r="M309" s="28" t="s">
        <v>4337</v>
      </c>
      <c r="N309" s="28" t="s">
        <v>305</v>
      </c>
      <c r="O309" s="47"/>
      <c r="P309" s="28">
        <f t="shared" si="4"/>
        <v>37</v>
      </c>
    </row>
    <row r="310" spans="1:16" s="28" customFormat="1" x14ac:dyDescent="0.25">
      <c r="A310" s="28" t="s">
        <v>4267</v>
      </c>
      <c r="B310" s="28" t="s">
        <v>4268</v>
      </c>
      <c r="C310" s="41" t="s">
        <v>4269</v>
      </c>
      <c r="E310" s="42">
        <v>46087</v>
      </c>
      <c r="F310" s="55" t="s">
        <v>4253</v>
      </c>
      <c r="G310" s="28">
        <v>67.05</v>
      </c>
      <c r="H310" s="28" t="s">
        <v>227</v>
      </c>
      <c r="I310" s="55" t="s">
        <v>21</v>
      </c>
      <c r="J310" s="41" t="s">
        <v>239</v>
      </c>
      <c r="K310" s="55">
        <v>4001</v>
      </c>
      <c r="L310" s="55" t="s">
        <v>3855</v>
      </c>
      <c r="M310" s="28" t="s">
        <v>4337</v>
      </c>
      <c r="N310" s="28" t="s">
        <v>305</v>
      </c>
      <c r="O310" s="47"/>
      <c r="P310" s="28">
        <f t="shared" si="4"/>
        <v>37</v>
      </c>
    </row>
    <row r="311" spans="1:16" s="28" customFormat="1" ht="30" x14ac:dyDescent="0.25">
      <c r="A311" s="28" t="s">
        <v>3851</v>
      </c>
      <c r="B311" s="28" t="s">
        <v>3955</v>
      </c>
      <c r="C311" s="41" t="s">
        <v>3956</v>
      </c>
      <c r="E311" s="42">
        <v>46082</v>
      </c>
      <c r="F311" s="61" t="s">
        <v>4670</v>
      </c>
      <c r="G311" s="55">
        <v>-3346.8</v>
      </c>
      <c r="H311" s="55" t="s">
        <v>227</v>
      </c>
      <c r="I311" s="55" t="s">
        <v>3594</v>
      </c>
      <c r="J311" s="35" t="s">
        <v>41</v>
      </c>
      <c r="K311" s="55" t="s">
        <v>463</v>
      </c>
      <c r="L311" s="55" t="s">
        <v>3958</v>
      </c>
      <c r="M311" s="28" t="s">
        <v>4337</v>
      </c>
      <c r="N311" s="28" t="s">
        <v>462</v>
      </c>
      <c r="O311" s="47" t="s">
        <v>4752</v>
      </c>
      <c r="P311" s="28">
        <f t="shared" si="4"/>
        <v>48</v>
      </c>
    </row>
    <row r="312" spans="1:16" s="28" customFormat="1" ht="30" x14ac:dyDescent="0.25">
      <c r="A312" s="28" t="s">
        <v>3851</v>
      </c>
      <c r="B312" s="28" t="s">
        <v>3955</v>
      </c>
      <c r="C312" s="41" t="s">
        <v>3956</v>
      </c>
      <c r="E312" s="42">
        <v>46082</v>
      </c>
      <c r="F312" s="61" t="s">
        <v>4670</v>
      </c>
      <c r="G312" s="55">
        <v>-560</v>
      </c>
      <c r="H312" s="55" t="s">
        <v>227</v>
      </c>
      <c r="I312" s="55" t="s">
        <v>3594</v>
      </c>
      <c r="J312" s="35" t="s">
        <v>41</v>
      </c>
      <c r="K312" s="55" t="s">
        <v>463</v>
      </c>
      <c r="L312" s="55" t="s">
        <v>3958</v>
      </c>
      <c r="M312" s="28" t="s">
        <v>4337</v>
      </c>
      <c r="N312" s="28" t="s">
        <v>462</v>
      </c>
      <c r="O312" s="47" t="s">
        <v>4752</v>
      </c>
      <c r="P312" s="28">
        <f t="shared" si="4"/>
        <v>48</v>
      </c>
    </row>
    <row r="313" spans="1:16" x14ac:dyDescent="0.25">
      <c r="A313" s="28" t="s">
        <v>3837</v>
      </c>
      <c r="B313" s="28" t="s">
        <v>3866</v>
      </c>
      <c r="C313" s="41" t="s">
        <v>3867</v>
      </c>
      <c r="D313" s="28"/>
      <c r="E313" s="42">
        <v>46058</v>
      </c>
      <c r="F313" s="61" t="s">
        <v>4754</v>
      </c>
      <c r="G313" s="28">
        <v>214.12</v>
      </c>
      <c r="H313" s="28" t="s">
        <v>227</v>
      </c>
      <c r="I313" s="55" t="s">
        <v>21</v>
      </c>
      <c r="J313" s="41" t="s">
        <v>1098</v>
      </c>
      <c r="K313" s="55">
        <v>6454</v>
      </c>
      <c r="L313" s="55" t="s">
        <v>3836</v>
      </c>
      <c r="M313" s="28" t="s">
        <v>4337</v>
      </c>
      <c r="N313" s="28" t="s">
        <v>567</v>
      </c>
      <c r="O313" s="47" t="s">
        <v>4519</v>
      </c>
      <c r="P313" s="28">
        <f t="shared" si="4"/>
        <v>59</v>
      </c>
    </row>
    <row r="314" spans="1:16" x14ac:dyDescent="0.25">
      <c r="A314" s="28" t="s">
        <v>3837</v>
      </c>
      <c r="B314" s="28" t="s">
        <v>3866</v>
      </c>
      <c r="C314" s="41" t="s">
        <v>3867</v>
      </c>
      <c r="D314" s="28"/>
      <c r="E314" s="42">
        <v>46065</v>
      </c>
      <c r="F314" s="61" t="s">
        <v>4522</v>
      </c>
      <c r="G314" s="28">
        <v>214.12</v>
      </c>
      <c r="H314" s="28" t="s">
        <v>227</v>
      </c>
      <c r="I314" s="55" t="s">
        <v>21</v>
      </c>
      <c r="J314" s="41" t="s">
        <v>1098</v>
      </c>
      <c r="K314" s="55">
        <v>6456</v>
      </c>
      <c r="L314" s="55" t="s">
        <v>3836</v>
      </c>
      <c r="M314" s="28" t="s">
        <v>4337</v>
      </c>
      <c r="N314" s="28" t="s">
        <v>567</v>
      </c>
      <c r="P314" s="28">
        <f t="shared" si="4"/>
        <v>49</v>
      </c>
    </row>
    <row r="315" spans="1:16" x14ac:dyDescent="0.25">
      <c r="A315" s="28" t="s">
        <v>3837</v>
      </c>
      <c r="B315" s="28" t="s">
        <v>3866</v>
      </c>
      <c r="C315" s="41" t="s">
        <v>3867</v>
      </c>
      <c r="D315" s="28"/>
      <c r="E315" s="42">
        <v>46065</v>
      </c>
      <c r="F315" s="61" t="s">
        <v>4524</v>
      </c>
      <c r="G315" s="55">
        <v>640.41</v>
      </c>
      <c r="H315" s="55" t="s">
        <v>227</v>
      </c>
      <c r="I315" s="55" t="s">
        <v>16</v>
      </c>
      <c r="J315" s="35" t="s">
        <v>3057</v>
      </c>
      <c r="K315" s="55">
        <v>6961</v>
      </c>
      <c r="L315" s="55" t="s">
        <v>3836</v>
      </c>
      <c r="M315" s="28" t="s">
        <v>4337</v>
      </c>
      <c r="N315" s="28" t="s">
        <v>567</v>
      </c>
      <c r="P315" s="28">
        <f t="shared" si="4"/>
        <v>53</v>
      </c>
    </row>
    <row r="316" spans="1:16" x14ac:dyDescent="0.25">
      <c r="A316" s="28" t="s">
        <v>3837</v>
      </c>
      <c r="B316" s="28" t="s">
        <v>3866</v>
      </c>
      <c r="C316" s="41" t="s">
        <v>3867</v>
      </c>
      <c r="D316" s="28"/>
      <c r="E316" s="42">
        <v>46066</v>
      </c>
      <c r="F316" s="61" t="s">
        <v>4521</v>
      </c>
      <c r="G316" s="55">
        <v>214.12</v>
      </c>
      <c r="H316" s="55" t="s">
        <v>227</v>
      </c>
      <c r="I316" s="55" t="s">
        <v>21</v>
      </c>
      <c r="J316" s="35" t="s">
        <v>1098</v>
      </c>
      <c r="K316" s="55">
        <v>6961</v>
      </c>
      <c r="L316" s="55" t="s">
        <v>3836</v>
      </c>
      <c r="M316" s="28" t="s">
        <v>4337</v>
      </c>
      <c r="N316" s="28" t="s">
        <v>567</v>
      </c>
      <c r="P316" s="28">
        <f t="shared" si="4"/>
        <v>50</v>
      </c>
    </row>
    <row r="317" spans="1:16" x14ac:dyDescent="0.25">
      <c r="A317" s="28" t="s">
        <v>3837</v>
      </c>
      <c r="B317" s="28" t="s">
        <v>3866</v>
      </c>
      <c r="C317" s="41" t="s">
        <v>3867</v>
      </c>
      <c r="D317" s="28"/>
      <c r="E317" s="42">
        <v>46077</v>
      </c>
      <c r="F317" s="43" t="s">
        <v>4520</v>
      </c>
      <c r="G317" s="28">
        <v>41.97</v>
      </c>
      <c r="H317" s="28" t="s">
        <v>227</v>
      </c>
      <c r="I317" s="28" t="s">
        <v>21</v>
      </c>
      <c r="J317" s="41" t="s">
        <v>239</v>
      </c>
      <c r="K317" s="28">
        <v>1035</v>
      </c>
      <c r="L317" s="28" t="s">
        <v>3836</v>
      </c>
      <c r="M317" s="28" t="s">
        <v>4337</v>
      </c>
      <c r="N317" s="28" t="s">
        <v>567</v>
      </c>
      <c r="P317" s="28">
        <f t="shared" si="4"/>
        <v>44</v>
      </c>
    </row>
    <row r="318" spans="1:16" x14ac:dyDescent="0.25">
      <c r="A318" s="28" t="s">
        <v>3837</v>
      </c>
      <c r="B318" s="28" t="s">
        <v>3866</v>
      </c>
      <c r="C318" s="41" t="s">
        <v>3867</v>
      </c>
      <c r="D318" s="28"/>
      <c r="E318" s="42">
        <v>46077</v>
      </c>
      <c r="F318" s="43" t="s">
        <v>4523</v>
      </c>
      <c r="G318" s="28">
        <v>828.28</v>
      </c>
      <c r="H318" s="28" t="s">
        <v>227</v>
      </c>
      <c r="I318" s="28" t="s">
        <v>16</v>
      </c>
      <c r="J318" s="41" t="s">
        <v>4342</v>
      </c>
      <c r="K318" s="28">
        <v>1035</v>
      </c>
      <c r="L318" s="28" t="s">
        <v>3836</v>
      </c>
      <c r="M318" s="28" t="s">
        <v>4337</v>
      </c>
      <c r="N318" s="28" t="s">
        <v>567</v>
      </c>
      <c r="P318" s="28">
        <f t="shared" si="4"/>
        <v>55</v>
      </c>
    </row>
    <row r="319" spans="1:16" s="28" customFormat="1" x14ac:dyDescent="0.25">
      <c r="A319" s="28" t="s">
        <v>4324</v>
      </c>
      <c r="B319" s="28" t="s">
        <v>3851</v>
      </c>
      <c r="C319" s="41" t="s">
        <v>4325</v>
      </c>
      <c r="E319" s="42">
        <v>46058</v>
      </c>
      <c r="F319" s="55" t="s">
        <v>4253</v>
      </c>
      <c r="G319" s="28">
        <v>51.11</v>
      </c>
      <c r="H319" s="28" t="s">
        <v>227</v>
      </c>
      <c r="I319" s="55" t="s">
        <v>21</v>
      </c>
      <c r="J319" s="41" t="s">
        <v>239</v>
      </c>
      <c r="K319" s="55">
        <v>4001</v>
      </c>
      <c r="L319" s="55" t="s">
        <v>3855</v>
      </c>
      <c r="M319" s="28" t="s">
        <v>4337</v>
      </c>
      <c r="N319" s="28" t="s">
        <v>1278</v>
      </c>
      <c r="O319" s="47"/>
      <c r="P319" s="28">
        <f t="shared" si="4"/>
        <v>37</v>
      </c>
    </row>
    <row r="320" spans="1:16" s="28" customFormat="1" x14ac:dyDescent="0.25">
      <c r="A320" s="28" t="s">
        <v>4324</v>
      </c>
      <c r="B320" s="28" t="s">
        <v>3851</v>
      </c>
      <c r="C320" s="41" t="s">
        <v>4325</v>
      </c>
      <c r="E320" s="42">
        <v>46061</v>
      </c>
      <c r="F320" s="55" t="s">
        <v>4327</v>
      </c>
      <c r="G320" s="28">
        <v>39.299999999999997</v>
      </c>
      <c r="H320" s="28" t="s">
        <v>227</v>
      </c>
      <c r="I320" s="28" t="s">
        <v>16</v>
      </c>
      <c r="J320" s="41" t="s">
        <v>4439</v>
      </c>
      <c r="K320" s="55">
        <v>4239</v>
      </c>
      <c r="L320" s="55" t="s">
        <v>3855</v>
      </c>
      <c r="M320" s="28" t="s">
        <v>4337</v>
      </c>
      <c r="N320" s="28" t="s">
        <v>1278</v>
      </c>
      <c r="O320" s="47"/>
      <c r="P320" s="28">
        <f t="shared" si="4"/>
        <v>55</v>
      </c>
    </row>
    <row r="321" spans="1:16" s="28" customFormat="1" x14ac:dyDescent="0.25">
      <c r="A321" s="28" t="s">
        <v>4324</v>
      </c>
      <c r="B321" s="28" t="s">
        <v>3851</v>
      </c>
      <c r="C321" s="41" t="s">
        <v>4325</v>
      </c>
      <c r="E321" s="42">
        <v>46061</v>
      </c>
      <c r="F321" s="55" t="s">
        <v>4332</v>
      </c>
      <c r="G321" s="28">
        <v>4.95</v>
      </c>
      <c r="H321" s="28" t="s">
        <v>227</v>
      </c>
      <c r="I321" s="28" t="s">
        <v>3922</v>
      </c>
      <c r="J321" s="41" t="s">
        <v>835</v>
      </c>
      <c r="K321" s="55">
        <v>4239</v>
      </c>
      <c r="L321" s="55" t="s">
        <v>3855</v>
      </c>
      <c r="M321" s="28" t="s">
        <v>4337</v>
      </c>
      <c r="N321" s="28" t="s">
        <v>1278</v>
      </c>
      <c r="O321" s="47"/>
      <c r="P321" s="28">
        <f t="shared" ref="P321:P384" si="5">LEN(F321&amp;J321)+12</f>
        <v>55</v>
      </c>
    </row>
    <row r="322" spans="1:16" s="28" customFormat="1" x14ac:dyDescent="0.25">
      <c r="A322" s="28" t="s">
        <v>4324</v>
      </c>
      <c r="B322" s="28" t="s">
        <v>3851</v>
      </c>
      <c r="C322" s="41" t="s">
        <v>4325</v>
      </c>
      <c r="E322" s="42">
        <v>46062</v>
      </c>
      <c r="F322" s="55" t="s">
        <v>4330</v>
      </c>
      <c r="G322" s="28">
        <v>91.98</v>
      </c>
      <c r="H322" s="28" t="s">
        <v>227</v>
      </c>
      <c r="I322" s="55" t="s">
        <v>21</v>
      </c>
      <c r="J322" s="41" t="s">
        <v>239</v>
      </c>
      <c r="K322" s="55">
        <v>4239</v>
      </c>
      <c r="L322" s="55" t="s">
        <v>3855</v>
      </c>
      <c r="M322" s="28" t="s">
        <v>4337</v>
      </c>
      <c r="N322" s="28" t="s">
        <v>1278</v>
      </c>
      <c r="O322" s="47"/>
      <c r="P322" s="28">
        <f t="shared" si="5"/>
        <v>47</v>
      </c>
    </row>
    <row r="323" spans="1:16" s="28" customFormat="1" x14ac:dyDescent="0.25">
      <c r="A323" s="28" t="s">
        <v>4324</v>
      </c>
      <c r="B323" s="28" t="s">
        <v>3851</v>
      </c>
      <c r="C323" s="41" t="s">
        <v>4325</v>
      </c>
      <c r="E323" s="42">
        <v>46063</v>
      </c>
      <c r="F323" s="55" t="s">
        <v>4327</v>
      </c>
      <c r="G323" s="28">
        <v>41.38</v>
      </c>
      <c r="H323" s="28" t="s">
        <v>227</v>
      </c>
      <c r="I323" s="28" t="s">
        <v>16</v>
      </c>
      <c r="J323" s="41" t="s">
        <v>232</v>
      </c>
      <c r="K323" s="55">
        <v>4239</v>
      </c>
      <c r="L323" s="55" t="s">
        <v>3855</v>
      </c>
      <c r="M323" s="28" t="s">
        <v>4337</v>
      </c>
      <c r="N323" s="28" t="s">
        <v>1278</v>
      </c>
      <c r="O323" s="47"/>
      <c r="P323" s="28">
        <f t="shared" si="5"/>
        <v>52</v>
      </c>
    </row>
    <row r="324" spans="1:16" s="28" customFormat="1" x14ac:dyDescent="0.25">
      <c r="A324" s="28" t="s">
        <v>4324</v>
      </c>
      <c r="B324" s="28" t="s">
        <v>3851</v>
      </c>
      <c r="C324" s="41" t="s">
        <v>4325</v>
      </c>
      <c r="E324" s="42">
        <v>46063</v>
      </c>
      <c r="F324" s="55" t="s">
        <v>4327</v>
      </c>
      <c r="G324" s="28">
        <v>46.78</v>
      </c>
      <c r="H324" s="28" t="s">
        <v>227</v>
      </c>
      <c r="I324" s="28" t="s">
        <v>16</v>
      </c>
      <c r="J324" s="41" t="s">
        <v>1014</v>
      </c>
      <c r="K324" s="55">
        <v>4239</v>
      </c>
      <c r="L324" s="55" t="s">
        <v>3855</v>
      </c>
      <c r="M324" s="28" t="s">
        <v>4337</v>
      </c>
      <c r="N324" s="28" t="s">
        <v>1278</v>
      </c>
      <c r="O324" s="47"/>
      <c r="P324" s="28">
        <f t="shared" si="5"/>
        <v>57</v>
      </c>
    </row>
    <row r="325" spans="1:16" s="28" customFormat="1" x14ac:dyDescent="0.25">
      <c r="A325" s="28" t="s">
        <v>4324</v>
      </c>
      <c r="B325" s="28" t="s">
        <v>3851</v>
      </c>
      <c r="C325" s="41" t="s">
        <v>4325</v>
      </c>
      <c r="E325" s="42">
        <v>46063</v>
      </c>
      <c r="F325" s="55" t="s">
        <v>4327</v>
      </c>
      <c r="G325" s="28">
        <v>32.9</v>
      </c>
      <c r="H325" s="28" t="s">
        <v>227</v>
      </c>
      <c r="I325" s="28" t="s">
        <v>16</v>
      </c>
      <c r="J325" s="41" t="s">
        <v>4474</v>
      </c>
      <c r="K325" s="55">
        <v>4239</v>
      </c>
      <c r="L325" s="55" t="s">
        <v>3855</v>
      </c>
      <c r="M325" s="28" t="s">
        <v>4337</v>
      </c>
      <c r="N325" s="28" t="s">
        <v>1278</v>
      </c>
      <c r="O325" s="47"/>
      <c r="P325" s="28">
        <f t="shared" si="5"/>
        <v>50</v>
      </c>
    </row>
    <row r="326" spans="1:16" s="28" customFormat="1" x14ac:dyDescent="0.25">
      <c r="A326" s="28" t="s">
        <v>4324</v>
      </c>
      <c r="B326" s="28" t="s">
        <v>3851</v>
      </c>
      <c r="C326" s="41" t="s">
        <v>4325</v>
      </c>
      <c r="E326" s="42">
        <v>46063</v>
      </c>
      <c r="F326" s="55" t="s">
        <v>4334</v>
      </c>
      <c r="G326" s="28">
        <v>1757.41</v>
      </c>
      <c r="H326" s="28" t="s">
        <v>227</v>
      </c>
      <c r="I326" s="28" t="s">
        <v>3864</v>
      </c>
      <c r="J326" s="41" t="s">
        <v>1014</v>
      </c>
      <c r="K326" s="55">
        <v>4239</v>
      </c>
      <c r="L326" s="55" t="s">
        <v>3855</v>
      </c>
      <c r="M326" s="28" t="s">
        <v>4337</v>
      </c>
      <c r="N326" s="28" t="s">
        <v>1278</v>
      </c>
      <c r="O326" s="47"/>
      <c r="P326" s="28">
        <f t="shared" si="5"/>
        <v>53</v>
      </c>
    </row>
    <row r="327" spans="1:16" s="28" customFormat="1" x14ac:dyDescent="0.25">
      <c r="A327" s="28" t="s">
        <v>4324</v>
      </c>
      <c r="B327" s="28" t="s">
        <v>3851</v>
      </c>
      <c r="C327" s="41" t="s">
        <v>4325</v>
      </c>
      <c r="E327" s="42">
        <v>46064</v>
      </c>
      <c r="F327" s="55" t="s">
        <v>4326</v>
      </c>
      <c r="G327" s="28">
        <v>130.88</v>
      </c>
      <c r="H327" s="28" t="s">
        <v>227</v>
      </c>
      <c r="I327" s="55" t="s">
        <v>21</v>
      </c>
      <c r="J327" s="41" t="s">
        <v>239</v>
      </c>
      <c r="K327" s="55">
        <v>4239</v>
      </c>
      <c r="L327" s="55" t="s">
        <v>3855</v>
      </c>
      <c r="M327" s="28" t="s">
        <v>4337</v>
      </c>
      <c r="N327" s="28" t="s">
        <v>1278</v>
      </c>
      <c r="O327" s="47"/>
      <c r="P327" s="28">
        <f t="shared" si="5"/>
        <v>46</v>
      </c>
    </row>
    <row r="328" spans="1:16" s="28" customFormat="1" x14ac:dyDescent="0.25">
      <c r="A328" s="28" t="s">
        <v>4324</v>
      </c>
      <c r="B328" s="28" t="s">
        <v>3851</v>
      </c>
      <c r="C328" s="41" t="s">
        <v>4325</v>
      </c>
      <c r="E328" s="42">
        <v>46065</v>
      </c>
      <c r="F328" s="55" t="s">
        <v>4253</v>
      </c>
      <c r="G328" s="28">
        <v>55.98</v>
      </c>
      <c r="H328" s="28" t="s">
        <v>227</v>
      </c>
      <c r="I328" s="55" t="s">
        <v>21</v>
      </c>
      <c r="J328" s="41" t="s">
        <v>239</v>
      </c>
      <c r="K328" s="55">
        <v>4001</v>
      </c>
      <c r="L328" s="55" t="s">
        <v>3855</v>
      </c>
      <c r="M328" s="28" t="s">
        <v>4337</v>
      </c>
      <c r="N328" s="28" t="s">
        <v>1278</v>
      </c>
      <c r="O328" s="47"/>
      <c r="P328" s="28">
        <f t="shared" si="5"/>
        <v>37</v>
      </c>
    </row>
    <row r="329" spans="1:16" s="28" customFormat="1" x14ac:dyDescent="0.25">
      <c r="A329" s="28" t="s">
        <v>4324</v>
      </c>
      <c r="B329" s="28" t="s">
        <v>3851</v>
      </c>
      <c r="C329" s="41" t="s">
        <v>4325</v>
      </c>
      <c r="E329" s="42">
        <v>46066</v>
      </c>
      <c r="F329" s="55" t="s">
        <v>4253</v>
      </c>
      <c r="G329" s="28">
        <v>35.1</v>
      </c>
      <c r="H329" s="28" t="s">
        <v>227</v>
      </c>
      <c r="I329" s="55" t="s">
        <v>21</v>
      </c>
      <c r="J329" s="41" t="s">
        <v>239</v>
      </c>
      <c r="K329" s="55">
        <v>4001</v>
      </c>
      <c r="L329" s="55" t="s">
        <v>3855</v>
      </c>
      <c r="M329" s="28" t="s">
        <v>4337</v>
      </c>
      <c r="N329" s="28" t="s">
        <v>1278</v>
      </c>
      <c r="O329" s="47"/>
      <c r="P329" s="28">
        <f t="shared" si="5"/>
        <v>37</v>
      </c>
    </row>
    <row r="330" spans="1:16" s="28" customFormat="1" x14ac:dyDescent="0.25">
      <c r="A330" s="28" t="s">
        <v>4324</v>
      </c>
      <c r="B330" s="28" t="s">
        <v>3851</v>
      </c>
      <c r="C330" s="41" t="s">
        <v>4325</v>
      </c>
      <c r="E330" s="42">
        <v>46071</v>
      </c>
      <c r="F330" s="55" t="s">
        <v>4253</v>
      </c>
      <c r="G330" s="28">
        <v>36.97</v>
      </c>
      <c r="H330" s="28" t="s">
        <v>227</v>
      </c>
      <c r="I330" s="55" t="s">
        <v>21</v>
      </c>
      <c r="J330" s="41" t="s">
        <v>239</v>
      </c>
      <c r="K330" s="55">
        <v>4001</v>
      </c>
      <c r="L330" s="55" t="s">
        <v>3855</v>
      </c>
      <c r="M330" s="28" t="s">
        <v>4337</v>
      </c>
      <c r="N330" s="28" t="s">
        <v>1278</v>
      </c>
      <c r="O330" s="47"/>
      <c r="P330" s="28">
        <f t="shared" si="5"/>
        <v>37</v>
      </c>
    </row>
    <row r="331" spans="1:16" s="28" customFormat="1" x14ac:dyDescent="0.25">
      <c r="A331" s="28" t="s">
        <v>4324</v>
      </c>
      <c r="B331" s="28" t="s">
        <v>3851</v>
      </c>
      <c r="C331" s="41" t="s">
        <v>4325</v>
      </c>
      <c r="E331" s="42">
        <v>46071</v>
      </c>
      <c r="F331" s="55" t="s">
        <v>4253</v>
      </c>
      <c r="G331" s="28">
        <v>33.979999999999997</v>
      </c>
      <c r="H331" s="28" t="s">
        <v>227</v>
      </c>
      <c r="I331" s="55" t="s">
        <v>21</v>
      </c>
      <c r="J331" s="41" t="s">
        <v>239</v>
      </c>
      <c r="K331" s="55">
        <v>4001</v>
      </c>
      <c r="L331" s="55" t="s">
        <v>3855</v>
      </c>
      <c r="M331" s="28" t="s">
        <v>4337</v>
      </c>
      <c r="N331" s="28" t="s">
        <v>1278</v>
      </c>
      <c r="O331" s="48" t="s">
        <v>4755</v>
      </c>
      <c r="P331" s="28">
        <f t="shared" si="5"/>
        <v>37</v>
      </c>
    </row>
    <row r="332" spans="1:16" s="28" customFormat="1" x14ac:dyDescent="0.25">
      <c r="A332" s="28" t="s">
        <v>4324</v>
      </c>
      <c r="B332" s="28" t="s">
        <v>3851</v>
      </c>
      <c r="C332" s="41" t="s">
        <v>4325</v>
      </c>
      <c r="E332" s="42">
        <v>46073</v>
      </c>
      <c r="F332" s="43" t="s">
        <v>4562</v>
      </c>
      <c r="G332" s="28">
        <v>215.83</v>
      </c>
      <c r="H332" s="28" t="s">
        <v>227</v>
      </c>
      <c r="I332" s="28" t="s">
        <v>21</v>
      </c>
      <c r="J332" s="41" t="s">
        <v>239</v>
      </c>
      <c r="K332" s="28">
        <v>1035</v>
      </c>
      <c r="L332" s="28" t="s">
        <v>3855</v>
      </c>
      <c r="M332" s="28" t="s">
        <v>4337</v>
      </c>
      <c r="N332" s="28" t="s">
        <v>1278</v>
      </c>
      <c r="O332" s="47"/>
      <c r="P332" s="28">
        <f t="shared" si="5"/>
        <v>37</v>
      </c>
    </row>
    <row r="333" spans="1:16" s="28" customFormat="1" x14ac:dyDescent="0.25">
      <c r="A333" s="28" t="s">
        <v>4324</v>
      </c>
      <c r="B333" s="28" t="s">
        <v>3851</v>
      </c>
      <c r="C333" s="41" t="s">
        <v>4325</v>
      </c>
      <c r="E333" s="42">
        <v>46073</v>
      </c>
      <c r="F333" s="55" t="s">
        <v>4327</v>
      </c>
      <c r="G333" s="28">
        <v>30.82</v>
      </c>
      <c r="H333" s="28" t="s">
        <v>227</v>
      </c>
      <c r="I333" s="28" t="s">
        <v>16</v>
      </c>
      <c r="J333" s="41" t="s">
        <v>1053</v>
      </c>
      <c r="K333" s="55">
        <v>4239</v>
      </c>
      <c r="L333" s="55" t="s">
        <v>3855</v>
      </c>
      <c r="M333" s="28" t="s">
        <v>4337</v>
      </c>
      <c r="N333" s="28" t="s">
        <v>1278</v>
      </c>
      <c r="O333" s="47"/>
      <c r="P333" s="28">
        <f t="shared" si="5"/>
        <v>56</v>
      </c>
    </row>
    <row r="334" spans="1:16" s="28" customFormat="1" x14ac:dyDescent="0.25">
      <c r="A334" s="28" t="s">
        <v>4324</v>
      </c>
      <c r="B334" s="28" t="s">
        <v>3851</v>
      </c>
      <c r="C334" s="41" t="s">
        <v>4325</v>
      </c>
      <c r="E334" s="42">
        <v>46079</v>
      </c>
      <c r="F334" s="43" t="s">
        <v>4671</v>
      </c>
      <c r="G334" s="28">
        <v>26.99</v>
      </c>
      <c r="H334" s="28" t="s">
        <v>227</v>
      </c>
      <c r="I334" s="28" t="s">
        <v>21</v>
      </c>
      <c r="J334" s="41" t="s">
        <v>239</v>
      </c>
      <c r="K334" s="28">
        <v>1035</v>
      </c>
      <c r="L334" s="28" t="s">
        <v>3855</v>
      </c>
      <c r="M334" s="28" t="s">
        <v>4337</v>
      </c>
      <c r="N334" s="28" t="s">
        <v>1278</v>
      </c>
      <c r="O334" s="47"/>
      <c r="P334" s="28">
        <f t="shared" si="5"/>
        <v>40</v>
      </c>
    </row>
    <row r="335" spans="1:16" s="28" customFormat="1" x14ac:dyDescent="0.25">
      <c r="A335" s="28" t="s">
        <v>4324</v>
      </c>
      <c r="B335" s="28" t="s">
        <v>3851</v>
      </c>
      <c r="C335" s="41" t="s">
        <v>4325</v>
      </c>
      <c r="E335" s="42">
        <v>46083</v>
      </c>
      <c r="F335" s="43" t="s">
        <v>4672</v>
      </c>
      <c r="G335" s="28">
        <v>159.61000000000001</v>
      </c>
      <c r="H335" s="28" t="s">
        <v>227</v>
      </c>
      <c r="I335" s="28" t="s">
        <v>21</v>
      </c>
      <c r="J335" s="41" t="s">
        <v>239</v>
      </c>
      <c r="K335" s="28">
        <v>1035</v>
      </c>
      <c r="L335" s="28" t="s">
        <v>3855</v>
      </c>
      <c r="M335" s="28" t="s">
        <v>4337</v>
      </c>
      <c r="N335" s="28" t="s">
        <v>1278</v>
      </c>
      <c r="O335" s="47"/>
      <c r="P335" s="28">
        <f t="shared" si="5"/>
        <v>37</v>
      </c>
    </row>
    <row r="336" spans="1:16" s="28" customFormat="1" x14ac:dyDescent="0.25">
      <c r="A336" s="28" t="s">
        <v>4324</v>
      </c>
      <c r="B336" s="28" t="s">
        <v>3851</v>
      </c>
      <c r="C336" s="41" t="s">
        <v>4325</v>
      </c>
      <c r="E336" s="42">
        <v>46084</v>
      </c>
      <c r="F336" s="55" t="s">
        <v>4253</v>
      </c>
      <c r="G336" s="28">
        <v>60.98</v>
      </c>
      <c r="H336" s="28" t="s">
        <v>227</v>
      </c>
      <c r="I336" s="55" t="s">
        <v>21</v>
      </c>
      <c r="J336" s="41" t="s">
        <v>239</v>
      </c>
      <c r="K336" s="55">
        <v>4001</v>
      </c>
      <c r="L336" s="55" t="s">
        <v>3855</v>
      </c>
      <c r="M336" s="28" t="s">
        <v>4337</v>
      </c>
      <c r="N336" s="28" t="s">
        <v>1278</v>
      </c>
      <c r="O336" s="47"/>
      <c r="P336" s="28">
        <f t="shared" si="5"/>
        <v>37</v>
      </c>
    </row>
    <row r="337" spans="1:16" s="28" customFormat="1" x14ac:dyDescent="0.25">
      <c r="A337" s="28" t="s">
        <v>4324</v>
      </c>
      <c r="B337" s="28" t="s">
        <v>3851</v>
      </c>
      <c r="C337" s="41" t="s">
        <v>4325</v>
      </c>
      <c r="E337" s="42">
        <v>46085</v>
      </c>
      <c r="F337" s="55" t="s">
        <v>4253</v>
      </c>
      <c r="G337" s="28">
        <v>83.83</v>
      </c>
      <c r="H337" s="28" t="s">
        <v>227</v>
      </c>
      <c r="I337" s="55" t="s">
        <v>21</v>
      </c>
      <c r="J337" s="41" t="s">
        <v>239</v>
      </c>
      <c r="K337" s="55">
        <v>4001</v>
      </c>
      <c r="L337" s="55" t="s">
        <v>3855</v>
      </c>
      <c r="M337" s="28" t="s">
        <v>4337</v>
      </c>
      <c r="N337" s="28" t="s">
        <v>1278</v>
      </c>
      <c r="O337" s="47"/>
      <c r="P337" s="28">
        <f t="shared" si="5"/>
        <v>37</v>
      </c>
    </row>
    <row r="338" spans="1:16" s="28" customFormat="1" x14ac:dyDescent="0.25">
      <c r="A338" s="28" t="s">
        <v>4324</v>
      </c>
      <c r="B338" s="28" t="s">
        <v>3851</v>
      </c>
      <c r="C338" s="41" t="s">
        <v>4325</v>
      </c>
      <c r="E338" s="42">
        <v>46086</v>
      </c>
      <c r="F338" s="55" t="s">
        <v>4253</v>
      </c>
      <c r="G338" s="28">
        <v>69.98</v>
      </c>
      <c r="H338" s="28" t="s">
        <v>227</v>
      </c>
      <c r="I338" s="55" t="s">
        <v>21</v>
      </c>
      <c r="J338" s="41" t="s">
        <v>239</v>
      </c>
      <c r="K338" s="55">
        <v>4001</v>
      </c>
      <c r="L338" s="55" t="s">
        <v>3855</v>
      </c>
      <c r="M338" s="28" t="s">
        <v>4337</v>
      </c>
      <c r="N338" s="28" t="s">
        <v>1278</v>
      </c>
      <c r="O338" s="47"/>
      <c r="P338" s="28">
        <f t="shared" si="5"/>
        <v>37</v>
      </c>
    </row>
    <row r="339" spans="1:16" s="28" customFormat="1" x14ac:dyDescent="0.25">
      <c r="A339" s="28" t="s">
        <v>4324</v>
      </c>
      <c r="B339" s="28" t="s">
        <v>3851</v>
      </c>
      <c r="C339" s="41" t="s">
        <v>4325</v>
      </c>
      <c r="E339" s="42">
        <v>46087</v>
      </c>
      <c r="F339" s="55" t="s">
        <v>4253</v>
      </c>
      <c r="G339" s="28">
        <v>59.85</v>
      </c>
      <c r="H339" s="28" t="s">
        <v>227</v>
      </c>
      <c r="I339" s="55" t="s">
        <v>21</v>
      </c>
      <c r="J339" s="41" t="s">
        <v>239</v>
      </c>
      <c r="K339" s="55">
        <v>4001</v>
      </c>
      <c r="L339" s="55" t="s">
        <v>3855</v>
      </c>
      <c r="M339" s="28" t="s">
        <v>4337</v>
      </c>
      <c r="N339" s="28" t="s">
        <v>1278</v>
      </c>
      <c r="O339" s="47"/>
      <c r="P339" s="28">
        <f t="shared" si="5"/>
        <v>37</v>
      </c>
    </row>
    <row r="340" spans="1:16" x14ac:dyDescent="0.25">
      <c r="A340" s="28" t="s">
        <v>3851</v>
      </c>
      <c r="B340" s="28" t="s">
        <v>3852</v>
      </c>
      <c r="C340" s="41" t="s">
        <v>3853</v>
      </c>
      <c r="D340" s="28"/>
      <c r="E340" s="42">
        <v>46055</v>
      </c>
      <c r="F340" s="55" t="s">
        <v>3854</v>
      </c>
      <c r="G340" s="55">
        <v>-414.1</v>
      </c>
      <c r="H340" s="55" t="s">
        <v>227</v>
      </c>
      <c r="I340" s="55" t="s">
        <v>3594</v>
      </c>
      <c r="J340" s="35" t="s">
        <v>601</v>
      </c>
      <c r="K340" s="61">
        <v>4001</v>
      </c>
      <c r="L340" s="55" t="s">
        <v>3855</v>
      </c>
      <c r="M340" s="55" t="s">
        <v>4337</v>
      </c>
      <c r="N340" s="28" t="s">
        <v>575</v>
      </c>
      <c r="O340" s="47" t="s">
        <v>4513</v>
      </c>
      <c r="P340" s="28">
        <f t="shared" si="5"/>
        <v>55</v>
      </c>
    </row>
    <row r="341" spans="1:16" x14ac:dyDescent="0.25">
      <c r="A341" s="28" t="s">
        <v>3851</v>
      </c>
      <c r="B341" s="28" t="s">
        <v>3852</v>
      </c>
      <c r="C341" s="41" t="s">
        <v>3853</v>
      </c>
      <c r="D341" s="28"/>
      <c r="E341" s="42">
        <v>46057</v>
      </c>
      <c r="F341" s="55" t="s">
        <v>3861</v>
      </c>
      <c r="G341" s="28">
        <v>8.58</v>
      </c>
      <c r="H341" s="28" t="s">
        <v>227</v>
      </c>
      <c r="I341" s="28" t="s">
        <v>16</v>
      </c>
      <c r="J341" s="41" t="s">
        <v>2852</v>
      </c>
      <c r="K341" s="55">
        <v>4263</v>
      </c>
      <c r="L341" s="55" t="s">
        <v>3855</v>
      </c>
      <c r="M341" s="28" t="s">
        <v>4337</v>
      </c>
      <c r="N341" s="28" t="s">
        <v>575</v>
      </c>
      <c r="P341" s="28">
        <f t="shared" si="5"/>
        <v>51</v>
      </c>
    </row>
    <row r="342" spans="1:16" x14ac:dyDescent="0.25">
      <c r="A342" s="28" t="s">
        <v>3851</v>
      </c>
      <c r="B342" s="28" t="s">
        <v>3852</v>
      </c>
      <c r="C342" s="41" t="s">
        <v>3853</v>
      </c>
      <c r="D342" s="28"/>
      <c r="E342" s="42">
        <v>46057</v>
      </c>
      <c r="F342" s="55" t="s">
        <v>3862</v>
      </c>
      <c r="G342" s="28">
        <v>64.67</v>
      </c>
      <c r="H342" s="28" t="s">
        <v>227</v>
      </c>
      <c r="I342" s="28" t="s">
        <v>16</v>
      </c>
      <c r="J342" s="41" t="s">
        <v>2852</v>
      </c>
      <c r="K342" s="55">
        <v>6409</v>
      </c>
      <c r="L342" s="55" t="s">
        <v>3836</v>
      </c>
      <c r="M342" s="28" t="s">
        <v>4337</v>
      </c>
      <c r="N342" s="28" t="s">
        <v>575</v>
      </c>
      <c r="P342" s="28">
        <f t="shared" si="5"/>
        <v>47</v>
      </c>
    </row>
    <row r="343" spans="1:16" x14ac:dyDescent="0.25">
      <c r="A343" s="28" t="s">
        <v>3851</v>
      </c>
      <c r="B343" s="28" t="s">
        <v>3852</v>
      </c>
      <c r="C343" s="41" t="s">
        <v>3853</v>
      </c>
      <c r="D343" s="28"/>
      <c r="E343" s="42">
        <v>46057</v>
      </c>
      <c r="F343" s="55" t="s">
        <v>3862</v>
      </c>
      <c r="G343" s="28">
        <v>59.38</v>
      </c>
      <c r="H343" s="28" t="s">
        <v>227</v>
      </c>
      <c r="I343" s="28" t="s">
        <v>16</v>
      </c>
      <c r="J343" s="41" t="s">
        <v>2852</v>
      </c>
      <c r="K343" s="55">
        <v>6409</v>
      </c>
      <c r="L343" s="55" t="s">
        <v>3836</v>
      </c>
      <c r="M343" s="28" t="s">
        <v>4337</v>
      </c>
      <c r="N343" s="28" t="s">
        <v>575</v>
      </c>
      <c r="P343" s="28">
        <f t="shared" si="5"/>
        <v>47</v>
      </c>
    </row>
    <row r="344" spans="1:16" x14ac:dyDescent="0.25">
      <c r="A344" s="28" t="s">
        <v>3851</v>
      </c>
      <c r="B344" s="28" t="s">
        <v>3852</v>
      </c>
      <c r="C344" s="41" t="s">
        <v>3853</v>
      </c>
      <c r="D344" s="28"/>
      <c r="E344" s="42">
        <v>46057</v>
      </c>
      <c r="F344" s="61" t="s">
        <v>4518</v>
      </c>
      <c r="G344" s="28">
        <v>583.16</v>
      </c>
      <c r="H344" s="28" t="s">
        <v>227</v>
      </c>
      <c r="I344" s="28" t="s">
        <v>3864</v>
      </c>
      <c r="J344" s="41" t="s">
        <v>2852</v>
      </c>
      <c r="K344" s="55">
        <v>6409</v>
      </c>
      <c r="L344" s="55" t="s">
        <v>3836</v>
      </c>
      <c r="M344" s="28" t="s">
        <v>4337</v>
      </c>
      <c r="N344" s="28" t="s">
        <v>575</v>
      </c>
      <c r="O344" s="47" t="s">
        <v>4517</v>
      </c>
      <c r="P344" s="28">
        <f t="shared" si="5"/>
        <v>43</v>
      </c>
    </row>
    <row r="345" spans="1:16" x14ac:dyDescent="0.25">
      <c r="A345" s="28" t="s">
        <v>3851</v>
      </c>
      <c r="B345" s="28" t="s">
        <v>3852</v>
      </c>
      <c r="C345" s="41" t="s">
        <v>3853</v>
      </c>
      <c r="D345" s="28"/>
      <c r="E345" s="42">
        <v>46057</v>
      </c>
      <c r="F345" s="55" t="s">
        <v>3865</v>
      </c>
      <c r="G345" s="28">
        <v>1749.45</v>
      </c>
      <c r="H345" s="28" t="s">
        <v>227</v>
      </c>
      <c r="I345" s="28" t="s">
        <v>3864</v>
      </c>
      <c r="J345" s="41" t="s">
        <v>2852</v>
      </c>
      <c r="K345" s="55">
        <v>4263</v>
      </c>
      <c r="L345" s="55" t="s">
        <v>3855</v>
      </c>
      <c r="M345" s="28" t="s">
        <v>4337</v>
      </c>
      <c r="N345" s="28" t="s">
        <v>575</v>
      </c>
      <c r="O345" s="47" t="s">
        <v>4517</v>
      </c>
      <c r="P345" s="28">
        <f t="shared" si="5"/>
        <v>47</v>
      </c>
    </row>
    <row r="346" spans="1:16" x14ac:dyDescent="0.25">
      <c r="A346" s="28" t="s">
        <v>3851</v>
      </c>
      <c r="B346" s="28" t="s">
        <v>3852</v>
      </c>
      <c r="C346" s="41" t="s">
        <v>3853</v>
      </c>
      <c r="D346" s="28"/>
      <c r="E346" s="42">
        <v>46063</v>
      </c>
      <c r="F346" s="28" t="s">
        <v>4514</v>
      </c>
      <c r="G346" s="28">
        <v>-1186.8399999999999</v>
      </c>
      <c r="H346" s="28" t="s">
        <v>227</v>
      </c>
      <c r="I346" s="28" t="s">
        <v>3594</v>
      </c>
      <c r="J346" s="41" t="s">
        <v>29</v>
      </c>
      <c r="K346" s="28">
        <v>1035</v>
      </c>
      <c r="L346" s="28" t="s">
        <v>3836</v>
      </c>
      <c r="M346" s="28" t="s">
        <v>4337</v>
      </c>
      <c r="N346" s="28" t="s">
        <v>575</v>
      </c>
      <c r="P346" s="28">
        <f t="shared" si="5"/>
        <v>45</v>
      </c>
    </row>
    <row r="347" spans="1:16" x14ac:dyDescent="0.25">
      <c r="A347" s="28" t="s">
        <v>3851</v>
      </c>
      <c r="B347" s="28" t="s">
        <v>3852</v>
      </c>
      <c r="C347" s="41" t="s">
        <v>3853</v>
      </c>
      <c r="D347" s="28"/>
      <c r="E347" s="42">
        <v>46063</v>
      </c>
      <c r="F347" s="43" t="s">
        <v>4515</v>
      </c>
      <c r="G347" s="28">
        <v>-853.49</v>
      </c>
      <c r="H347" s="28" t="s">
        <v>227</v>
      </c>
      <c r="I347" s="28" t="s">
        <v>3594</v>
      </c>
      <c r="J347" s="41" t="s">
        <v>41</v>
      </c>
      <c r="K347" s="28">
        <v>1035</v>
      </c>
      <c r="L347" s="28" t="s">
        <v>3836</v>
      </c>
      <c r="M347" s="28" t="s">
        <v>4337</v>
      </c>
      <c r="N347" s="28" t="s">
        <v>575</v>
      </c>
      <c r="O347" s="47" t="s">
        <v>4516</v>
      </c>
      <c r="P347" s="28">
        <f t="shared" si="5"/>
        <v>44</v>
      </c>
    </row>
    <row r="348" spans="1:16" x14ac:dyDescent="0.25">
      <c r="A348" s="28" t="s">
        <v>3851</v>
      </c>
      <c r="B348" s="28" t="s">
        <v>3852</v>
      </c>
      <c r="C348" s="41" t="s">
        <v>3853</v>
      </c>
      <c r="D348" s="28"/>
      <c r="E348" s="42">
        <v>46079</v>
      </c>
      <c r="F348" s="55" t="s">
        <v>3856</v>
      </c>
      <c r="G348" s="28">
        <v>1375</v>
      </c>
      <c r="H348" s="28" t="s">
        <v>227</v>
      </c>
      <c r="I348" s="28" t="s">
        <v>16</v>
      </c>
      <c r="J348" s="41" t="s">
        <v>939</v>
      </c>
      <c r="K348" s="55">
        <v>6470</v>
      </c>
      <c r="L348" s="55" t="s">
        <v>3836</v>
      </c>
      <c r="M348" s="28" t="s">
        <v>4337</v>
      </c>
      <c r="N348" s="28" t="s">
        <v>575</v>
      </c>
      <c r="P348" s="28">
        <f t="shared" si="5"/>
        <v>48</v>
      </c>
    </row>
    <row r="349" spans="1:16" x14ac:dyDescent="0.25">
      <c r="A349" s="28" t="s">
        <v>3851</v>
      </c>
      <c r="B349" s="28" t="s">
        <v>3852</v>
      </c>
      <c r="C349" s="41" t="s">
        <v>3853</v>
      </c>
      <c r="D349" s="28"/>
      <c r="E349" s="42">
        <v>46085</v>
      </c>
      <c r="F349" s="55" t="s">
        <v>3857</v>
      </c>
      <c r="G349" s="28">
        <v>1056.52</v>
      </c>
      <c r="H349" s="28" t="s">
        <v>227</v>
      </c>
      <c r="I349" s="55" t="s">
        <v>3594</v>
      </c>
      <c r="J349" s="41" t="s">
        <v>29</v>
      </c>
      <c r="K349" s="55">
        <v>6645</v>
      </c>
      <c r="L349" s="55" t="s">
        <v>3836</v>
      </c>
      <c r="M349" s="28" t="s">
        <v>4337</v>
      </c>
      <c r="N349" s="28" t="s">
        <v>575</v>
      </c>
      <c r="P349" s="28">
        <f t="shared" si="5"/>
        <v>45</v>
      </c>
    </row>
    <row r="350" spans="1:16" x14ac:dyDescent="0.25">
      <c r="A350" s="28" t="s">
        <v>3851</v>
      </c>
      <c r="B350" s="28" t="s">
        <v>3852</v>
      </c>
      <c r="C350" s="41" t="s">
        <v>3853</v>
      </c>
      <c r="D350" s="28"/>
      <c r="E350" s="42">
        <v>46085</v>
      </c>
      <c r="F350" s="55" t="s">
        <v>3860</v>
      </c>
      <c r="G350" s="28">
        <v>30</v>
      </c>
      <c r="H350" s="28" t="s">
        <v>227</v>
      </c>
      <c r="I350" s="61" t="s">
        <v>3594</v>
      </c>
      <c r="J350" s="41" t="s">
        <v>790</v>
      </c>
      <c r="K350" s="55">
        <v>6645</v>
      </c>
      <c r="L350" s="55" t="s">
        <v>3836</v>
      </c>
      <c r="M350" s="28" t="s">
        <v>4337</v>
      </c>
      <c r="N350" s="28" t="s">
        <v>575</v>
      </c>
      <c r="P350" s="28">
        <f t="shared" si="5"/>
        <v>53</v>
      </c>
    </row>
    <row r="351" spans="1:16" s="28" customFormat="1" ht="15.75" customHeight="1" x14ac:dyDescent="0.25">
      <c r="A351" s="28" t="s">
        <v>4286</v>
      </c>
      <c r="B351" s="28" t="s">
        <v>4287</v>
      </c>
      <c r="C351" s="41" t="s">
        <v>4288</v>
      </c>
      <c r="E351" s="42">
        <v>46059</v>
      </c>
      <c r="F351" s="55" t="s">
        <v>4253</v>
      </c>
      <c r="G351" s="28">
        <v>56.16</v>
      </c>
      <c r="H351" s="28" t="s">
        <v>227</v>
      </c>
      <c r="I351" s="55" t="s">
        <v>21</v>
      </c>
      <c r="J351" s="41" t="s">
        <v>239</v>
      </c>
      <c r="K351" s="55">
        <v>4001</v>
      </c>
      <c r="L351" s="55" t="s">
        <v>3855</v>
      </c>
      <c r="M351" s="28" t="s">
        <v>4337</v>
      </c>
      <c r="N351" s="28" t="s">
        <v>309</v>
      </c>
      <c r="O351" s="47"/>
      <c r="P351" s="28">
        <f t="shared" si="5"/>
        <v>37</v>
      </c>
    </row>
    <row r="352" spans="1:16" s="28" customFormat="1" x14ac:dyDescent="0.25">
      <c r="A352" s="28" t="s">
        <v>4286</v>
      </c>
      <c r="B352" s="28" t="s">
        <v>4287</v>
      </c>
      <c r="C352" s="41" t="s">
        <v>4288</v>
      </c>
      <c r="E352" s="42">
        <v>46063</v>
      </c>
      <c r="F352" s="61" t="s">
        <v>4673</v>
      </c>
      <c r="G352" s="55">
        <v>73.290000000000006</v>
      </c>
      <c r="H352" s="55" t="s">
        <v>227</v>
      </c>
      <c r="I352" s="55" t="s">
        <v>21</v>
      </c>
      <c r="J352" s="35" t="s">
        <v>239</v>
      </c>
      <c r="K352" s="55">
        <v>4001</v>
      </c>
      <c r="L352" s="55" t="s">
        <v>3855</v>
      </c>
      <c r="M352" s="28" t="s">
        <v>4337</v>
      </c>
      <c r="N352" s="28" t="s">
        <v>309</v>
      </c>
      <c r="O352" s="47"/>
      <c r="P352" s="28">
        <f t="shared" si="5"/>
        <v>55</v>
      </c>
    </row>
    <row r="353" spans="1:16" s="28" customFormat="1" x14ac:dyDescent="0.25">
      <c r="A353" s="28" t="s">
        <v>4286</v>
      </c>
      <c r="B353" s="28" t="s">
        <v>4287</v>
      </c>
      <c r="C353" s="41" t="s">
        <v>4288</v>
      </c>
      <c r="E353" s="42">
        <v>46063</v>
      </c>
      <c r="F353" s="55" t="s">
        <v>4253</v>
      </c>
      <c r="G353" s="28">
        <v>39.21</v>
      </c>
      <c r="H353" s="28" t="s">
        <v>227</v>
      </c>
      <c r="I353" s="55" t="s">
        <v>21</v>
      </c>
      <c r="J353" s="41" t="s">
        <v>239</v>
      </c>
      <c r="K353" s="55">
        <v>4001</v>
      </c>
      <c r="L353" s="55" t="s">
        <v>3855</v>
      </c>
      <c r="M353" s="28" t="s">
        <v>4337</v>
      </c>
      <c r="N353" s="28" t="s">
        <v>309</v>
      </c>
      <c r="O353" s="47"/>
      <c r="P353" s="28">
        <f t="shared" si="5"/>
        <v>37</v>
      </c>
    </row>
    <row r="354" spans="1:16" s="28" customFormat="1" x14ac:dyDescent="0.25">
      <c r="A354" s="28" t="s">
        <v>4286</v>
      </c>
      <c r="B354" s="28" t="s">
        <v>4287</v>
      </c>
      <c r="C354" s="41" t="s">
        <v>4288</v>
      </c>
      <c r="E354" s="42">
        <v>46064</v>
      </c>
      <c r="F354" s="61" t="s">
        <v>4674</v>
      </c>
      <c r="G354" s="55">
        <v>65.680000000000007</v>
      </c>
      <c r="H354" s="55" t="s">
        <v>227</v>
      </c>
      <c r="I354" s="55" t="s">
        <v>21</v>
      </c>
      <c r="J354" s="35" t="s">
        <v>239</v>
      </c>
      <c r="K354" s="55">
        <v>4001</v>
      </c>
      <c r="L354" s="55" t="s">
        <v>3855</v>
      </c>
      <c r="M354" s="28" t="s">
        <v>4337</v>
      </c>
      <c r="N354" s="28" t="s">
        <v>309</v>
      </c>
      <c r="O354" s="47"/>
      <c r="P354" s="28">
        <f t="shared" si="5"/>
        <v>55</v>
      </c>
    </row>
    <row r="355" spans="1:16" s="28" customFormat="1" x14ac:dyDescent="0.25">
      <c r="A355" s="28" t="s">
        <v>4286</v>
      </c>
      <c r="B355" s="28" t="s">
        <v>4287</v>
      </c>
      <c r="C355" s="41" t="s">
        <v>4288</v>
      </c>
      <c r="E355" s="42">
        <v>46066</v>
      </c>
      <c r="F355" s="55" t="s">
        <v>4253</v>
      </c>
      <c r="G355" s="28">
        <v>44.99</v>
      </c>
      <c r="H355" s="28" t="s">
        <v>227</v>
      </c>
      <c r="I355" s="55" t="s">
        <v>21</v>
      </c>
      <c r="J355" s="41" t="s">
        <v>239</v>
      </c>
      <c r="K355" s="55">
        <v>4001</v>
      </c>
      <c r="L355" s="55" t="s">
        <v>3855</v>
      </c>
      <c r="M355" s="28" t="s">
        <v>4337</v>
      </c>
      <c r="N355" s="28" t="s">
        <v>309</v>
      </c>
      <c r="O355" s="47"/>
      <c r="P355" s="28">
        <f t="shared" si="5"/>
        <v>37</v>
      </c>
    </row>
    <row r="356" spans="1:16" s="28" customFormat="1" x14ac:dyDescent="0.25">
      <c r="A356" s="28" t="s">
        <v>4286</v>
      </c>
      <c r="B356" s="28" t="s">
        <v>4287</v>
      </c>
      <c r="C356" s="41" t="s">
        <v>4288</v>
      </c>
      <c r="E356" s="42">
        <v>46066</v>
      </c>
      <c r="F356" s="61" t="s">
        <v>4831</v>
      </c>
      <c r="G356" s="28">
        <v>1.8</v>
      </c>
      <c r="H356" s="28" t="s">
        <v>227</v>
      </c>
      <c r="I356" s="28" t="s">
        <v>4500</v>
      </c>
      <c r="J356" s="41" t="s">
        <v>227</v>
      </c>
      <c r="K356" s="55">
        <v>1008</v>
      </c>
      <c r="L356" s="55" t="s">
        <v>3855</v>
      </c>
      <c r="M356" s="28" t="s">
        <v>4337</v>
      </c>
      <c r="N356" s="49" t="s">
        <v>309</v>
      </c>
      <c r="O356" s="47"/>
      <c r="P356" s="28">
        <f t="shared" si="5"/>
        <v>51</v>
      </c>
    </row>
    <row r="357" spans="1:16" s="28" customFormat="1" x14ac:dyDescent="0.25">
      <c r="A357" s="28" t="s">
        <v>4286</v>
      </c>
      <c r="B357" s="28" t="s">
        <v>4287</v>
      </c>
      <c r="C357" s="41" t="s">
        <v>4288</v>
      </c>
      <c r="E357" s="42">
        <v>46066</v>
      </c>
      <c r="F357" s="61" t="s">
        <v>4831</v>
      </c>
      <c r="G357" s="28">
        <v>7.8</v>
      </c>
      <c r="H357" s="28" t="s">
        <v>227</v>
      </c>
      <c r="I357" s="28" t="s">
        <v>4500</v>
      </c>
      <c r="J357" s="41" t="s">
        <v>227</v>
      </c>
      <c r="K357" s="55">
        <v>1008</v>
      </c>
      <c r="L357" s="55" t="s">
        <v>3855</v>
      </c>
      <c r="M357" s="28" t="s">
        <v>4337</v>
      </c>
      <c r="N357" s="49" t="s">
        <v>309</v>
      </c>
      <c r="O357" s="47"/>
      <c r="P357" s="28">
        <f t="shared" si="5"/>
        <v>51</v>
      </c>
    </row>
    <row r="358" spans="1:16" s="28" customFormat="1" ht="75" x14ac:dyDescent="0.25">
      <c r="A358" s="28" t="s">
        <v>4286</v>
      </c>
      <c r="B358" s="28" t="s">
        <v>4287</v>
      </c>
      <c r="C358" s="41" t="s">
        <v>4288</v>
      </c>
      <c r="E358" s="42">
        <v>46071</v>
      </c>
      <c r="F358" s="61" t="s">
        <v>4850</v>
      </c>
      <c r="G358" s="28">
        <v>814.92</v>
      </c>
      <c r="H358" s="28" t="s">
        <v>227</v>
      </c>
      <c r="I358" s="28" t="s">
        <v>16</v>
      </c>
      <c r="J358" s="41" t="s">
        <v>4381</v>
      </c>
      <c r="K358" s="55">
        <v>1012</v>
      </c>
      <c r="L358" s="61" t="s">
        <v>4849</v>
      </c>
      <c r="M358" s="28" t="s">
        <v>4337</v>
      </c>
      <c r="N358" s="28" t="s">
        <v>309</v>
      </c>
      <c r="O358" s="48" t="s">
        <v>4848</v>
      </c>
      <c r="P358" s="28">
        <f t="shared" si="5"/>
        <v>62</v>
      </c>
    </row>
    <row r="359" spans="1:16" s="28" customFormat="1" x14ac:dyDescent="0.25">
      <c r="A359" s="28" t="s">
        <v>4286</v>
      </c>
      <c r="B359" s="28" t="s">
        <v>4287</v>
      </c>
      <c r="C359" s="41" t="s">
        <v>4288</v>
      </c>
      <c r="E359" s="42">
        <v>46072</v>
      </c>
      <c r="F359" s="55" t="s">
        <v>4253</v>
      </c>
      <c r="G359" s="28">
        <v>35.01</v>
      </c>
      <c r="H359" s="28" t="s">
        <v>227</v>
      </c>
      <c r="I359" s="55" t="s">
        <v>21</v>
      </c>
      <c r="J359" s="41" t="s">
        <v>239</v>
      </c>
      <c r="K359" s="55">
        <v>4001</v>
      </c>
      <c r="L359" s="55" t="s">
        <v>3855</v>
      </c>
      <c r="M359" s="28" t="s">
        <v>4337</v>
      </c>
      <c r="N359" s="28" t="s">
        <v>309</v>
      </c>
      <c r="O359" s="47"/>
      <c r="P359" s="28">
        <f t="shared" si="5"/>
        <v>37</v>
      </c>
    </row>
    <row r="360" spans="1:16" s="28" customFormat="1" x14ac:dyDescent="0.25">
      <c r="A360" s="28" t="s">
        <v>4286</v>
      </c>
      <c r="B360" s="28" t="s">
        <v>4287</v>
      </c>
      <c r="C360" s="41" t="s">
        <v>4288</v>
      </c>
      <c r="E360" s="42">
        <v>46073</v>
      </c>
      <c r="F360" s="43" t="s">
        <v>4562</v>
      </c>
      <c r="G360" s="28">
        <v>108.74</v>
      </c>
      <c r="H360" s="28" t="s">
        <v>227</v>
      </c>
      <c r="I360" s="28" t="s">
        <v>21</v>
      </c>
      <c r="J360" s="41" t="s">
        <v>239</v>
      </c>
      <c r="K360" s="28">
        <v>1035</v>
      </c>
      <c r="L360" s="28" t="s">
        <v>3855</v>
      </c>
      <c r="M360" s="28" t="s">
        <v>4337</v>
      </c>
      <c r="N360" s="28" t="s">
        <v>309</v>
      </c>
      <c r="O360" s="47"/>
      <c r="P360" s="28">
        <f t="shared" si="5"/>
        <v>37</v>
      </c>
    </row>
    <row r="361" spans="1:16" s="28" customFormat="1" ht="60" x14ac:dyDescent="0.25">
      <c r="A361" s="28" t="s">
        <v>4286</v>
      </c>
      <c r="B361" s="28" t="s">
        <v>4287</v>
      </c>
      <c r="C361" s="41" t="s">
        <v>4288</v>
      </c>
      <c r="E361" s="42">
        <v>46073</v>
      </c>
      <c r="F361" s="61" t="s">
        <v>4851</v>
      </c>
      <c r="G361" s="55">
        <v>145.58000000000001</v>
      </c>
      <c r="H361" s="55" t="s">
        <v>227</v>
      </c>
      <c r="I361" s="55" t="s">
        <v>4500</v>
      </c>
      <c r="J361" s="35" t="s">
        <v>1165</v>
      </c>
      <c r="K361" s="55">
        <v>1012</v>
      </c>
      <c r="L361" s="61" t="s">
        <v>4849</v>
      </c>
      <c r="M361" s="55" t="s">
        <v>4337</v>
      </c>
      <c r="N361" s="55" t="s">
        <v>309</v>
      </c>
      <c r="O361" s="48" t="s">
        <v>4852</v>
      </c>
      <c r="P361" s="28">
        <f t="shared" si="5"/>
        <v>75</v>
      </c>
    </row>
    <row r="362" spans="1:16" s="28" customFormat="1" ht="90" x14ac:dyDescent="0.25">
      <c r="A362" s="28" t="s">
        <v>4286</v>
      </c>
      <c r="B362" s="28" t="s">
        <v>4287</v>
      </c>
      <c r="C362" s="41" t="s">
        <v>4288</v>
      </c>
      <c r="E362" s="42">
        <v>46073</v>
      </c>
      <c r="F362" s="61" t="s">
        <v>4889</v>
      </c>
      <c r="G362" s="28">
        <v>380.93</v>
      </c>
      <c r="H362" s="28" t="s">
        <v>227</v>
      </c>
      <c r="I362" s="43" t="s">
        <v>16</v>
      </c>
      <c r="J362" s="41" t="s">
        <v>4467</v>
      </c>
      <c r="K362" s="55">
        <v>1012</v>
      </c>
      <c r="L362" s="61" t="s">
        <v>4849</v>
      </c>
      <c r="M362" s="28" t="s">
        <v>4337</v>
      </c>
      <c r="N362" s="28" t="s">
        <v>309</v>
      </c>
      <c r="O362" s="48" t="s">
        <v>4890</v>
      </c>
      <c r="P362" s="28">
        <f t="shared" si="5"/>
        <v>75</v>
      </c>
    </row>
    <row r="363" spans="1:16" s="28" customFormat="1" ht="60" x14ac:dyDescent="0.25">
      <c r="A363" s="28" t="s">
        <v>4286</v>
      </c>
      <c r="B363" s="28" t="s">
        <v>4287</v>
      </c>
      <c r="C363" s="41" t="s">
        <v>4288</v>
      </c>
      <c r="E363" s="42">
        <v>46074</v>
      </c>
      <c r="F363" s="61" t="s">
        <v>4853</v>
      </c>
      <c r="G363" s="28">
        <v>23.28</v>
      </c>
      <c r="H363" s="28" t="s">
        <v>227</v>
      </c>
      <c r="I363" s="28" t="s">
        <v>21</v>
      </c>
      <c r="J363" s="41" t="s">
        <v>239</v>
      </c>
      <c r="K363" s="28">
        <v>1012</v>
      </c>
      <c r="L363" s="55" t="s">
        <v>3855</v>
      </c>
      <c r="M363" s="28" t="s">
        <v>4337</v>
      </c>
      <c r="N363" s="28" t="s">
        <v>309</v>
      </c>
      <c r="O363" s="60" t="s">
        <v>4855</v>
      </c>
      <c r="P363" s="28">
        <f t="shared" si="5"/>
        <v>58</v>
      </c>
    </row>
    <row r="364" spans="1:16" s="28" customFormat="1" ht="60" x14ac:dyDescent="0.25">
      <c r="A364" s="28" t="s">
        <v>4286</v>
      </c>
      <c r="B364" s="28" t="s">
        <v>4287</v>
      </c>
      <c r="C364" s="41" t="s">
        <v>4288</v>
      </c>
      <c r="E364" s="42">
        <v>46074</v>
      </c>
      <c r="F364" s="61" t="s">
        <v>4854</v>
      </c>
      <c r="G364" s="28">
        <v>21.96</v>
      </c>
      <c r="H364" s="28" t="s">
        <v>227</v>
      </c>
      <c r="I364" s="28" t="s">
        <v>21</v>
      </c>
      <c r="J364" s="41" t="s">
        <v>239</v>
      </c>
      <c r="K364" s="28">
        <v>1012</v>
      </c>
      <c r="L364" s="55" t="s">
        <v>3855</v>
      </c>
      <c r="M364" s="28" t="s">
        <v>4337</v>
      </c>
      <c r="N364" s="28" t="s">
        <v>309</v>
      </c>
      <c r="O364" s="60" t="s">
        <v>4855</v>
      </c>
      <c r="P364" s="28">
        <f t="shared" si="5"/>
        <v>58</v>
      </c>
    </row>
    <row r="365" spans="1:16" s="28" customFormat="1" x14ac:dyDescent="0.25">
      <c r="A365" s="28" t="s">
        <v>4286</v>
      </c>
      <c r="B365" s="28" t="s">
        <v>4287</v>
      </c>
      <c r="C365" s="41" t="s">
        <v>4288</v>
      </c>
      <c r="E365" s="42">
        <v>46076</v>
      </c>
      <c r="F365" s="43" t="s">
        <v>4540</v>
      </c>
      <c r="G365" s="28">
        <v>35.950000000000003</v>
      </c>
      <c r="H365" s="28" t="s">
        <v>227</v>
      </c>
      <c r="I365" s="28" t="s">
        <v>16</v>
      </c>
      <c r="J365" s="41" t="s">
        <v>4360</v>
      </c>
      <c r="K365" s="28">
        <v>1035</v>
      </c>
      <c r="L365" s="28" t="s">
        <v>3855</v>
      </c>
      <c r="M365" s="28" t="s">
        <v>4337</v>
      </c>
      <c r="N365" s="28" t="s">
        <v>309</v>
      </c>
      <c r="O365" s="47"/>
      <c r="P365" s="28">
        <f t="shared" si="5"/>
        <v>55</v>
      </c>
    </row>
    <row r="366" spans="1:16" s="28" customFormat="1" x14ac:dyDescent="0.25">
      <c r="A366" s="28" t="s">
        <v>4286</v>
      </c>
      <c r="B366" s="28" t="s">
        <v>4287</v>
      </c>
      <c r="C366" s="41" t="s">
        <v>4288</v>
      </c>
      <c r="E366" s="42">
        <v>46076</v>
      </c>
      <c r="F366" s="43" t="s">
        <v>4540</v>
      </c>
      <c r="G366" s="28">
        <v>30.74</v>
      </c>
      <c r="H366" s="28" t="s">
        <v>227</v>
      </c>
      <c r="I366" s="28" t="s">
        <v>16</v>
      </c>
      <c r="J366" s="41" t="s">
        <v>4360</v>
      </c>
      <c r="K366" s="28">
        <v>1035</v>
      </c>
      <c r="L366" s="28" t="s">
        <v>3855</v>
      </c>
      <c r="M366" s="28" t="s">
        <v>4337</v>
      </c>
      <c r="N366" s="28" t="s">
        <v>309</v>
      </c>
      <c r="O366" s="47"/>
      <c r="P366" s="28">
        <f t="shared" si="5"/>
        <v>55</v>
      </c>
    </row>
    <row r="367" spans="1:16" s="28" customFormat="1" x14ac:dyDescent="0.25">
      <c r="A367" s="28" t="s">
        <v>4286</v>
      </c>
      <c r="B367" s="28" t="s">
        <v>4287</v>
      </c>
      <c r="C367" s="41" t="s">
        <v>4288</v>
      </c>
      <c r="E367" s="42">
        <v>46082</v>
      </c>
      <c r="F367" s="43" t="s">
        <v>4675</v>
      </c>
      <c r="G367" s="28">
        <v>66.44</v>
      </c>
      <c r="H367" s="28" t="s">
        <v>227</v>
      </c>
      <c r="I367" s="28" t="s">
        <v>21</v>
      </c>
      <c r="J367" s="41" t="s">
        <v>239</v>
      </c>
      <c r="K367" s="28">
        <v>1035</v>
      </c>
      <c r="L367" s="28" t="s">
        <v>3855</v>
      </c>
      <c r="M367" s="28" t="s">
        <v>4337</v>
      </c>
      <c r="N367" s="28" t="s">
        <v>309</v>
      </c>
      <c r="O367" s="47"/>
      <c r="P367" s="28">
        <f t="shared" si="5"/>
        <v>37</v>
      </c>
    </row>
    <row r="368" spans="1:16" s="28" customFormat="1" x14ac:dyDescent="0.25">
      <c r="A368" s="28" t="s">
        <v>4286</v>
      </c>
      <c r="B368" s="28" t="s">
        <v>4287</v>
      </c>
      <c r="C368" s="41" t="s">
        <v>4288</v>
      </c>
      <c r="E368" s="42">
        <v>46083</v>
      </c>
      <c r="F368" s="55" t="s">
        <v>4253</v>
      </c>
      <c r="G368" s="28">
        <v>35.99</v>
      </c>
      <c r="H368" s="28" t="s">
        <v>227</v>
      </c>
      <c r="I368" s="55" t="s">
        <v>21</v>
      </c>
      <c r="J368" s="41" t="s">
        <v>239</v>
      </c>
      <c r="K368" s="55">
        <v>4001</v>
      </c>
      <c r="L368" s="55" t="s">
        <v>3855</v>
      </c>
      <c r="M368" s="28" t="s">
        <v>4337</v>
      </c>
      <c r="N368" s="28" t="s">
        <v>309</v>
      </c>
      <c r="O368" s="47"/>
      <c r="P368" s="28">
        <f t="shared" si="5"/>
        <v>37</v>
      </c>
    </row>
    <row r="369" spans="1:16" s="28" customFormat="1" x14ac:dyDescent="0.25">
      <c r="A369" s="28" t="s">
        <v>4286</v>
      </c>
      <c r="B369" s="28" t="s">
        <v>4287</v>
      </c>
      <c r="C369" s="41" t="s">
        <v>4288</v>
      </c>
      <c r="E369" s="42">
        <v>46085</v>
      </c>
      <c r="F369" s="55" t="s">
        <v>3840</v>
      </c>
      <c r="G369" s="55">
        <v>17.309999999999999</v>
      </c>
      <c r="H369" s="55" t="s">
        <v>227</v>
      </c>
      <c r="I369" s="28" t="s">
        <v>16</v>
      </c>
      <c r="J369" s="35" t="s">
        <v>686</v>
      </c>
      <c r="K369" s="55">
        <v>4001</v>
      </c>
      <c r="L369" s="55" t="s">
        <v>3855</v>
      </c>
      <c r="M369" s="28" t="s">
        <v>4337</v>
      </c>
      <c r="N369" s="28" t="s">
        <v>309</v>
      </c>
      <c r="O369" s="47"/>
      <c r="P369" s="28">
        <f t="shared" si="5"/>
        <v>33</v>
      </c>
    </row>
    <row r="370" spans="1:16" s="28" customFormat="1" x14ac:dyDescent="0.25">
      <c r="A370" s="28" t="s">
        <v>4286</v>
      </c>
      <c r="B370" s="28" t="s">
        <v>4287</v>
      </c>
      <c r="C370" s="41" t="s">
        <v>4288</v>
      </c>
      <c r="E370" s="42">
        <v>46086</v>
      </c>
      <c r="F370" s="61" t="s">
        <v>4860</v>
      </c>
      <c r="G370" s="28">
        <v>26.46</v>
      </c>
      <c r="H370" s="28" t="s">
        <v>227</v>
      </c>
      <c r="I370" s="55" t="s">
        <v>21</v>
      </c>
      <c r="J370" s="41" t="s">
        <v>239</v>
      </c>
      <c r="K370" s="55">
        <v>4253</v>
      </c>
      <c r="L370" s="55" t="s">
        <v>3855</v>
      </c>
      <c r="M370" s="28" t="s">
        <v>4337</v>
      </c>
      <c r="N370" s="28" t="s">
        <v>309</v>
      </c>
      <c r="O370" s="47"/>
      <c r="P370" s="28">
        <f t="shared" si="5"/>
        <v>39</v>
      </c>
    </row>
    <row r="371" spans="1:16" s="28" customFormat="1" x14ac:dyDescent="0.25">
      <c r="A371" s="28" t="s">
        <v>4286</v>
      </c>
      <c r="B371" s="28" t="s">
        <v>4287</v>
      </c>
      <c r="C371" s="41" t="s">
        <v>4288</v>
      </c>
      <c r="E371" s="42">
        <v>46087</v>
      </c>
      <c r="F371" s="55" t="s">
        <v>4253</v>
      </c>
      <c r="G371" s="28">
        <v>47.35</v>
      </c>
      <c r="H371" s="28" t="s">
        <v>227</v>
      </c>
      <c r="I371" s="55" t="s">
        <v>21</v>
      </c>
      <c r="J371" s="41" t="s">
        <v>239</v>
      </c>
      <c r="K371" s="55">
        <v>4001</v>
      </c>
      <c r="L371" s="55" t="s">
        <v>3855</v>
      </c>
      <c r="M371" s="28" t="s">
        <v>4337</v>
      </c>
      <c r="N371" s="28" t="s">
        <v>309</v>
      </c>
      <c r="O371" s="47"/>
      <c r="P371" s="28">
        <f t="shared" si="5"/>
        <v>37</v>
      </c>
    </row>
    <row r="372" spans="1:16" s="28" customFormat="1" x14ac:dyDescent="0.25">
      <c r="A372" s="28" t="s">
        <v>4303</v>
      </c>
      <c r="B372" s="28" t="s">
        <v>4304</v>
      </c>
      <c r="C372" s="41" t="s">
        <v>4305</v>
      </c>
      <c r="E372" s="42">
        <v>46058</v>
      </c>
      <c r="F372" s="55" t="s">
        <v>4253</v>
      </c>
      <c r="G372" s="28">
        <v>39.729999999999997</v>
      </c>
      <c r="H372" s="28" t="s">
        <v>227</v>
      </c>
      <c r="I372" s="55" t="s">
        <v>21</v>
      </c>
      <c r="J372" s="41" t="s">
        <v>239</v>
      </c>
      <c r="K372" s="55">
        <v>4001</v>
      </c>
      <c r="L372" s="55" t="s">
        <v>3855</v>
      </c>
      <c r="M372" s="28" t="s">
        <v>4337</v>
      </c>
      <c r="N372" s="28" t="s">
        <v>311</v>
      </c>
      <c r="O372" s="47"/>
      <c r="P372" s="28">
        <f t="shared" si="5"/>
        <v>37</v>
      </c>
    </row>
    <row r="373" spans="1:16" s="28" customFormat="1" x14ac:dyDescent="0.25">
      <c r="A373" s="28" t="s">
        <v>4303</v>
      </c>
      <c r="B373" s="28" t="s">
        <v>4304</v>
      </c>
      <c r="C373" s="41" t="s">
        <v>4305</v>
      </c>
      <c r="E373" s="42">
        <v>46062</v>
      </c>
      <c r="F373" s="61" t="s">
        <v>4673</v>
      </c>
      <c r="G373" s="55">
        <v>65.489999999999995</v>
      </c>
      <c r="H373" s="55" t="s">
        <v>227</v>
      </c>
      <c r="I373" s="55" t="s">
        <v>21</v>
      </c>
      <c r="J373" s="35" t="s">
        <v>239</v>
      </c>
      <c r="K373" s="55">
        <v>4001</v>
      </c>
      <c r="L373" s="55" t="s">
        <v>3855</v>
      </c>
      <c r="M373" s="28" t="s">
        <v>4337</v>
      </c>
      <c r="N373" s="28" t="s">
        <v>311</v>
      </c>
      <c r="O373" s="47"/>
      <c r="P373" s="28">
        <f t="shared" si="5"/>
        <v>55</v>
      </c>
    </row>
    <row r="374" spans="1:16" s="28" customFormat="1" ht="45" x14ac:dyDescent="0.25">
      <c r="A374" s="28" t="s">
        <v>4303</v>
      </c>
      <c r="B374" s="28" t="s">
        <v>4304</v>
      </c>
      <c r="C374" s="41" t="s">
        <v>4305</v>
      </c>
      <c r="E374" s="42">
        <v>46063</v>
      </c>
      <c r="F374" s="28" t="s">
        <v>4617</v>
      </c>
      <c r="G374" s="28">
        <v>-2015.09</v>
      </c>
      <c r="H374" s="28" t="s">
        <v>227</v>
      </c>
      <c r="I374" s="28" t="s">
        <v>3594</v>
      </c>
      <c r="J374" s="41" t="s">
        <v>41</v>
      </c>
      <c r="K374" s="28">
        <v>1035</v>
      </c>
      <c r="L374" s="28" t="s">
        <v>3855</v>
      </c>
      <c r="M374" s="28" t="s">
        <v>4337</v>
      </c>
      <c r="N374" s="28" t="s">
        <v>311</v>
      </c>
      <c r="O374" s="47" t="s">
        <v>4676</v>
      </c>
      <c r="P374" s="28">
        <f t="shared" si="5"/>
        <v>53</v>
      </c>
    </row>
    <row r="375" spans="1:16" s="28" customFormat="1" x14ac:dyDescent="0.25">
      <c r="A375" s="28" t="s">
        <v>4303</v>
      </c>
      <c r="B375" s="28" t="s">
        <v>4304</v>
      </c>
      <c r="C375" s="41" t="s">
        <v>4305</v>
      </c>
      <c r="E375" s="42">
        <v>46063</v>
      </c>
      <c r="F375" s="43" t="s">
        <v>4603</v>
      </c>
      <c r="G375" s="28">
        <v>30</v>
      </c>
      <c r="H375" s="28" t="s">
        <v>227</v>
      </c>
      <c r="I375" s="28" t="s">
        <v>3594</v>
      </c>
      <c r="J375" s="41" t="s">
        <v>790</v>
      </c>
      <c r="K375" s="28">
        <v>1035</v>
      </c>
      <c r="L375" s="28" t="s">
        <v>3855</v>
      </c>
      <c r="M375" s="28" t="s">
        <v>4337</v>
      </c>
      <c r="N375" s="28" t="s">
        <v>311</v>
      </c>
      <c r="O375" s="47"/>
      <c r="P375" s="28">
        <f t="shared" si="5"/>
        <v>51</v>
      </c>
    </row>
    <row r="376" spans="1:16" s="28" customFormat="1" ht="45" x14ac:dyDescent="0.25">
      <c r="A376" s="28" t="s">
        <v>4303</v>
      </c>
      <c r="B376" s="28" t="s">
        <v>4304</v>
      </c>
      <c r="C376" s="41" t="s">
        <v>4305</v>
      </c>
      <c r="E376" s="42">
        <v>46063</v>
      </c>
      <c r="F376" s="43" t="s">
        <v>4835</v>
      </c>
      <c r="G376" s="28">
        <v>30</v>
      </c>
      <c r="H376" s="28" t="s">
        <v>227</v>
      </c>
      <c r="I376" s="28" t="s">
        <v>3594</v>
      </c>
      <c r="J376" s="41" t="s">
        <v>790</v>
      </c>
      <c r="K376" s="28">
        <v>1035</v>
      </c>
      <c r="L376" s="28" t="s">
        <v>3855</v>
      </c>
      <c r="M376" s="28" t="s">
        <v>4337</v>
      </c>
      <c r="N376" s="28" t="s">
        <v>311</v>
      </c>
      <c r="O376" s="47" t="s">
        <v>4677</v>
      </c>
      <c r="P376" s="28">
        <f t="shared" si="5"/>
        <v>50</v>
      </c>
    </row>
    <row r="377" spans="1:16" s="28" customFormat="1" x14ac:dyDescent="0.25">
      <c r="A377" s="28" t="s">
        <v>4303</v>
      </c>
      <c r="B377" s="28" t="s">
        <v>4304</v>
      </c>
      <c r="C377" s="41" t="s">
        <v>4305</v>
      </c>
      <c r="E377" s="42">
        <v>46063</v>
      </c>
      <c r="F377" s="55" t="s">
        <v>4253</v>
      </c>
      <c r="G377" s="28">
        <v>40.08</v>
      </c>
      <c r="H377" s="28" t="s">
        <v>227</v>
      </c>
      <c r="I377" s="55" t="s">
        <v>21</v>
      </c>
      <c r="J377" s="41" t="s">
        <v>239</v>
      </c>
      <c r="K377" s="55">
        <v>4001</v>
      </c>
      <c r="L377" s="55" t="s">
        <v>3855</v>
      </c>
      <c r="M377" s="28" t="s">
        <v>4337</v>
      </c>
      <c r="N377" s="28" t="s">
        <v>311</v>
      </c>
      <c r="O377" s="47"/>
      <c r="P377" s="28">
        <f t="shared" si="5"/>
        <v>37</v>
      </c>
    </row>
    <row r="378" spans="1:16" s="28" customFormat="1" x14ac:dyDescent="0.25">
      <c r="A378" s="28" t="s">
        <v>4303</v>
      </c>
      <c r="B378" s="28" t="s">
        <v>4304</v>
      </c>
      <c r="C378" s="41" t="s">
        <v>4305</v>
      </c>
      <c r="E378" s="42">
        <v>46064</v>
      </c>
      <c r="F378" s="28" t="s">
        <v>4499</v>
      </c>
      <c r="G378" s="28">
        <v>74</v>
      </c>
      <c r="H378" s="28" t="s">
        <v>227</v>
      </c>
      <c r="I378" s="28" t="s">
        <v>3594</v>
      </c>
      <c r="J378" s="41" t="s">
        <v>119</v>
      </c>
      <c r="K378" s="28">
        <v>1035</v>
      </c>
      <c r="L378" s="28" t="s">
        <v>3855</v>
      </c>
      <c r="M378" s="28" t="s">
        <v>4337</v>
      </c>
      <c r="N378" s="28" t="s">
        <v>311</v>
      </c>
      <c r="O378" s="47"/>
      <c r="P378" s="28">
        <f t="shared" si="5"/>
        <v>59</v>
      </c>
    </row>
    <row r="379" spans="1:16" s="28" customFormat="1" x14ac:dyDescent="0.25">
      <c r="A379" s="28" t="s">
        <v>4303</v>
      </c>
      <c r="B379" s="28" t="s">
        <v>4304</v>
      </c>
      <c r="C379" s="41" t="s">
        <v>4305</v>
      </c>
      <c r="E379" s="42">
        <v>46064</v>
      </c>
      <c r="F379" s="55" t="s">
        <v>4253</v>
      </c>
      <c r="G379" s="28">
        <v>39.909999999999997</v>
      </c>
      <c r="H379" s="28" t="s">
        <v>227</v>
      </c>
      <c r="I379" s="55" t="s">
        <v>21</v>
      </c>
      <c r="J379" s="41" t="s">
        <v>239</v>
      </c>
      <c r="K379" s="55">
        <v>4001</v>
      </c>
      <c r="L379" s="55" t="s">
        <v>3855</v>
      </c>
      <c r="M379" s="28" t="s">
        <v>4337</v>
      </c>
      <c r="N379" s="28" t="s">
        <v>311</v>
      </c>
      <c r="O379" s="47"/>
      <c r="P379" s="28">
        <f t="shared" si="5"/>
        <v>37</v>
      </c>
    </row>
    <row r="380" spans="1:16" s="28" customFormat="1" x14ac:dyDescent="0.25">
      <c r="A380" s="28" t="s">
        <v>4303</v>
      </c>
      <c r="B380" s="28" t="s">
        <v>4304</v>
      </c>
      <c r="C380" s="41" t="s">
        <v>4305</v>
      </c>
      <c r="E380" s="42">
        <v>46065</v>
      </c>
      <c r="F380" s="55" t="s">
        <v>4253</v>
      </c>
      <c r="G380" s="28">
        <v>39.43</v>
      </c>
      <c r="H380" s="28" t="s">
        <v>227</v>
      </c>
      <c r="I380" s="55" t="s">
        <v>21</v>
      </c>
      <c r="J380" s="41" t="s">
        <v>239</v>
      </c>
      <c r="K380" s="55">
        <v>4001</v>
      </c>
      <c r="L380" s="55" t="s">
        <v>3855</v>
      </c>
      <c r="M380" s="28" t="s">
        <v>4337</v>
      </c>
      <c r="N380" s="28" t="s">
        <v>311</v>
      </c>
      <c r="O380" s="47"/>
      <c r="P380" s="28">
        <f t="shared" si="5"/>
        <v>37</v>
      </c>
    </row>
    <row r="381" spans="1:16" s="28" customFormat="1" x14ac:dyDescent="0.25">
      <c r="A381" s="28" t="s">
        <v>4303</v>
      </c>
      <c r="B381" s="28" t="s">
        <v>4304</v>
      </c>
      <c r="C381" s="41" t="s">
        <v>4305</v>
      </c>
      <c r="E381" s="42">
        <v>46066</v>
      </c>
      <c r="F381" s="55" t="s">
        <v>4253</v>
      </c>
      <c r="G381" s="28">
        <v>58.98</v>
      </c>
      <c r="H381" s="28" t="s">
        <v>227</v>
      </c>
      <c r="I381" s="55" t="s">
        <v>21</v>
      </c>
      <c r="J381" s="41" t="s">
        <v>239</v>
      </c>
      <c r="K381" s="55">
        <v>4001</v>
      </c>
      <c r="L381" s="55" t="s">
        <v>3855</v>
      </c>
      <c r="M381" s="28" t="s">
        <v>4337</v>
      </c>
      <c r="N381" s="28" t="s">
        <v>311</v>
      </c>
      <c r="O381" s="47"/>
      <c r="P381" s="28">
        <f t="shared" si="5"/>
        <v>37</v>
      </c>
    </row>
    <row r="382" spans="1:16" s="28" customFormat="1" x14ac:dyDescent="0.25">
      <c r="A382" s="28" t="s">
        <v>4303</v>
      </c>
      <c r="B382" s="28" t="s">
        <v>4304</v>
      </c>
      <c r="C382" s="41" t="s">
        <v>4305</v>
      </c>
      <c r="E382" s="42">
        <v>46071</v>
      </c>
      <c r="F382" s="55" t="s">
        <v>4253</v>
      </c>
      <c r="G382" s="28">
        <v>38.31</v>
      </c>
      <c r="H382" s="28" t="s">
        <v>227</v>
      </c>
      <c r="I382" s="55" t="s">
        <v>21</v>
      </c>
      <c r="J382" s="41" t="s">
        <v>239</v>
      </c>
      <c r="K382" s="55">
        <v>4001</v>
      </c>
      <c r="L382" s="55" t="s">
        <v>3855</v>
      </c>
      <c r="M382" s="28" t="s">
        <v>4337</v>
      </c>
      <c r="N382" s="28" t="s">
        <v>311</v>
      </c>
      <c r="O382" s="47"/>
      <c r="P382" s="28">
        <f t="shared" si="5"/>
        <v>37</v>
      </c>
    </row>
    <row r="383" spans="1:16" s="28" customFormat="1" x14ac:dyDescent="0.25">
      <c r="A383" s="28" t="s">
        <v>4303</v>
      </c>
      <c r="B383" s="28" t="s">
        <v>4304</v>
      </c>
      <c r="C383" s="41" t="s">
        <v>4305</v>
      </c>
      <c r="E383" s="42">
        <v>46072</v>
      </c>
      <c r="F383" s="61" t="s">
        <v>4678</v>
      </c>
      <c r="G383" s="55">
        <v>6.4</v>
      </c>
      <c r="H383" s="55" t="s">
        <v>227</v>
      </c>
      <c r="I383" s="55" t="s">
        <v>16</v>
      </c>
      <c r="J383" s="35" t="s">
        <v>725</v>
      </c>
      <c r="K383" s="55">
        <v>4001</v>
      </c>
      <c r="L383" s="55" t="s">
        <v>3855</v>
      </c>
      <c r="M383" s="28" t="s">
        <v>4337</v>
      </c>
      <c r="N383" s="28" t="s">
        <v>311</v>
      </c>
      <c r="O383" s="47"/>
      <c r="P383" s="28">
        <f t="shared" si="5"/>
        <v>49</v>
      </c>
    </row>
    <row r="384" spans="1:16" s="28" customFormat="1" x14ac:dyDescent="0.25">
      <c r="A384" s="28" t="s">
        <v>4303</v>
      </c>
      <c r="B384" s="28" t="s">
        <v>4304</v>
      </c>
      <c r="C384" s="41" t="s">
        <v>4305</v>
      </c>
      <c r="E384" s="42">
        <v>46072</v>
      </c>
      <c r="F384" s="55" t="s">
        <v>4253</v>
      </c>
      <c r="G384" s="28">
        <v>98.98</v>
      </c>
      <c r="H384" s="28" t="s">
        <v>227</v>
      </c>
      <c r="I384" s="55" t="s">
        <v>21</v>
      </c>
      <c r="J384" s="41" t="s">
        <v>239</v>
      </c>
      <c r="K384" s="55">
        <v>4001</v>
      </c>
      <c r="L384" s="55" t="s">
        <v>3855</v>
      </c>
      <c r="M384" s="28" t="s">
        <v>4337</v>
      </c>
      <c r="N384" s="28" t="s">
        <v>311</v>
      </c>
      <c r="O384" s="47"/>
      <c r="P384" s="28">
        <f t="shared" si="5"/>
        <v>37</v>
      </c>
    </row>
    <row r="385" spans="1:16" s="28" customFormat="1" x14ac:dyDescent="0.25">
      <c r="A385" s="28" t="s">
        <v>4303</v>
      </c>
      <c r="B385" s="28" t="s">
        <v>4304</v>
      </c>
      <c r="C385" s="41" t="s">
        <v>4305</v>
      </c>
      <c r="E385" s="42">
        <v>46073</v>
      </c>
      <c r="F385" s="43" t="s">
        <v>4540</v>
      </c>
      <c r="G385" s="28">
        <v>11.47</v>
      </c>
      <c r="H385" s="28" t="s">
        <v>227</v>
      </c>
      <c r="I385" s="28" t="s">
        <v>16</v>
      </c>
      <c r="J385" s="41" t="s">
        <v>3081</v>
      </c>
      <c r="K385" s="28">
        <v>1035</v>
      </c>
      <c r="L385" s="28" t="s">
        <v>3855</v>
      </c>
      <c r="M385" s="28" t="s">
        <v>4337</v>
      </c>
      <c r="N385" s="28" t="s">
        <v>311</v>
      </c>
      <c r="O385" s="47"/>
      <c r="P385" s="28">
        <f t="shared" ref="P385:P395" si="6">LEN(F385&amp;J385)+12</f>
        <v>47</v>
      </c>
    </row>
    <row r="386" spans="1:16" s="28" customFormat="1" x14ac:dyDescent="0.25">
      <c r="A386" s="28" t="s">
        <v>4303</v>
      </c>
      <c r="B386" s="28" t="s">
        <v>4304</v>
      </c>
      <c r="C386" s="41" t="s">
        <v>4305</v>
      </c>
      <c r="E386" s="42">
        <v>46073</v>
      </c>
      <c r="F386" s="43" t="s">
        <v>4657</v>
      </c>
      <c r="G386" s="28">
        <v>25.95</v>
      </c>
      <c r="H386" s="28" t="s">
        <v>227</v>
      </c>
      <c r="I386" s="28" t="s">
        <v>21</v>
      </c>
      <c r="J386" s="41" t="s">
        <v>239</v>
      </c>
      <c r="K386" s="28">
        <v>1035</v>
      </c>
      <c r="L386" s="28" t="s">
        <v>3855</v>
      </c>
      <c r="M386" s="28" t="s">
        <v>4337</v>
      </c>
      <c r="N386" s="28" t="s">
        <v>311</v>
      </c>
      <c r="O386" s="47"/>
      <c r="P386" s="28">
        <f t="shared" si="6"/>
        <v>38</v>
      </c>
    </row>
    <row r="387" spans="1:16" s="28" customFormat="1" x14ac:dyDescent="0.25">
      <c r="A387" s="28" t="s">
        <v>4303</v>
      </c>
      <c r="B387" s="28" t="s">
        <v>4304</v>
      </c>
      <c r="C387" s="41" t="s">
        <v>4305</v>
      </c>
      <c r="E387" s="42">
        <v>46073</v>
      </c>
      <c r="F387" s="43" t="s">
        <v>4679</v>
      </c>
      <c r="G387" s="28">
        <v>106.93</v>
      </c>
      <c r="H387" s="28" t="s">
        <v>227</v>
      </c>
      <c r="I387" s="28" t="s">
        <v>21</v>
      </c>
      <c r="J387" s="41" t="s">
        <v>239</v>
      </c>
      <c r="K387" s="28">
        <v>1035</v>
      </c>
      <c r="L387" s="28" t="s">
        <v>3855</v>
      </c>
      <c r="M387" s="28" t="s">
        <v>4337</v>
      </c>
      <c r="N387" s="28" t="s">
        <v>311</v>
      </c>
      <c r="O387" s="47"/>
      <c r="P387" s="28">
        <f t="shared" si="6"/>
        <v>37</v>
      </c>
    </row>
    <row r="388" spans="1:16" s="28" customFormat="1" x14ac:dyDescent="0.25">
      <c r="A388" s="28" t="s">
        <v>4303</v>
      </c>
      <c r="B388" s="28" t="s">
        <v>4304</v>
      </c>
      <c r="C388" s="41" t="s">
        <v>4305</v>
      </c>
      <c r="E388" s="42">
        <v>46073</v>
      </c>
      <c r="F388" s="55" t="s">
        <v>4253</v>
      </c>
      <c r="G388" s="28">
        <v>45.56</v>
      </c>
      <c r="H388" s="28" t="s">
        <v>227</v>
      </c>
      <c r="I388" s="55" t="s">
        <v>21</v>
      </c>
      <c r="J388" s="41" t="s">
        <v>239</v>
      </c>
      <c r="K388" s="55">
        <v>4001</v>
      </c>
      <c r="L388" s="55" t="s">
        <v>3855</v>
      </c>
      <c r="M388" s="28" t="s">
        <v>4337</v>
      </c>
      <c r="N388" s="28" t="s">
        <v>311</v>
      </c>
      <c r="O388" s="47"/>
      <c r="P388" s="28">
        <f t="shared" si="6"/>
        <v>37</v>
      </c>
    </row>
    <row r="389" spans="1:16" s="28" customFormat="1" x14ac:dyDescent="0.25">
      <c r="A389" s="28" t="s">
        <v>4303</v>
      </c>
      <c r="B389" s="28" t="s">
        <v>4304</v>
      </c>
      <c r="C389" s="41" t="s">
        <v>4305</v>
      </c>
      <c r="E389" s="42">
        <v>46076</v>
      </c>
      <c r="F389" s="43" t="s">
        <v>4540</v>
      </c>
      <c r="G389" s="28">
        <v>5.15</v>
      </c>
      <c r="H389" s="28" t="s">
        <v>227</v>
      </c>
      <c r="I389" s="28" t="s">
        <v>16</v>
      </c>
      <c r="J389" s="41" t="s">
        <v>4360</v>
      </c>
      <c r="K389" s="28">
        <v>1035</v>
      </c>
      <c r="L389" s="28" t="s">
        <v>3855</v>
      </c>
      <c r="M389" s="28" t="s">
        <v>4337</v>
      </c>
      <c r="N389" s="28" t="s">
        <v>311</v>
      </c>
      <c r="O389" s="47"/>
      <c r="P389" s="28">
        <f t="shared" si="6"/>
        <v>55</v>
      </c>
    </row>
    <row r="390" spans="1:16" s="28" customFormat="1" x14ac:dyDescent="0.25">
      <c r="A390" s="28" t="s">
        <v>4303</v>
      </c>
      <c r="B390" s="28" t="s">
        <v>4304</v>
      </c>
      <c r="C390" s="41" t="s">
        <v>4305</v>
      </c>
      <c r="E390" s="42">
        <v>46079</v>
      </c>
      <c r="F390" s="43" t="s">
        <v>4540</v>
      </c>
      <c r="G390" s="28">
        <v>24.5</v>
      </c>
      <c r="H390" s="28" t="s">
        <v>227</v>
      </c>
      <c r="I390" s="28" t="s">
        <v>16</v>
      </c>
      <c r="J390" s="41" t="s">
        <v>4343</v>
      </c>
      <c r="K390" s="28">
        <v>1035</v>
      </c>
      <c r="L390" s="28" t="s">
        <v>3855</v>
      </c>
      <c r="M390" s="28" t="s">
        <v>4337</v>
      </c>
      <c r="N390" s="28" t="s">
        <v>311</v>
      </c>
      <c r="O390" s="47"/>
      <c r="P390" s="28">
        <f t="shared" si="6"/>
        <v>48</v>
      </c>
    </row>
    <row r="391" spans="1:16" s="28" customFormat="1" x14ac:dyDescent="0.25">
      <c r="A391" s="28" t="s">
        <v>4303</v>
      </c>
      <c r="B391" s="28" t="s">
        <v>4304</v>
      </c>
      <c r="C391" s="41" t="s">
        <v>4305</v>
      </c>
      <c r="E391" s="42">
        <v>46079</v>
      </c>
      <c r="F391" s="43" t="s">
        <v>4680</v>
      </c>
      <c r="G391" s="28">
        <v>45</v>
      </c>
      <c r="H391" s="28" t="s">
        <v>227</v>
      </c>
      <c r="I391" s="28" t="s">
        <v>3594</v>
      </c>
      <c r="J391" s="41" t="s">
        <v>119</v>
      </c>
      <c r="K391" s="28">
        <v>1035</v>
      </c>
      <c r="L391" s="28" t="s">
        <v>3855</v>
      </c>
      <c r="M391" s="28" t="s">
        <v>4337</v>
      </c>
      <c r="N391" s="28" t="s">
        <v>311</v>
      </c>
      <c r="O391" s="47"/>
      <c r="P391" s="28">
        <f t="shared" si="6"/>
        <v>51</v>
      </c>
    </row>
    <row r="392" spans="1:16" s="28" customFormat="1" x14ac:dyDescent="0.25">
      <c r="A392" s="28" t="s">
        <v>4303</v>
      </c>
      <c r="B392" s="28" t="s">
        <v>4304</v>
      </c>
      <c r="C392" s="41" t="s">
        <v>4305</v>
      </c>
      <c r="E392" s="42">
        <v>46080</v>
      </c>
      <c r="F392" s="43" t="s">
        <v>4672</v>
      </c>
      <c r="G392" s="28">
        <v>94.48</v>
      </c>
      <c r="H392" s="28" t="s">
        <v>227</v>
      </c>
      <c r="I392" s="28" t="s">
        <v>21</v>
      </c>
      <c r="J392" s="41" t="s">
        <v>239</v>
      </c>
      <c r="K392" s="28">
        <v>1035</v>
      </c>
      <c r="L392" s="28" t="s">
        <v>3855</v>
      </c>
      <c r="M392" s="28" t="s">
        <v>4337</v>
      </c>
      <c r="N392" s="28" t="s">
        <v>311</v>
      </c>
      <c r="O392" s="47"/>
      <c r="P392" s="28">
        <f t="shared" si="6"/>
        <v>37</v>
      </c>
    </row>
    <row r="393" spans="1:16" s="28" customFormat="1" x14ac:dyDescent="0.25">
      <c r="A393" s="28" t="s">
        <v>4303</v>
      </c>
      <c r="B393" s="28" t="s">
        <v>4304</v>
      </c>
      <c r="C393" s="41" t="s">
        <v>4305</v>
      </c>
      <c r="E393" s="42">
        <v>46084</v>
      </c>
      <c r="F393" s="55" t="s">
        <v>4253</v>
      </c>
      <c r="G393" s="28">
        <v>25.99</v>
      </c>
      <c r="H393" s="28" t="s">
        <v>227</v>
      </c>
      <c r="I393" s="55" t="s">
        <v>21</v>
      </c>
      <c r="J393" s="41" t="s">
        <v>239</v>
      </c>
      <c r="K393" s="55">
        <v>4001</v>
      </c>
      <c r="L393" s="55" t="s">
        <v>3855</v>
      </c>
      <c r="M393" s="28" t="s">
        <v>4337</v>
      </c>
      <c r="N393" s="28" t="s">
        <v>311</v>
      </c>
      <c r="O393" s="47"/>
      <c r="P393" s="28">
        <f t="shared" si="6"/>
        <v>37</v>
      </c>
    </row>
    <row r="394" spans="1:16" s="28" customFormat="1" x14ac:dyDescent="0.25">
      <c r="A394" s="28" t="s">
        <v>4303</v>
      </c>
      <c r="B394" s="28" t="s">
        <v>4304</v>
      </c>
      <c r="C394" s="41" t="s">
        <v>4305</v>
      </c>
      <c r="E394" s="42">
        <v>46085</v>
      </c>
      <c r="F394" s="55" t="s">
        <v>4253</v>
      </c>
      <c r="G394" s="28">
        <v>42.7</v>
      </c>
      <c r="H394" s="28" t="s">
        <v>227</v>
      </c>
      <c r="I394" s="55" t="s">
        <v>21</v>
      </c>
      <c r="J394" s="41" t="s">
        <v>239</v>
      </c>
      <c r="K394" s="55">
        <v>4001</v>
      </c>
      <c r="L394" s="55" t="s">
        <v>3855</v>
      </c>
      <c r="M394" s="28" t="s">
        <v>4337</v>
      </c>
      <c r="N394" s="28" t="s">
        <v>311</v>
      </c>
      <c r="O394" s="47"/>
      <c r="P394" s="28">
        <f t="shared" si="6"/>
        <v>37</v>
      </c>
    </row>
    <row r="395" spans="1:16" s="28" customFormat="1" x14ac:dyDescent="0.25">
      <c r="A395" s="28" t="s">
        <v>4303</v>
      </c>
      <c r="B395" s="28" t="s">
        <v>4304</v>
      </c>
      <c r="C395" s="41" t="s">
        <v>4305</v>
      </c>
      <c r="E395" s="42">
        <v>46086</v>
      </c>
      <c r="F395" s="55" t="s">
        <v>4253</v>
      </c>
      <c r="G395" s="28">
        <v>44.83</v>
      </c>
      <c r="H395" s="28" t="s">
        <v>227</v>
      </c>
      <c r="I395" s="55" t="s">
        <v>21</v>
      </c>
      <c r="J395" s="41" t="s">
        <v>239</v>
      </c>
      <c r="K395" s="55">
        <v>4001</v>
      </c>
      <c r="L395" s="55" t="s">
        <v>3855</v>
      </c>
      <c r="M395" s="28" t="s">
        <v>4337</v>
      </c>
      <c r="N395" s="28" t="s">
        <v>311</v>
      </c>
      <c r="O395" s="47"/>
      <c r="P395" s="28">
        <f t="shared" si="6"/>
        <v>37</v>
      </c>
    </row>
    <row r="396" spans="1:16" ht="15.75" thickBot="1" x14ac:dyDescent="0.3">
      <c r="F396" s="38" t="s">
        <v>4506</v>
      </c>
      <c r="G396" s="38">
        <f>SUM(G2:G395)</f>
        <v>69485.200000000041</v>
      </c>
    </row>
    <row r="397" spans="1:16" ht="15.75" thickTop="1" x14ac:dyDescent="0.25"/>
  </sheetData>
  <autoFilter ref="A1:Q396" xr:uid="{D58B5506-4845-429F-9360-661EE2F16047}"/>
  <sortState xmlns:xlrd2="http://schemas.microsoft.com/office/spreadsheetml/2017/richdata2" ref="A2:P395">
    <sortCondition ref="C2:C395"/>
    <sortCondition ref="E2:E39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86BAB-C071-4A25-97C3-B8D55F9C3DB3}">
  <sheetPr>
    <pageSetUpPr fitToPage="1"/>
  </sheetPr>
  <dimension ref="A1:P156"/>
  <sheetViews>
    <sheetView tabSelected="1" zoomScale="80" zoomScaleNormal="80" workbookViewId="0">
      <pane ySplit="1" topLeftCell="A126" activePane="bottomLeft" state="frozen"/>
      <selection pane="bottomLeft" activeCell="J145" sqref="J145"/>
    </sheetView>
  </sheetViews>
  <sheetFormatPr defaultColWidth="9.140625" defaultRowHeight="15" x14ac:dyDescent="0.25"/>
  <cols>
    <col min="1" max="1" width="13.140625" style="34" customWidth="1"/>
    <col min="2" max="2" width="12.42578125" style="34" customWidth="1"/>
    <col min="3" max="3" width="11.5703125" style="35" customWidth="1"/>
    <col min="4" max="4" width="6" style="34" customWidth="1"/>
    <col min="5" max="5" width="11" style="34" customWidth="1"/>
    <col min="6" max="6" width="59.140625" style="34" customWidth="1"/>
    <col min="7" max="7" width="15.140625" style="34" bestFit="1" customWidth="1"/>
    <col min="8" max="8" width="20.140625" style="34" customWidth="1"/>
    <col min="9" max="9" width="19.42578125" style="34" customWidth="1"/>
    <col min="10" max="10" width="25.5703125" style="35" bestFit="1" customWidth="1"/>
    <col min="11" max="11" width="9.5703125" style="34" customWidth="1"/>
    <col min="12" max="12" width="11.28515625" style="34" bestFit="1" customWidth="1"/>
    <col min="13" max="13" width="22.7109375" style="34" bestFit="1" customWidth="1"/>
    <col min="14" max="14" width="12.42578125" style="34" bestFit="1" customWidth="1"/>
    <col min="15" max="15" width="68.28515625" style="47" customWidth="1"/>
    <col min="16" max="16" width="4.5703125" style="34" bestFit="1" customWidth="1"/>
    <col min="17" max="16384" width="9.140625" style="34"/>
  </cols>
  <sheetData>
    <row r="1" spans="1:16" s="37" customFormat="1" x14ac:dyDescent="0.25">
      <c r="A1" s="36" t="s">
        <v>0</v>
      </c>
      <c r="B1" s="36" t="s">
        <v>1</v>
      </c>
      <c r="C1" s="36" t="s">
        <v>2</v>
      </c>
      <c r="D1" s="36" t="s">
        <v>3</v>
      </c>
      <c r="E1" s="36" t="s">
        <v>4</v>
      </c>
      <c r="F1" s="36" t="s">
        <v>5</v>
      </c>
      <c r="G1" s="36" t="s">
        <v>6</v>
      </c>
      <c r="H1" s="36" t="s">
        <v>7</v>
      </c>
      <c r="I1" s="36" t="s">
        <v>8</v>
      </c>
      <c r="J1" s="36" t="s">
        <v>10</v>
      </c>
      <c r="K1" s="36" t="s">
        <v>11</v>
      </c>
      <c r="L1" s="36" t="s">
        <v>12</v>
      </c>
      <c r="M1" s="36" t="s">
        <v>13</v>
      </c>
      <c r="N1" s="36" t="s">
        <v>14</v>
      </c>
      <c r="O1" s="46"/>
      <c r="P1" s="37" t="s">
        <v>4495</v>
      </c>
    </row>
    <row r="2" spans="1:16" s="28" customFormat="1" ht="45" x14ac:dyDescent="0.25">
      <c r="A2" s="28" t="s">
        <v>4038</v>
      </c>
      <c r="C2" s="41" t="s">
        <v>4039</v>
      </c>
      <c r="E2" s="42">
        <v>46058</v>
      </c>
      <c r="F2" s="61" t="s">
        <v>4847</v>
      </c>
      <c r="G2" s="55">
        <v>21.94</v>
      </c>
      <c r="H2" s="55" t="s">
        <v>227</v>
      </c>
      <c r="I2" s="55" t="s">
        <v>21</v>
      </c>
      <c r="J2" s="35" t="s">
        <v>239</v>
      </c>
      <c r="K2" s="66">
        <v>1008</v>
      </c>
      <c r="L2" s="55" t="s">
        <v>34</v>
      </c>
      <c r="M2" s="55" t="s">
        <v>4337</v>
      </c>
      <c r="N2" s="66" t="s">
        <v>468</v>
      </c>
      <c r="O2" s="47" t="s">
        <v>4868</v>
      </c>
      <c r="P2" s="28">
        <f t="shared" ref="P2:P33" si="0">LEN(F2&amp;J2)+12</f>
        <v>36</v>
      </c>
    </row>
    <row r="3" spans="1:16" s="28" customFormat="1" x14ac:dyDescent="0.25">
      <c r="A3" s="28" t="s">
        <v>4038</v>
      </c>
      <c r="C3" s="41" t="s">
        <v>4039</v>
      </c>
      <c r="E3" s="42">
        <v>46058</v>
      </c>
      <c r="F3" s="61" t="s">
        <v>4608</v>
      </c>
      <c r="G3" s="28">
        <v>-24.73</v>
      </c>
      <c r="H3" s="28" t="s">
        <v>227</v>
      </c>
      <c r="I3" s="28" t="s">
        <v>16</v>
      </c>
      <c r="J3" s="41" t="s">
        <v>227</v>
      </c>
      <c r="K3" s="55">
        <v>1008</v>
      </c>
      <c r="L3" s="55" t="s">
        <v>34</v>
      </c>
      <c r="M3" s="28" t="s">
        <v>4337</v>
      </c>
      <c r="N3" s="49" t="s">
        <v>468</v>
      </c>
      <c r="O3" s="47"/>
      <c r="P3" s="28">
        <f t="shared" si="0"/>
        <v>43</v>
      </c>
    </row>
    <row r="4" spans="1:16" s="28" customFormat="1" x14ac:dyDescent="0.25">
      <c r="A4" s="28" t="s">
        <v>4038</v>
      </c>
      <c r="C4" s="41" t="s">
        <v>4039</v>
      </c>
      <c r="E4" s="42">
        <v>46058</v>
      </c>
      <c r="F4" s="55" t="s">
        <v>3899</v>
      </c>
      <c r="G4" s="28">
        <v>24.73</v>
      </c>
      <c r="H4" s="28" t="s">
        <v>227</v>
      </c>
      <c r="I4" s="28" t="s">
        <v>16</v>
      </c>
      <c r="J4" s="41" t="s">
        <v>232</v>
      </c>
      <c r="K4" s="55">
        <v>1008</v>
      </c>
      <c r="L4" s="55" t="s">
        <v>34</v>
      </c>
      <c r="M4" s="28" t="s">
        <v>4337</v>
      </c>
      <c r="N4" s="49" t="s">
        <v>468</v>
      </c>
      <c r="O4" s="47"/>
      <c r="P4" s="28">
        <f t="shared" si="0"/>
        <v>27</v>
      </c>
    </row>
    <row r="5" spans="1:16" s="28" customFormat="1" x14ac:dyDescent="0.25">
      <c r="A5" s="28" t="s">
        <v>4038</v>
      </c>
      <c r="C5" s="41" t="s">
        <v>4039</v>
      </c>
      <c r="E5" s="42">
        <v>46059</v>
      </c>
      <c r="F5" s="61" t="s">
        <v>4608</v>
      </c>
      <c r="G5" s="28">
        <v>-14.24</v>
      </c>
      <c r="H5" s="28" t="s">
        <v>227</v>
      </c>
      <c r="I5" s="28" t="s">
        <v>16</v>
      </c>
      <c r="J5" s="41" t="s">
        <v>227</v>
      </c>
      <c r="K5" s="55">
        <v>1008</v>
      </c>
      <c r="L5" s="55" t="s">
        <v>34</v>
      </c>
      <c r="M5" s="28" t="s">
        <v>4337</v>
      </c>
      <c r="N5" s="49" t="s">
        <v>468</v>
      </c>
      <c r="O5" s="47"/>
      <c r="P5" s="28">
        <f t="shared" si="0"/>
        <v>43</v>
      </c>
    </row>
    <row r="6" spans="1:16" s="28" customFormat="1" x14ac:dyDescent="0.25">
      <c r="A6" s="28" t="s">
        <v>4038</v>
      </c>
      <c r="C6" s="41" t="s">
        <v>4039</v>
      </c>
      <c r="E6" s="42">
        <v>46059</v>
      </c>
      <c r="F6" s="55" t="s">
        <v>3899</v>
      </c>
      <c r="G6" s="28">
        <v>14.24</v>
      </c>
      <c r="H6" s="28" t="s">
        <v>227</v>
      </c>
      <c r="I6" s="28" t="s">
        <v>16</v>
      </c>
      <c r="J6" s="41" t="s">
        <v>232</v>
      </c>
      <c r="K6" s="55">
        <v>1008</v>
      </c>
      <c r="L6" s="55" t="s">
        <v>34</v>
      </c>
      <c r="M6" s="28" t="s">
        <v>4337</v>
      </c>
      <c r="N6" s="49" t="s">
        <v>468</v>
      </c>
      <c r="O6" s="47"/>
      <c r="P6" s="28">
        <f t="shared" si="0"/>
        <v>27</v>
      </c>
    </row>
    <row r="7" spans="1:16" s="28" customFormat="1" x14ac:dyDescent="0.25">
      <c r="A7" s="28" t="s">
        <v>4038</v>
      </c>
      <c r="C7" s="41" t="s">
        <v>4039</v>
      </c>
      <c r="E7" s="42">
        <v>46060</v>
      </c>
      <c r="F7" s="55" t="s">
        <v>3899</v>
      </c>
      <c r="G7" s="28">
        <v>2.97</v>
      </c>
      <c r="H7" s="28" t="s">
        <v>227</v>
      </c>
      <c r="I7" s="28" t="s">
        <v>16</v>
      </c>
      <c r="J7" s="41" t="s">
        <v>232</v>
      </c>
      <c r="K7" s="55">
        <v>1008</v>
      </c>
      <c r="L7" s="55" t="s">
        <v>34</v>
      </c>
      <c r="M7" s="28" t="s">
        <v>4337</v>
      </c>
      <c r="N7" s="49" t="s">
        <v>468</v>
      </c>
      <c r="O7" s="47"/>
      <c r="P7" s="28">
        <f t="shared" si="0"/>
        <v>27</v>
      </c>
    </row>
    <row r="8" spans="1:16" s="28" customFormat="1" ht="30" x14ac:dyDescent="0.25">
      <c r="A8" s="28" t="s">
        <v>4038</v>
      </c>
      <c r="C8" s="41" t="s">
        <v>4039</v>
      </c>
      <c r="E8" s="42">
        <v>46061</v>
      </c>
      <c r="F8" s="61" t="s">
        <v>4826</v>
      </c>
      <c r="G8" s="28">
        <v>1693.87</v>
      </c>
      <c r="H8" s="28" t="s">
        <v>227</v>
      </c>
      <c r="I8" s="28" t="s">
        <v>3864</v>
      </c>
      <c r="J8" s="41" t="s">
        <v>255</v>
      </c>
      <c r="K8" s="55">
        <v>3501</v>
      </c>
      <c r="L8" s="55" t="s">
        <v>34</v>
      </c>
      <c r="M8" s="28" t="s">
        <v>4337</v>
      </c>
      <c r="N8" s="28" t="s">
        <v>468</v>
      </c>
      <c r="O8" s="47" t="s">
        <v>4828</v>
      </c>
      <c r="P8" s="28">
        <f t="shared" si="0"/>
        <v>66</v>
      </c>
    </row>
    <row r="9" spans="1:16" s="28" customFormat="1" x14ac:dyDescent="0.25">
      <c r="A9" s="28" t="s">
        <v>4038</v>
      </c>
      <c r="C9" s="41" t="s">
        <v>4039</v>
      </c>
      <c r="E9" s="42">
        <v>46062</v>
      </c>
      <c r="F9" s="28" t="s">
        <v>4040</v>
      </c>
      <c r="G9" s="28">
        <v>13.21</v>
      </c>
      <c r="H9" s="28" t="s">
        <v>227</v>
      </c>
      <c r="I9" s="28" t="s">
        <v>16</v>
      </c>
      <c r="J9" s="41" t="s">
        <v>1057</v>
      </c>
      <c r="K9" s="28">
        <v>3354</v>
      </c>
      <c r="L9" s="28" t="s">
        <v>34</v>
      </c>
      <c r="M9" s="28" t="s">
        <v>4337</v>
      </c>
      <c r="N9" s="28" t="s">
        <v>468</v>
      </c>
      <c r="O9" s="47"/>
      <c r="P9" s="28">
        <f t="shared" si="0"/>
        <v>44</v>
      </c>
    </row>
    <row r="10" spans="1:16" s="28" customFormat="1" x14ac:dyDescent="0.25">
      <c r="A10" s="28" t="s">
        <v>4038</v>
      </c>
      <c r="C10" s="41" t="s">
        <v>4039</v>
      </c>
      <c r="E10" s="42">
        <v>46062</v>
      </c>
      <c r="F10" s="28" t="s">
        <v>4040</v>
      </c>
      <c r="G10" s="28">
        <v>46.64</v>
      </c>
      <c r="H10" s="28" t="s">
        <v>227</v>
      </c>
      <c r="I10" s="28" t="s">
        <v>16</v>
      </c>
      <c r="J10" s="41" t="s">
        <v>4440</v>
      </c>
      <c r="K10" s="28">
        <v>3354</v>
      </c>
      <c r="L10" s="28" t="s">
        <v>34</v>
      </c>
      <c r="M10" s="28" t="s">
        <v>4337</v>
      </c>
      <c r="N10" s="28" t="s">
        <v>468</v>
      </c>
      <c r="O10" s="47"/>
      <c r="P10" s="28">
        <f t="shared" si="0"/>
        <v>51</v>
      </c>
    </row>
    <row r="11" spans="1:16" s="28" customFormat="1" x14ac:dyDescent="0.25">
      <c r="A11" s="28" t="s">
        <v>4038</v>
      </c>
      <c r="C11" s="41" t="s">
        <v>4039</v>
      </c>
      <c r="E11" s="42">
        <v>46063</v>
      </c>
      <c r="F11" s="28" t="s">
        <v>4040</v>
      </c>
      <c r="G11" s="28">
        <v>24.38</v>
      </c>
      <c r="H11" s="28" t="s">
        <v>227</v>
      </c>
      <c r="I11" s="28" t="s">
        <v>16</v>
      </c>
      <c r="J11" s="41" t="s">
        <v>4503</v>
      </c>
      <c r="K11" s="28">
        <v>3354</v>
      </c>
      <c r="L11" s="28" t="s">
        <v>34</v>
      </c>
      <c r="M11" s="28" t="s">
        <v>4337</v>
      </c>
      <c r="N11" s="28" t="s">
        <v>468</v>
      </c>
      <c r="O11" s="47"/>
      <c r="P11" s="28">
        <f t="shared" si="0"/>
        <v>48</v>
      </c>
    </row>
    <row r="12" spans="1:16" s="28" customFormat="1" x14ac:dyDescent="0.25">
      <c r="A12" s="28" t="s">
        <v>4038</v>
      </c>
      <c r="C12" s="41" t="s">
        <v>4039</v>
      </c>
      <c r="E12" s="42">
        <v>46063</v>
      </c>
      <c r="F12" s="28" t="s">
        <v>4040</v>
      </c>
      <c r="G12" s="28">
        <v>96.87</v>
      </c>
      <c r="H12" s="28" t="s">
        <v>227</v>
      </c>
      <c r="I12" s="28" t="s">
        <v>16</v>
      </c>
      <c r="J12" s="41" t="s">
        <v>4485</v>
      </c>
      <c r="K12" s="28">
        <v>3354</v>
      </c>
      <c r="L12" s="28" t="s">
        <v>34</v>
      </c>
      <c r="M12" s="28" t="s">
        <v>4337</v>
      </c>
      <c r="N12" s="28" t="s">
        <v>468</v>
      </c>
      <c r="O12" s="47"/>
      <c r="P12" s="28">
        <f t="shared" si="0"/>
        <v>45</v>
      </c>
    </row>
    <row r="13" spans="1:16" s="28" customFormat="1" x14ac:dyDescent="0.25">
      <c r="A13" s="28" t="s">
        <v>4038</v>
      </c>
      <c r="C13" s="41" t="s">
        <v>4039</v>
      </c>
      <c r="E13" s="42">
        <v>46064</v>
      </c>
      <c r="F13" s="43" t="s">
        <v>4740</v>
      </c>
      <c r="G13" s="28">
        <v>37.979999999999997</v>
      </c>
      <c r="H13" s="28" t="s">
        <v>227</v>
      </c>
      <c r="I13" s="28" t="s">
        <v>21</v>
      </c>
      <c r="J13" s="41" t="s">
        <v>239</v>
      </c>
      <c r="K13" s="28">
        <v>3431</v>
      </c>
      <c r="L13" s="28" t="s">
        <v>34</v>
      </c>
      <c r="M13" s="28" t="s">
        <v>4337</v>
      </c>
      <c r="N13" s="28" t="s">
        <v>468</v>
      </c>
      <c r="O13" s="47"/>
      <c r="P13" s="28">
        <f t="shared" si="0"/>
        <v>57</v>
      </c>
    </row>
    <row r="14" spans="1:16" s="28" customFormat="1" x14ac:dyDescent="0.25">
      <c r="A14" s="28" t="s">
        <v>4038</v>
      </c>
      <c r="C14" s="41" t="s">
        <v>4039</v>
      </c>
      <c r="E14" s="42">
        <v>46064</v>
      </c>
      <c r="F14" s="61" t="s">
        <v>4681</v>
      </c>
      <c r="G14" s="28">
        <v>25.98</v>
      </c>
      <c r="H14" s="28" t="s">
        <v>227</v>
      </c>
      <c r="I14" s="28" t="s">
        <v>21</v>
      </c>
      <c r="J14" s="41" t="s">
        <v>239</v>
      </c>
      <c r="K14" s="55">
        <v>3501</v>
      </c>
      <c r="L14" s="55" t="s">
        <v>34</v>
      </c>
      <c r="M14" s="28" t="s">
        <v>4337</v>
      </c>
      <c r="N14" s="28" t="s">
        <v>468</v>
      </c>
      <c r="O14" s="47"/>
      <c r="P14" s="28">
        <f t="shared" si="0"/>
        <v>65</v>
      </c>
    </row>
    <row r="15" spans="1:16" s="28" customFormat="1" x14ac:dyDescent="0.25">
      <c r="A15" s="28" t="s">
        <v>4038</v>
      </c>
      <c r="C15" s="41" t="s">
        <v>4039</v>
      </c>
      <c r="E15" s="42">
        <v>46064</v>
      </c>
      <c r="F15" s="43" t="s">
        <v>4682</v>
      </c>
      <c r="G15" s="28">
        <v>12.81</v>
      </c>
      <c r="H15" s="28" t="s">
        <v>227</v>
      </c>
      <c r="I15" s="28" t="s">
        <v>16</v>
      </c>
      <c r="J15" s="41" t="s">
        <v>1057</v>
      </c>
      <c r="K15" s="55">
        <v>3501</v>
      </c>
      <c r="L15" s="55" t="s">
        <v>34</v>
      </c>
      <c r="M15" s="28" t="s">
        <v>4337</v>
      </c>
      <c r="N15" s="28" t="s">
        <v>468</v>
      </c>
      <c r="O15" s="47"/>
      <c r="P15" s="28">
        <f t="shared" si="0"/>
        <v>71</v>
      </c>
    </row>
    <row r="16" spans="1:16" s="28" customFormat="1" x14ac:dyDescent="0.25">
      <c r="A16" s="28" t="s">
        <v>4038</v>
      </c>
      <c r="C16" s="41" t="s">
        <v>4039</v>
      </c>
      <c r="E16" s="42">
        <v>46064</v>
      </c>
      <c r="F16" s="43" t="s">
        <v>4682</v>
      </c>
      <c r="G16" s="28">
        <v>45</v>
      </c>
      <c r="H16" s="28" t="s">
        <v>227</v>
      </c>
      <c r="I16" s="28" t="s">
        <v>16</v>
      </c>
      <c r="J16" s="41" t="s">
        <v>784</v>
      </c>
      <c r="K16" s="55">
        <v>3501</v>
      </c>
      <c r="L16" s="55" t="s">
        <v>34</v>
      </c>
      <c r="M16" s="28" t="s">
        <v>4337</v>
      </c>
      <c r="N16" s="28" t="s">
        <v>468</v>
      </c>
      <c r="O16" s="47"/>
      <c r="P16" s="28">
        <f t="shared" si="0"/>
        <v>74</v>
      </c>
    </row>
    <row r="17" spans="1:16" s="28" customFormat="1" x14ac:dyDescent="0.25">
      <c r="A17" s="28" t="s">
        <v>4038</v>
      </c>
      <c r="C17" s="41" t="s">
        <v>4039</v>
      </c>
      <c r="E17" s="42">
        <v>46065</v>
      </c>
      <c r="F17" s="43" t="s">
        <v>4682</v>
      </c>
      <c r="G17" s="28">
        <v>21.38</v>
      </c>
      <c r="H17" s="28" t="s">
        <v>227</v>
      </c>
      <c r="I17" s="28" t="s">
        <v>16</v>
      </c>
      <c r="J17" s="41" t="s">
        <v>255</v>
      </c>
      <c r="K17" s="55">
        <v>3501</v>
      </c>
      <c r="L17" s="55" t="s">
        <v>34</v>
      </c>
      <c r="M17" s="28" t="s">
        <v>4337</v>
      </c>
      <c r="N17" s="28" t="s">
        <v>468</v>
      </c>
      <c r="O17" s="47"/>
      <c r="P17" s="28">
        <f t="shared" si="0"/>
        <v>70</v>
      </c>
    </row>
    <row r="18" spans="1:16" s="28" customFormat="1" x14ac:dyDescent="0.25">
      <c r="A18" s="28" t="s">
        <v>4038</v>
      </c>
      <c r="C18" s="41" t="s">
        <v>4039</v>
      </c>
      <c r="E18" s="42">
        <v>46065</v>
      </c>
      <c r="F18" s="43" t="s">
        <v>4682</v>
      </c>
      <c r="G18" s="28">
        <v>22.6</v>
      </c>
      <c r="H18" s="28" t="s">
        <v>227</v>
      </c>
      <c r="I18" s="28" t="s">
        <v>16</v>
      </c>
      <c r="J18" s="41" t="s">
        <v>255</v>
      </c>
      <c r="K18" s="55">
        <v>3501</v>
      </c>
      <c r="L18" s="55" t="s">
        <v>34</v>
      </c>
      <c r="M18" s="28" t="s">
        <v>4337</v>
      </c>
      <c r="N18" s="28" t="s">
        <v>468</v>
      </c>
      <c r="O18" s="47"/>
      <c r="P18" s="28">
        <f t="shared" si="0"/>
        <v>70</v>
      </c>
    </row>
    <row r="19" spans="1:16" s="28" customFormat="1" ht="30" x14ac:dyDescent="0.25">
      <c r="A19" s="28" t="s">
        <v>4038</v>
      </c>
      <c r="C19" s="41" t="s">
        <v>4039</v>
      </c>
      <c r="E19" s="42">
        <v>46065</v>
      </c>
      <c r="F19" s="61" t="s">
        <v>4824</v>
      </c>
      <c r="G19" s="55">
        <v>158</v>
      </c>
      <c r="H19" s="55" t="s">
        <v>227</v>
      </c>
      <c r="I19" s="55" t="s">
        <v>16</v>
      </c>
      <c r="J19" s="35" t="s">
        <v>937</v>
      </c>
      <c r="K19" s="55">
        <v>3501</v>
      </c>
      <c r="L19" s="55" t="s">
        <v>34</v>
      </c>
      <c r="M19" s="28" t="s">
        <v>4337</v>
      </c>
      <c r="N19" s="28" t="s">
        <v>468</v>
      </c>
      <c r="O19" s="47" t="s">
        <v>4825</v>
      </c>
      <c r="P19" s="28">
        <f t="shared" si="0"/>
        <v>61</v>
      </c>
    </row>
    <row r="20" spans="1:16" s="28" customFormat="1" x14ac:dyDescent="0.25">
      <c r="A20" s="28" t="s">
        <v>4038</v>
      </c>
      <c r="C20" s="41" t="s">
        <v>4039</v>
      </c>
      <c r="E20" s="42">
        <v>46067</v>
      </c>
      <c r="F20" s="61" t="s">
        <v>4608</v>
      </c>
      <c r="G20" s="28">
        <v>-2.39</v>
      </c>
      <c r="H20" s="28" t="s">
        <v>227</v>
      </c>
      <c r="I20" s="28" t="s">
        <v>16</v>
      </c>
      <c r="J20" s="41" t="s">
        <v>227</v>
      </c>
      <c r="K20" s="55">
        <v>1008</v>
      </c>
      <c r="L20" s="55" t="s">
        <v>34</v>
      </c>
      <c r="M20" s="28" t="s">
        <v>4337</v>
      </c>
      <c r="N20" s="49" t="s">
        <v>468</v>
      </c>
      <c r="O20" s="47"/>
      <c r="P20" s="28">
        <f t="shared" si="0"/>
        <v>43</v>
      </c>
    </row>
    <row r="21" spans="1:16" s="28" customFormat="1" x14ac:dyDescent="0.25">
      <c r="A21" s="28" t="s">
        <v>4038</v>
      </c>
      <c r="C21" s="41" t="s">
        <v>4039</v>
      </c>
      <c r="E21" s="42">
        <v>46067</v>
      </c>
      <c r="F21" s="55" t="s">
        <v>3899</v>
      </c>
      <c r="G21" s="28">
        <v>2.39</v>
      </c>
      <c r="H21" s="28" t="s">
        <v>227</v>
      </c>
      <c r="I21" s="28" t="s">
        <v>16</v>
      </c>
      <c r="J21" s="41" t="s">
        <v>232</v>
      </c>
      <c r="K21" s="55">
        <v>1008</v>
      </c>
      <c r="L21" s="55" t="s">
        <v>34</v>
      </c>
      <c r="M21" s="28" t="s">
        <v>4337</v>
      </c>
      <c r="N21" s="49" t="s">
        <v>468</v>
      </c>
      <c r="O21" s="47"/>
      <c r="P21" s="28">
        <f t="shared" si="0"/>
        <v>27</v>
      </c>
    </row>
    <row r="22" spans="1:16" s="28" customFormat="1" ht="30" x14ac:dyDescent="0.25">
      <c r="A22" s="62" t="s">
        <v>4038</v>
      </c>
      <c r="B22" s="62"/>
      <c r="C22" s="63" t="s">
        <v>4039</v>
      </c>
      <c r="D22" s="62"/>
      <c r="E22" s="64">
        <v>46069</v>
      </c>
      <c r="F22" s="43" t="s">
        <v>4821</v>
      </c>
      <c r="G22" s="62">
        <v>2058.66</v>
      </c>
      <c r="H22" s="62" t="s">
        <v>227</v>
      </c>
      <c r="I22" s="65" t="s">
        <v>3594</v>
      </c>
      <c r="J22" s="63" t="s">
        <v>601</v>
      </c>
      <c r="K22" s="62">
        <v>3431</v>
      </c>
      <c r="L22" s="62" t="s">
        <v>34</v>
      </c>
      <c r="M22" s="62" t="s">
        <v>4337</v>
      </c>
      <c r="N22" s="62" t="s">
        <v>468</v>
      </c>
      <c r="O22" s="48" t="s">
        <v>4761</v>
      </c>
      <c r="P22" s="28">
        <f t="shared" si="0"/>
        <v>57</v>
      </c>
    </row>
    <row r="23" spans="1:16" s="28" customFormat="1" ht="30" x14ac:dyDescent="0.25">
      <c r="A23" s="62" t="s">
        <v>4038</v>
      </c>
      <c r="B23" s="62"/>
      <c r="C23" s="63" t="s">
        <v>4039</v>
      </c>
      <c r="D23" s="62"/>
      <c r="E23" s="64">
        <v>46069</v>
      </c>
      <c r="F23" s="43" t="s">
        <v>4822</v>
      </c>
      <c r="G23" s="62">
        <v>30</v>
      </c>
      <c r="H23" s="62" t="s">
        <v>227</v>
      </c>
      <c r="I23" s="65" t="s">
        <v>3594</v>
      </c>
      <c r="J23" s="63" t="s">
        <v>790</v>
      </c>
      <c r="K23" s="62">
        <v>3431</v>
      </c>
      <c r="L23" s="62" t="s">
        <v>34</v>
      </c>
      <c r="M23" s="62" t="s">
        <v>4337</v>
      </c>
      <c r="N23" s="62" t="s">
        <v>468</v>
      </c>
      <c r="O23" s="48" t="s">
        <v>4761</v>
      </c>
      <c r="P23" s="28">
        <f t="shared" si="0"/>
        <v>63</v>
      </c>
    </row>
    <row r="24" spans="1:16" s="28" customFormat="1" x14ac:dyDescent="0.25">
      <c r="A24" s="28" t="s">
        <v>4038</v>
      </c>
      <c r="C24" s="41" t="s">
        <v>4039</v>
      </c>
      <c r="E24" s="42">
        <v>46070</v>
      </c>
      <c r="F24" s="61" t="s">
        <v>4683</v>
      </c>
      <c r="G24" s="28">
        <v>20.149999999999999</v>
      </c>
      <c r="H24" s="28" t="s">
        <v>227</v>
      </c>
      <c r="I24" s="28" t="s">
        <v>16</v>
      </c>
      <c r="J24" s="41" t="s">
        <v>1019</v>
      </c>
      <c r="K24" s="61">
        <v>3313</v>
      </c>
      <c r="L24" s="55" t="s">
        <v>34</v>
      </c>
      <c r="M24" s="28" t="s">
        <v>4337</v>
      </c>
      <c r="N24" s="28" t="s">
        <v>468</v>
      </c>
      <c r="O24" s="47" t="s">
        <v>4685</v>
      </c>
      <c r="P24" s="28">
        <f t="shared" si="0"/>
        <v>47</v>
      </c>
    </row>
    <row r="25" spans="1:16" s="28" customFormat="1" x14ac:dyDescent="0.25">
      <c r="A25" s="28" t="s">
        <v>4038</v>
      </c>
      <c r="C25" s="41" t="s">
        <v>4039</v>
      </c>
      <c r="E25" s="42">
        <v>46070</v>
      </c>
      <c r="F25" s="61" t="s">
        <v>4683</v>
      </c>
      <c r="G25" s="28">
        <v>12.19</v>
      </c>
      <c r="H25" s="28" t="s">
        <v>227</v>
      </c>
      <c r="I25" s="28" t="s">
        <v>16</v>
      </c>
      <c r="J25" s="41" t="s">
        <v>4450</v>
      </c>
      <c r="K25" s="61">
        <v>3313</v>
      </c>
      <c r="L25" s="55" t="s">
        <v>34</v>
      </c>
      <c r="M25" s="28" t="s">
        <v>4337</v>
      </c>
      <c r="N25" s="28" t="s">
        <v>468</v>
      </c>
      <c r="O25" s="47" t="s">
        <v>4685</v>
      </c>
      <c r="P25" s="28">
        <f t="shared" si="0"/>
        <v>56</v>
      </c>
    </row>
    <row r="26" spans="1:16" s="28" customFormat="1" ht="30" x14ac:dyDescent="0.25">
      <c r="A26" s="62" t="s">
        <v>4038</v>
      </c>
      <c r="B26" s="62"/>
      <c r="C26" s="63" t="s">
        <v>4039</v>
      </c>
      <c r="D26" s="62"/>
      <c r="E26" s="64">
        <v>46070</v>
      </c>
      <c r="F26" s="43" t="s">
        <v>4686</v>
      </c>
      <c r="G26" s="62">
        <v>145</v>
      </c>
      <c r="H26" s="62" t="s">
        <v>227</v>
      </c>
      <c r="I26" s="62" t="s">
        <v>21</v>
      </c>
      <c r="J26" s="63" t="s">
        <v>1100</v>
      </c>
      <c r="K26" s="62">
        <v>3431</v>
      </c>
      <c r="L26" s="62" t="s">
        <v>34</v>
      </c>
      <c r="M26" s="62" t="s">
        <v>4337</v>
      </c>
      <c r="N26" s="62" t="s">
        <v>468</v>
      </c>
      <c r="O26" s="48" t="s">
        <v>4761</v>
      </c>
      <c r="P26" s="28">
        <f t="shared" si="0"/>
        <v>51</v>
      </c>
    </row>
    <row r="27" spans="1:16" s="28" customFormat="1" x14ac:dyDescent="0.25">
      <c r="A27" s="28" t="s">
        <v>4038</v>
      </c>
      <c r="C27" s="41" t="s">
        <v>4039</v>
      </c>
      <c r="E27" s="42">
        <v>46071</v>
      </c>
      <c r="F27" s="61" t="s">
        <v>4683</v>
      </c>
      <c r="G27" s="28">
        <v>17.260000000000002</v>
      </c>
      <c r="H27" s="28" t="s">
        <v>227</v>
      </c>
      <c r="I27" s="28" t="s">
        <v>16</v>
      </c>
      <c r="J27" s="41" t="s">
        <v>4479</v>
      </c>
      <c r="K27" s="61">
        <v>3313</v>
      </c>
      <c r="L27" s="55" t="s">
        <v>34</v>
      </c>
      <c r="M27" s="28" t="s">
        <v>4337</v>
      </c>
      <c r="N27" s="28" t="s">
        <v>468</v>
      </c>
      <c r="O27" s="47" t="s">
        <v>4685</v>
      </c>
      <c r="P27" s="28">
        <f t="shared" si="0"/>
        <v>51</v>
      </c>
    </row>
    <row r="28" spans="1:16" s="28" customFormat="1" x14ac:dyDescent="0.25">
      <c r="A28" s="28" t="s">
        <v>4038</v>
      </c>
      <c r="C28" s="41" t="s">
        <v>4039</v>
      </c>
      <c r="E28" s="42">
        <v>46071</v>
      </c>
      <c r="F28" s="61" t="s">
        <v>4683</v>
      </c>
      <c r="G28" s="28">
        <v>5.35</v>
      </c>
      <c r="H28" s="28" t="s">
        <v>227</v>
      </c>
      <c r="I28" s="28" t="s">
        <v>16</v>
      </c>
      <c r="J28" s="41" t="s">
        <v>4450</v>
      </c>
      <c r="K28" s="61">
        <v>3313</v>
      </c>
      <c r="L28" s="55" t="s">
        <v>34</v>
      </c>
      <c r="M28" s="28" t="s">
        <v>4337</v>
      </c>
      <c r="N28" s="28" t="s">
        <v>468</v>
      </c>
      <c r="O28" s="47" t="s">
        <v>4685</v>
      </c>
      <c r="P28" s="28">
        <f t="shared" si="0"/>
        <v>56</v>
      </c>
    </row>
    <row r="29" spans="1:16" s="28" customFormat="1" x14ac:dyDescent="0.25">
      <c r="A29" s="28" t="s">
        <v>4038</v>
      </c>
      <c r="C29" s="41" t="s">
        <v>4039</v>
      </c>
      <c r="E29" s="42">
        <v>46071</v>
      </c>
      <c r="F29" s="61" t="s">
        <v>4683</v>
      </c>
      <c r="G29" s="28">
        <v>11.27</v>
      </c>
      <c r="H29" s="28" t="s">
        <v>227</v>
      </c>
      <c r="I29" s="28" t="s">
        <v>16</v>
      </c>
      <c r="J29" s="41" t="s">
        <v>4341</v>
      </c>
      <c r="K29" s="61">
        <v>3313</v>
      </c>
      <c r="L29" s="55" t="s">
        <v>34</v>
      </c>
      <c r="M29" s="28" t="s">
        <v>4337</v>
      </c>
      <c r="N29" s="28" t="s">
        <v>468</v>
      </c>
      <c r="O29" s="47" t="s">
        <v>4685</v>
      </c>
      <c r="P29" s="28">
        <f t="shared" si="0"/>
        <v>56</v>
      </c>
    </row>
    <row r="30" spans="1:16" s="28" customFormat="1" x14ac:dyDescent="0.25">
      <c r="A30" s="28" t="s">
        <v>4038</v>
      </c>
      <c r="C30" s="41" t="s">
        <v>4039</v>
      </c>
      <c r="E30" s="42">
        <v>46071</v>
      </c>
      <c r="F30" s="61" t="s">
        <v>4806</v>
      </c>
      <c r="G30" s="28">
        <v>48.98</v>
      </c>
      <c r="H30" s="28" t="s">
        <v>227</v>
      </c>
      <c r="I30" s="28" t="s">
        <v>21</v>
      </c>
      <c r="J30" s="41" t="s">
        <v>239</v>
      </c>
      <c r="K30" s="61">
        <v>3313</v>
      </c>
      <c r="L30" s="55" t="s">
        <v>34</v>
      </c>
      <c r="M30" s="28" t="s">
        <v>4337</v>
      </c>
      <c r="N30" s="28" t="s">
        <v>468</v>
      </c>
      <c r="O30" s="47" t="s">
        <v>4685</v>
      </c>
      <c r="P30" s="28">
        <f t="shared" si="0"/>
        <v>38</v>
      </c>
    </row>
    <row r="31" spans="1:16" s="28" customFormat="1" x14ac:dyDescent="0.25">
      <c r="A31" s="28" t="s">
        <v>4038</v>
      </c>
      <c r="C31" s="41" t="s">
        <v>4039</v>
      </c>
      <c r="E31" s="42">
        <v>46072</v>
      </c>
      <c r="F31" s="61" t="s">
        <v>4683</v>
      </c>
      <c r="G31" s="28">
        <v>57.36</v>
      </c>
      <c r="H31" s="28" t="s">
        <v>227</v>
      </c>
      <c r="I31" s="28" t="s">
        <v>16</v>
      </c>
      <c r="J31" s="41" t="s">
        <v>4367</v>
      </c>
      <c r="K31" s="61">
        <v>3313</v>
      </c>
      <c r="L31" s="55" t="s">
        <v>34</v>
      </c>
      <c r="M31" s="28" t="s">
        <v>4337</v>
      </c>
      <c r="N31" s="28" t="s">
        <v>468</v>
      </c>
      <c r="O31" s="47" t="s">
        <v>4685</v>
      </c>
      <c r="P31" s="28">
        <f t="shared" si="0"/>
        <v>58</v>
      </c>
    </row>
    <row r="32" spans="1:16" s="28" customFormat="1" x14ac:dyDescent="0.25">
      <c r="A32" s="28" t="s">
        <v>4038</v>
      </c>
      <c r="C32" s="41" t="s">
        <v>4039</v>
      </c>
      <c r="E32" s="42">
        <v>46072</v>
      </c>
      <c r="F32" s="61" t="s">
        <v>4807</v>
      </c>
      <c r="G32" s="28">
        <v>50.98</v>
      </c>
      <c r="H32" s="28" t="s">
        <v>227</v>
      </c>
      <c r="I32" s="28" t="s">
        <v>21</v>
      </c>
      <c r="J32" s="41" t="s">
        <v>239</v>
      </c>
      <c r="K32" s="61">
        <v>3313</v>
      </c>
      <c r="L32" s="55" t="s">
        <v>34</v>
      </c>
      <c r="M32" s="28" t="s">
        <v>4337</v>
      </c>
      <c r="N32" s="28" t="s">
        <v>468</v>
      </c>
      <c r="O32" s="47" t="s">
        <v>4685</v>
      </c>
      <c r="P32" s="28">
        <f t="shared" si="0"/>
        <v>38</v>
      </c>
    </row>
    <row r="33" spans="1:16" s="28" customFormat="1" x14ac:dyDescent="0.25">
      <c r="A33" s="28" t="s">
        <v>4038</v>
      </c>
      <c r="C33" s="41" t="s">
        <v>4039</v>
      </c>
      <c r="E33" s="42">
        <v>46072</v>
      </c>
      <c r="F33" s="61" t="s">
        <v>4684</v>
      </c>
      <c r="G33" s="28">
        <v>145</v>
      </c>
      <c r="H33" s="28" t="s">
        <v>227</v>
      </c>
      <c r="I33" s="28" t="s">
        <v>21</v>
      </c>
      <c r="J33" s="41" t="s">
        <v>1100</v>
      </c>
      <c r="K33" s="61">
        <v>3313</v>
      </c>
      <c r="L33" s="55" t="s">
        <v>34</v>
      </c>
      <c r="M33" s="28" t="s">
        <v>4337</v>
      </c>
      <c r="N33" s="28" t="s">
        <v>468</v>
      </c>
      <c r="O33" s="47" t="s">
        <v>4685</v>
      </c>
      <c r="P33" s="28">
        <f t="shared" si="0"/>
        <v>47</v>
      </c>
    </row>
    <row r="34" spans="1:16" s="28" customFormat="1" ht="30" x14ac:dyDescent="0.25">
      <c r="A34" s="62" t="s">
        <v>4038</v>
      </c>
      <c r="B34" s="62"/>
      <c r="C34" s="63" t="s">
        <v>4039</v>
      </c>
      <c r="D34" s="62"/>
      <c r="E34" s="64">
        <v>46072</v>
      </c>
      <c r="F34" s="43" t="s">
        <v>4687</v>
      </c>
      <c r="G34" s="62">
        <v>410.13</v>
      </c>
      <c r="H34" s="62" t="s">
        <v>227</v>
      </c>
      <c r="I34" s="62" t="s">
        <v>3864</v>
      </c>
      <c r="J34" s="63" t="s">
        <v>918</v>
      </c>
      <c r="K34" s="62">
        <v>3431</v>
      </c>
      <c r="L34" s="62" t="s">
        <v>34</v>
      </c>
      <c r="M34" s="62" t="s">
        <v>4337</v>
      </c>
      <c r="N34" s="62" t="s">
        <v>468</v>
      </c>
      <c r="O34" s="48" t="s">
        <v>4761</v>
      </c>
      <c r="P34" s="28">
        <f t="shared" ref="P34:P65" si="1">LEN(F34&amp;J34)+12</f>
        <v>50</v>
      </c>
    </row>
    <row r="35" spans="1:16" s="28" customFormat="1" x14ac:dyDescent="0.25">
      <c r="A35" s="28" t="s">
        <v>4038</v>
      </c>
      <c r="C35" s="41" t="s">
        <v>4039</v>
      </c>
      <c r="E35" s="42">
        <v>46073</v>
      </c>
      <c r="F35" s="61" t="s">
        <v>4540</v>
      </c>
      <c r="G35" s="55">
        <v>28.35</v>
      </c>
      <c r="H35" s="55" t="s">
        <v>227</v>
      </c>
      <c r="I35" s="55" t="s">
        <v>16</v>
      </c>
      <c r="J35" s="35" t="s">
        <v>4359</v>
      </c>
      <c r="K35" s="55">
        <v>1035</v>
      </c>
      <c r="L35" s="55" t="s">
        <v>34</v>
      </c>
      <c r="M35" s="28" t="s">
        <v>4337</v>
      </c>
      <c r="N35" s="28" t="s">
        <v>468</v>
      </c>
      <c r="O35" s="47"/>
      <c r="P35" s="28">
        <f t="shared" si="1"/>
        <v>45</v>
      </c>
    </row>
    <row r="36" spans="1:16" s="28" customFormat="1" x14ac:dyDescent="0.25">
      <c r="A36" s="28" t="s">
        <v>4038</v>
      </c>
      <c r="C36" s="41" t="s">
        <v>4039</v>
      </c>
      <c r="E36" s="42">
        <v>46073</v>
      </c>
      <c r="F36" s="61" t="s">
        <v>4540</v>
      </c>
      <c r="G36" s="55">
        <v>5.29</v>
      </c>
      <c r="H36" s="55" t="s">
        <v>227</v>
      </c>
      <c r="I36" s="55" t="s">
        <v>16</v>
      </c>
      <c r="J36" s="35" t="s">
        <v>994</v>
      </c>
      <c r="K36" s="55">
        <v>1035</v>
      </c>
      <c r="L36" s="55" t="s">
        <v>34</v>
      </c>
      <c r="M36" s="28" t="s">
        <v>4337</v>
      </c>
      <c r="N36" s="28" t="s">
        <v>468</v>
      </c>
      <c r="O36" s="47"/>
      <c r="P36" s="28">
        <f t="shared" si="1"/>
        <v>54</v>
      </c>
    </row>
    <row r="37" spans="1:16" s="28" customFormat="1" x14ac:dyDescent="0.25">
      <c r="A37" s="28" t="s">
        <v>4038</v>
      </c>
      <c r="C37" s="41" t="s">
        <v>4039</v>
      </c>
      <c r="E37" s="42">
        <v>46073</v>
      </c>
      <c r="F37" s="61" t="s">
        <v>4540</v>
      </c>
      <c r="G37" s="55">
        <v>44.61</v>
      </c>
      <c r="H37" s="55" t="s">
        <v>227</v>
      </c>
      <c r="I37" s="55" t="s">
        <v>16</v>
      </c>
      <c r="J37" s="35" t="s">
        <v>2239</v>
      </c>
      <c r="K37" s="55">
        <v>1035</v>
      </c>
      <c r="L37" s="55" t="s">
        <v>34</v>
      </c>
      <c r="M37" s="28" t="s">
        <v>4337</v>
      </c>
      <c r="N37" s="28" t="s">
        <v>468</v>
      </c>
      <c r="O37" s="47"/>
      <c r="P37" s="28">
        <f t="shared" si="1"/>
        <v>42</v>
      </c>
    </row>
    <row r="38" spans="1:16" s="28" customFormat="1" x14ac:dyDescent="0.25">
      <c r="A38" s="28" t="s">
        <v>4038</v>
      </c>
      <c r="C38" s="41" t="s">
        <v>4039</v>
      </c>
      <c r="E38" s="42">
        <v>46074</v>
      </c>
      <c r="F38" s="61" t="s">
        <v>4688</v>
      </c>
      <c r="G38" s="55">
        <v>145</v>
      </c>
      <c r="H38" s="55" t="s">
        <v>227</v>
      </c>
      <c r="I38" s="55" t="s">
        <v>21</v>
      </c>
      <c r="J38" s="35" t="s">
        <v>1100</v>
      </c>
      <c r="K38" s="55">
        <v>1035</v>
      </c>
      <c r="L38" s="55" t="s">
        <v>34</v>
      </c>
      <c r="M38" s="28" t="s">
        <v>4337</v>
      </c>
      <c r="N38" s="28" t="s">
        <v>468</v>
      </c>
      <c r="O38" s="47"/>
      <c r="P38" s="28">
        <f t="shared" si="1"/>
        <v>41</v>
      </c>
    </row>
    <row r="39" spans="1:16" s="28" customFormat="1" x14ac:dyDescent="0.25">
      <c r="A39" s="28" t="s">
        <v>4038</v>
      </c>
      <c r="C39" s="41" t="s">
        <v>4039</v>
      </c>
      <c r="E39" s="42">
        <v>46080</v>
      </c>
      <c r="F39" s="61" t="s">
        <v>4689</v>
      </c>
      <c r="G39" s="55">
        <v>145</v>
      </c>
      <c r="H39" s="55" t="s">
        <v>227</v>
      </c>
      <c r="I39" s="55" t="s">
        <v>21</v>
      </c>
      <c r="J39" s="35" t="s">
        <v>1100</v>
      </c>
      <c r="K39" s="55">
        <v>1035</v>
      </c>
      <c r="L39" s="55" t="s">
        <v>34</v>
      </c>
      <c r="M39" s="28" t="s">
        <v>4337</v>
      </c>
      <c r="N39" s="28" t="s">
        <v>468</v>
      </c>
      <c r="O39" s="47"/>
      <c r="P39" s="28">
        <f t="shared" si="1"/>
        <v>41</v>
      </c>
    </row>
    <row r="40" spans="1:16" s="28" customFormat="1" x14ac:dyDescent="0.25">
      <c r="A40" s="28" t="s">
        <v>4038</v>
      </c>
      <c r="C40" s="41" t="s">
        <v>4039</v>
      </c>
      <c r="E40" s="42">
        <v>46081</v>
      </c>
      <c r="F40" s="55" t="s">
        <v>3899</v>
      </c>
      <c r="G40" s="28">
        <v>16.170000000000002</v>
      </c>
      <c r="H40" s="28" t="s">
        <v>227</v>
      </c>
      <c r="I40" s="28" t="s">
        <v>16</v>
      </c>
      <c r="J40" s="41" t="s">
        <v>232</v>
      </c>
      <c r="K40" s="55">
        <v>1008</v>
      </c>
      <c r="L40" s="55" t="s">
        <v>34</v>
      </c>
      <c r="M40" s="28" t="s">
        <v>4337</v>
      </c>
      <c r="N40" s="49" t="s">
        <v>468</v>
      </c>
      <c r="O40" s="47"/>
      <c r="P40" s="28">
        <f t="shared" si="1"/>
        <v>27</v>
      </c>
    </row>
    <row r="41" spans="1:16" s="28" customFormat="1" x14ac:dyDescent="0.25">
      <c r="A41" s="28" t="s">
        <v>4038</v>
      </c>
      <c r="C41" s="41" t="s">
        <v>4039</v>
      </c>
      <c r="E41" s="42">
        <v>46081</v>
      </c>
      <c r="F41" s="55" t="s">
        <v>3899</v>
      </c>
      <c r="G41" s="28">
        <v>2.39</v>
      </c>
      <c r="H41" s="28" t="s">
        <v>227</v>
      </c>
      <c r="I41" s="28" t="s">
        <v>16</v>
      </c>
      <c r="J41" s="41" t="s">
        <v>232</v>
      </c>
      <c r="K41" s="55">
        <v>1008</v>
      </c>
      <c r="L41" s="55" t="s">
        <v>34</v>
      </c>
      <c r="M41" s="28" t="s">
        <v>4337</v>
      </c>
      <c r="N41" s="49" t="s">
        <v>468</v>
      </c>
      <c r="O41" s="47"/>
      <c r="P41" s="28">
        <f t="shared" si="1"/>
        <v>27</v>
      </c>
    </row>
    <row r="42" spans="1:16" s="28" customFormat="1" x14ac:dyDescent="0.25">
      <c r="A42" s="28" t="s">
        <v>4038</v>
      </c>
      <c r="C42" s="41" t="s">
        <v>4039</v>
      </c>
      <c r="E42" s="42">
        <v>46081</v>
      </c>
      <c r="F42" s="61" t="s">
        <v>4608</v>
      </c>
      <c r="G42" s="28">
        <v>-2.39</v>
      </c>
      <c r="H42" s="28" t="s">
        <v>227</v>
      </c>
      <c r="I42" s="28" t="s">
        <v>16</v>
      </c>
      <c r="J42" s="41" t="s">
        <v>227</v>
      </c>
      <c r="K42" s="55">
        <v>1008</v>
      </c>
      <c r="L42" s="55" t="s">
        <v>34</v>
      </c>
      <c r="M42" s="28" t="s">
        <v>4337</v>
      </c>
      <c r="N42" s="49" t="s">
        <v>468</v>
      </c>
      <c r="O42" s="47"/>
      <c r="P42" s="28">
        <f t="shared" si="1"/>
        <v>43</v>
      </c>
    </row>
    <row r="43" spans="1:16" s="28" customFormat="1" x14ac:dyDescent="0.25">
      <c r="A43" s="28" t="s">
        <v>4038</v>
      </c>
      <c r="C43" s="41" t="s">
        <v>4039</v>
      </c>
      <c r="E43" s="42">
        <v>46081</v>
      </c>
      <c r="F43" s="61" t="s">
        <v>4608</v>
      </c>
      <c r="G43" s="28">
        <v>-16.170000000000002</v>
      </c>
      <c r="H43" s="28" t="s">
        <v>227</v>
      </c>
      <c r="I43" s="28" t="s">
        <v>16</v>
      </c>
      <c r="J43" s="41" t="s">
        <v>227</v>
      </c>
      <c r="K43" s="55">
        <v>1008</v>
      </c>
      <c r="L43" s="55" t="s">
        <v>34</v>
      </c>
      <c r="M43" s="28" t="s">
        <v>4337</v>
      </c>
      <c r="N43" s="49" t="s">
        <v>468</v>
      </c>
      <c r="O43" s="47"/>
      <c r="P43" s="28">
        <f t="shared" si="1"/>
        <v>43</v>
      </c>
    </row>
    <row r="44" spans="1:16" s="28" customFormat="1" x14ac:dyDescent="0.25">
      <c r="A44" s="28" t="s">
        <v>4038</v>
      </c>
      <c r="C44" s="41" t="s">
        <v>4039</v>
      </c>
      <c r="E44" s="42">
        <v>46081</v>
      </c>
      <c r="F44" s="28" t="s">
        <v>4077</v>
      </c>
      <c r="G44" s="28">
        <v>884.43</v>
      </c>
      <c r="H44" s="28" t="s">
        <v>227</v>
      </c>
      <c r="I44" s="28" t="s">
        <v>3864</v>
      </c>
      <c r="J44" s="41" t="s">
        <v>826</v>
      </c>
      <c r="K44" s="28">
        <v>3500</v>
      </c>
      <c r="L44" s="28" t="s">
        <v>34</v>
      </c>
      <c r="M44" s="28" t="s">
        <v>4337</v>
      </c>
      <c r="N44" s="28" t="s">
        <v>468</v>
      </c>
      <c r="O44" s="47"/>
      <c r="P44" s="28">
        <f t="shared" si="1"/>
        <v>45</v>
      </c>
    </row>
    <row r="45" spans="1:16" s="28" customFormat="1" x14ac:dyDescent="0.25">
      <c r="A45" s="28" t="s">
        <v>4038</v>
      </c>
      <c r="C45" s="41" t="s">
        <v>4039</v>
      </c>
      <c r="E45" s="42">
        <v>46084</v>
      </c>
      <c r="F45" s="55" t="s">
        <v>4067</v>
      </c>
      <c r="G45" s="28">
        <v>1859.68</v>
      </c>
      <c r="H45" s="28" t="s">
        <v>227</v>
      </c>
      <c r="I45" s="28" t="s">
        <v>3864</v>
      </c>
      <c r="J45" s="41" t="s">
        <v>3621</v>
      </c>
      <c r="K45" s="55">
        <v>3501</v>
      </c>
      <c r="L45" s="55" t="s">
        <v>34</v>
      </c>
      <c r="M45" s="28" t="s">
        <v>4337</v>
      </c>
      <c r="N45" s="28" t="s">
        <v>468</v>
      </c>
      <c r="O45" s="47"/>
      <c r="P45" s="28">
        <f t="shared" si="1"/>
        <v>53</v>
      </c>
    </row>
    <row r="46" spans="1:16" s="28" customFormat="1" x14ac:dyDescent="0.25">
      <c r="A46" s="28" t="s">
        <v>4038</v>
      </c>
      <c r="C46" s="41" t="s">
        <v>4039</v>
      </c>
      <c r="E46" s="42">
        <v>46084</v>
      </c>
      <c r="F46" s="55" t="s">
        <v>4068</v>
      </c>
      <c r="G46" s="28">
        <v>396.1</v>
      </c>
      <c r="H46" s="28" t="s">
        <v>227</v>
      </c>
      <c r="I46" s="55" t="s">
        <v>3594</v>
      </c>
      <c r="J46" s="41" t="s">
        <v>601</v>
      </c>
      <c r="K46" s="55">
        <v>3501</v>
      </c>
      <c r="L46" s="55" t="s">
        <v>34</v>
      </c>
      <c r="M46" s="28" t="s">
        <v>4337</v>
      </c>
      <c r="N46" s="28" t="s">
        <v>468</v>
      </c>
      <c r="O46" s="47"/>
      <c r="P46" s="28">
        <f t="shared" si="1"/>
        <v>50</v>
      </c>
    </row>
    <row r="47" spans="1:16" s="28" customFormat="1" x14ac:dyDescent="0.25">
      <c r="A47" s="28" t="s">
        <v>4038</v>
      </c>
      <c r="C47" s="41" t="s">
        <v>4039</v>
      </c>
      <c r="E47" s="42">
        <v>46084</v>
      </c>
      <c r="F47" s="28" t="s">
        <v>4690</v>
      </c>
      <c r="G47" s="28">
        <v>1181.8</v>
      </c>
      <c r="H47" s="28" t="s">
        <v>227</v>
      </c>
      <c r="I47" s="28" t="s">
        <v>3594</v>
      </c>
      <c r="J47" s="41" t="s">
        <v>41</v>
      </c>
      <c r="K47" s="28">
        <v>3500</v>
      </c>
      <c r="L47" s="28" t="s">
        <v>34</v>
      </c>
      <c r="M47" s="28" t="s">
        <v>4337</v>
      </c>
      <c r="N47" s="28" t="s">
        <v>468</v>
      </c>
      <c r="O47" s="47"/>
      <c r="P47" s="28">
        <f t="shared" si="1"/>
        <v>43</v>
      </c>
    </row>
    <row r="48" spans="1:16" s="28" customFormat="1" x14ac:dyDescent="0.25">
      <c r="A48" s="28" t="s">
        <v>4038</v>
      </c>
      <c r="C48" s="41" t="s">
        <v>4039</v>
      </c>
      <c r="E48" s="42">
        <v>46084</v>
      </c>
      <c r="F48" s="28" t="s">
        <v>4691</v>
      </c>
      <c r="G48" s="28">
        <v>30</v>
      </c>
      <c r="H48" s="28" t="s">
        <v>227</v>
      </c>
      <c r="I48" s="28" t="s">
        <v>3594</v>
      </c>
      <c r="J48" s="41" t="s">
        <v>790</v>
      </c>
      <c r="K48" s="28">
        <v>3500</v>
      </c>
      <c r="L48" s="28" t="s">
        <v>34</v>
      </c>
      <c r="M48" s="28" t="s">
        <v>4337</v>
      </c>
      <c r="N48" s="28" t="s">
        <v>468</v>
      </c>
      <c r="O48" s="47"/>
      <c r="P48" s="28">
        <f t="shared" si="1"/>
        <v>52</v>
      </c>
    </row>
    <row r="49" spans="1:16" s="28" customFormat="1" ht="60" x14ac:dyDescent="0.25">
      <c r="A49" s="28" t="s">
        <v>4038</v>
      </c>
      <c r="C49" s="41" t="s">
        <v>4039</v>
      </c>
      <c r="E49" s="42">
        <v>46084</v>
      </c>
      <c r="F49" s="61" t="s">
        <v>4870</v>
      </c>
      <c r="G49" s="28">
        <v>503.4</v>
      </c>
      <c r="H49" s="28" t="s">
        <v>227</v>
      </c>
      <c r="I49" s="55" t="s">
        <v>3594</v>
      </c>
      <c r="J49" s="41" t="s">
        <v>41</v>
      </c>
      <c r="K49" s="55">
        <v>3399</v>
      </c>
      <c r="L49" s="55" t="s">
        <v>34</v>
      </c>
      <c r="M49" s="28" t="s">
        <v>4337</v>
      </c>
      <c r="N49" s="28" t="s">
        <v>468</v>
      </c>
      <c r="O49" s="47" t="s">
        <v>4869</v>
      </c>
      <c r="P49" s="28">
        <f t="shared" si="1"/>
        <v>44</v>
      </c>
    </row>
    <row r="50" spans="1:16" s="28" customFormat="1" x14ac:dyDescent="0.25">
      <c r="A50" s="28" t="s">
        <v>4038</v>
      </c>
      <c r="C50" s="41" t="s">
        <v>4039</v>
      </c>
      <c r="E50" s="42">
        <v>46084</v>
      </c>
      <c r="F50" s="61" t="s">
        <v>4692</v>
      </c>
      <c r="G50" s="28">
        <v>30</v>
      </c>
      <c r="H50" s="28" t="s">
        <v>227</v>
      </c>
      <c r="I50" s="55" t="s">
        <v>3594</v>
      </c>
      <c r="J50" s="41" t="s">
        <v>790</v>
      </c>
      <c r="K50" s="55">
        <v>3501</v>
      </c>
      <c r="L50" s="55" t="s">
        <v>34</v>
      </c>
      <c r="M50" s="28" t="s">
        <v>4337</v>
      </c>
      <c r="N50" s="28" t="s">
        <v>468</v>
      </c>
      <c r="O50" s="47"/>
      <c r="P50" s="28">
        <f t="shared" si="1"/>
        <v>56</v>
      </c>
    </row>
    <row r="51" spans="1:16" s="28" customFormat="1" ht="60" x14ac:dyDescent="0.25">
      <c r="A51" s="28" t="s">
        <v>4038</v>
      </c>
      <c r="C51" s="41" t="s">
        <v>4039</v>
      </c>
      <c r="E51" s="42">
        <v>46084</v>
      </c>
      <c r="F51" s="61" t="s">
        <v>4871</v>
      </c>
      <c r="G51" s="28">
        <v>30</v>
      </c>
      <c r="H51" s="28" t="s">
        <v>227</v>
      </c>
      <c r="I51" s="55" t="s">
        <v>3594</v>
      </c>
      <c r="J51" s="41" t="s">
        <v>790</v>
      </c>
      <c r="K51" s="55">
        <v>3399</v>
      </c>
      <c r="L51" s="55" t="s">
        <v>34</v>
      </c>
      <c r="M51" s="28" t="s">
        <v>4337</v>
      </c>
      <c r="N51" s="28" t="s">
        <v>468</v>
      </c>
      <c r="O51" s="47" t="s">
        <v>4869</v>
      </c>
      <c r="P51" s="28">
        <f t="shared" si="1"/>
        <v>53</v>
      </c>
    </row>
    <row r="52" spans="1:16" s="28" customFormat="1" ht="60" x14ac:dyDescent="0.25">
      <c r="A52" s="28" t="s">
        <v>4038</v>
      </c>
      <c r="C52" s="41" t="s">
        <v>4039</v>
      </c>
      <c r="E52" s="42">
        <v>46084</v>
      </c>
      <c r="F52" s="61" t="s">
        <v>4872</v>
      </c>
      <c r="G52" s="55">
        <v>490.04</v>
      </c>
      <c r="H52" s="55" t="s">
        <v>227</v>
      </c>
      <c r="I52" s="55" t="s">
        <v>3864</v>
      </c>
      <c r="J52" s="35" t="s">
        <v>826</v>
      </c>
      <c r="K52" s="55">
        <v>3399</v>
      </c>
      <c r="L52" s="55" t="s">
        <v>34</v>
      </c>
      <c r="M52" s="28" t="s">
        <v>4337</v>
      </c>
      <c r="N52" s="28" t="s">
        <v>468</v>
      </c>
      <c r="O52" s="47" t="s">
        <v>4873</v>
      </c>
      <c r="P52" s="28">
        <f t="shared" si="1"/>
        <v>49</v>
      </c>
    </row>
    <row r="53" spans="1:16" s="28" customFormat="1" x14ac:dyDescent="0.25">
      <c r="A53" s="28" t="s">
        <v>4038</v>
      </c>
      <c r="C53" s="41" t="s">
        <v>4039</v>
      </c>
      <c r="E53" s="42">
        <v>46085</v>
      </c>
      <c r="F53" s="61" t="s">
        <v>4608</v>
      </c>
      <c r="G53" s="28">
        <v>-3.43</v>
      </c>
      <c r="H53" s="28" t="s">
        <v>227</v>
      </c>
      <c r="I53" s="43" t="s">
        <v>16</v>
      </c>
      <c r="J53" s="41" t="s">
        <v>227</v>
      </c>
      <c r="K53" s="55">
        <v>1008</v>
      </c>
      <c r="L53" s="55" t="s">
        <v>34</v>
      </c>
      <c r="M53" s="28" t="s">
        <v>4337</v>
      </c>
      <c r="N53" s="49" t="s">
        <v>468</v>
      </c>
      <c r="O53" s="48" t="s">
        <v>4766</v>
      </c>
      <c r="P53" s="28">
        <f t="shared" si="1"/>
        <v>43</v>
      </c>
    </row>
    <row r="54" spans="1:16" s="28" customFormat="1" x14ac:dyDescent="0.25">
      <c r="A54" s="28" t="s">
        <v>4038</v>
      </c>
      <c r="C54" s="41" t="s">
        <v>4039</v>
      </c>
      <c r="E54" s="42">
        <v>46085</v>
      </c>
      <c r="F54" s="55" t="s">
        <v>3899</v>
      </c>
      <c r="G54" s="28">
        <v>3.43</v>
      </c>
      <c r="H54" s="28" t="s">
        <v>227</v>
      </c>
      <c r="I54" s="28" t="s">
        <v>16</v>
      </c>
      <c r="J54" s="41" t="s">
        <v>232</v>
      </c>
      <c r="K54" s="55">
        <v>1008</v>
      </c>
      <c r="L54" s="55" t="s">
        <v>34</v>
      </c>
      <c r="M54" s="28" t="s">
        <v>4337</v>
      </c>
      <c r="N54" s="49" t="s">
        <v>468</v>
      </c>
      <c r="O54" s="47"/>
      <c r="P54" s="28">
        <f t="shared" si="1"/>
        <v>27</v>
      </c>
    </row>
    <row r="55" spans="1:16" s="28" customFormat="1" x14ac:dyDescent="0.25">
      <c r="A55" s="28" t="s">
        <v>4038</v>
      </c>
      <c r="C55" s="41" t="s">
        <v>4039</v>
      </c>
      <c r="E55" s="42">
        <v>46086</v>
      </c>
      <c r="F55" s="55" t="s">
        <v>3899</v>
      </c>
      <c r="G55" s="28">
        <v>5.73</v>
      </c>
      <c r="H55" s="28" t="s">
        <v>227</v>
      </c>
      <c r="I55" s="28" t="s">
        <v>16</v>
      </c>
      <c r="J55" s="41" t="s">
        <v>232</v>
      </c>
      <c r="K55" s="55">
        <v>1008</v>
      </c>
      <c r="L55" s="55" t="s">
        <v>34</v>
      </c>
      <c r="M55" s="28" t="s">
        <v>4337</v>
      </c>
      <c r="N55" s="49" t="s">
        <v>468</v>
      </c>
      <c r="O55" s="47"/>
      <c r="P55" s="28">
        <f t="shared" si="1"/>
        <v>27</v>
      </c>
    </row>
    <row r="56" spans="1:16" s="28" customFormat="1" x14ac:dyDescent="0.25">
      <c r="A56" s="28" t="s">
        <v>4038</v>
      </c>
      <c r="C56" s="41" t="s">
        <v>4039</v>
      </c>
      <c r="E56" s="42">
        <v>46086</v>
      </c>
      <c r="F56" s="61" t="s">
        <v>4608</v>
      </c>
      <c r="G56" s="28">
        <v>-5.73</v>
      </c>
      <c r="H56" s="28" t="s">
        <v>227</v>
      </c>
      <c r="I56" s="28" t="s">
        <v>16</v>
      </c>
      <c r="J56" s="41" t="s">
        <v>227</v>
      </c>
      <c r="K56" s="55">
        <v>1008</v>
      </c>
      <c r="L56" s="55" t="s">
        <v>34</v>
      </c>
      <c r="M56" s="28" t="s">
        <v>4337</v>
      </c>
      <c r="N56" s="49" t="s">
        <v>468</v>
      </c>
      <c r="O56" s="47"/>
      <c r="P56" s="28">
        <f t="shared" si="1"/>
        <v>43</v>
      </c>
    </row>
    <row r="57" spans="1:16" s="28" customFormat="1" x14ac:dyDescent="0.25">
      <c r="A57" s="28" t="s">
        <v>4038</v>
      </c>
      <c r="C57" s="41" t="s">
        <v>4039</v>
      </c>
      <c r="E57" s="42">
        <v>46087</v>
      </c>
      <c r="F57" s="61" t="s">
        <v>4608</v>
      </c>
      <c r="G57" s="28">
        <v>-2.0499999999999998</v>
      </c>
      <c r="H57" s="28" t="s">
        <v>227</v>
      </c>
      <c r="I57" s="28" t="s">
        <v>16</v>
      </c>
      <c r="J57" s="41" t="s">
        <v>227</v>
      </c>
      <c r="K57" s="55">
        <v>1008</v>
      </c>
      <c r="L57" s="55" t="s">
        <v>34</v>
      </c>
      <c r="M57" s="28" t="s">
        <v>4337</v>
      </c>
      <c r="N57" s="49" t="s">
        <v>468</v>
      </c>
      <c r="O57" s="47"/>
      <c r="P57" s="28">
        <f t="shared" si="1"/>
        <v>43</v>
      </c>
    </row>
    <row r="58" spans="1:16" s="28" customFormat="1" x14ac:dyDescent="0.25">
      <c r="A58" s="28" t="s">
        <v>4038</v>
      </c>
      <c r="C58" s="41" t="s">
        <v>4039</v>
      </c>
      <c r="E58" s="42">
        <v>46087</v>
      </c>
      <c r="F58" s="55" t="s">
        <v>3899</v>
      </c>
      <c r="G58" s="28">
        <v>3.26</v>
      </c>
      <c r="H58" s="28" t="s">
        <v>227</v>
      </c>
      <c r="I58" s="28" t="s">
        <v>16</v>
      </c>
      <c r="J58" s="41" t="s">
        <v>232</v>
      </c>
      <c r="K58" s="55">
        <v>1008</v>
      </c>
      <c r="L58" s="55" t="s">
        <v>34</v>
      </c>
      <c r="M58" s="28" t="s">
        <v>4337</v>
      </c>
      <c r="N58" s="49" t="s">
        <v>468</v>
      </c>
      <c r="O58" s="47"/>
      <c r="P58" s="28">
        <f t="shared" si="1"/>
        <v>27</v>
      </c>
    </row>
    <row r="59" spans="1:16" s="28" customFormat="1" x14ac:dyDescent="0.25">
      <c r="A59" s="28" t="s">
        <v>3959</v>
      </c>
      <c r="B59" s="28" t="s">
        <v>3960</v>
      </c>
      <c r="C59" s="41" t="s">
        <v>3961</v>
      </c>
      <c r="E59" s="42">
        <v>46064</v>
      </c>
      <c r="F59" s="43" t="s">
        <v>4741</v>
      </c>
      <c r="G59" s="28">
        <v>20.239999999999998</v>
      </c>
      <c r="H59" s="28" t="s">
        <v>227</v>
      </c>
      <c r="I59" s="28" t="s">
        <v>16</v>
      </c>
      <c r="J59" s="41" t="s">
        <v>3185</v>
      </c>
      <c r="K59" s="28">
        <v>3500</v>
      </c>
      <c r="L59" s="28" t="s">
        <v>34</v>
      </c>
      <c r="M59" s="28" t="s">
        <v>4337</v>
      </c>
      <c r="N59" s="28" t="s">
        <v>80</v>
      </c>
      <c r="O59" s="47" t="s">
        <v>4693</v>
      </c>
      <c r="P59" s="28">
        <f t="shared" si="1"/>
        <v>36</v>
      </c>
    </row>
    <row r="60" spans="1:16" s="28" customFormat="1" x14ac:dyDescent="0.25">
      <c r="A60" s="28" t="s">
        <v>3959</v>
      </c>
      <c r="B60" s="28" t="s">
        <v>3960</v>
      </c>
      <c r="C60" s="41" t="s">
        <v>3961</v>
      </c>
      <c r="E60" s="42">
        <v>46072</v>
      </c>
      <c r="F60" s="28" t="s">
        <v>3840</v>
      </c>
      <c r="G60" s="28">
        <v>22.33</v>
      </c>
      <c r="H60" s="28" t="s">
        <v>227</v>
      </c>
      <c r="I60" s="28" t="s">
        <v>16</v>
      </c>
      <c r="J60" s="45" t="s">
        <v>236</v>
      </c>
      <c r="K60" s="28">
        <v>3500</v>
      </c>
      <c r="L60" s="28" t="s">
        <v>34</v>
      </c>
      <c r="M60" s="28" t="s">
        <v>4337</v>
      </c>
      <c r="N60" s="28" t="s">
        <v>80</v>
      </c>
      <c r="O60" s="47"/>
      <c r="P60" s="28">
        <f t="shared" si="1"/>
        <v>34</v>
      </c>
    </row>
    <row r="61" spans="1:16" s="28" customFormat="1" ht="60" x14ac:dyDescent="0.25">
      <c r="A61" s="28" t="s">
        <v>3959</v>
      </c>
      <c r="B61" s="28" t="s">
        <v>3960</v>
      </c>
      <c r="C61" s="41" t="s">
        <v>3961</v>
      </c>
      <c r="E61" s="42">
        <v>46075</v>
      </c>
      <c r="F61" s="61" t="s">
        <v>4694</v>
      </c>
      <c r="G61" s="55">
        <v>1729.4</v>
      </c>
      <c r="H61" s="55" t="s">
        <v>227</v>
      </c>
      <c r="I61" s="55" t="s">
        <v>3594</v>
      </c>
      <c r="J61" s="35" t="s">
        <v>41</v>
      </c>
      <c r="K61" s="61">
        <v>1035</v>
      </c>
      <c r="L61" s="55" t="s">
        <v>34</v>
      </c>
      <c r="M61" s="28" t="s">
        <v>4337</v>
      </c>
      <c r="N61" s="28" t="s">
        <v>80</v>
      </c>
      <c r="O61" s="47" t="s">
        <v>4762</v>
      </c>
      <c r="P61" s="28">
        <f t="shared" si="1"/>
        <v>37</v>
      </c>
    </row>
    <row r="62" spans="1:16" s="28" customFormat="1" x14ac:dyDescent="0.25">
      <c r="A62" s="28" t="s">
        <v>3959</v>
      </c>
      <c r="B62" s="28" t="s">
        <v>3960</v>
      </c>
      <c r="C62" s="41" t="s">
        <v>3961</v>
      </c>
      <c r="E62" s="42">
        <v>46075</v>
      </c>
      <c r="F62" s="61" t="s">
        <v>4695</v>
      </c>
      <c r="G62" s="55">
        <v>2998.41</v>
      </c>
      <c r="H62" s="55" t="s">
        <v>227</v>
      </c>
      <c r="I62" s="55" t="s">
        <v>3594</v>
      </c>
      <c r="J62" s="35" t="s">
        <v>41</v>
      </c>
      <c r="K62" s="55">
        <v>1035</v>
      </c>
      <c r="L62" s="55" t="s">
        <v>34</v>
      </c>
      <c r="M62" s="28" t="s">
        <v>4337</v>
      </c>
      <c r="N62" s="28" t="s">
        <v>80</v>
      </c>
      <c r="O62" s="47"/>
      <c r="P62" s="28">
        <f t="shared" si="1"/>
        <v>37</v>
      </c>
    </row>
    <row r="63" spans="1:16" s="28" customFormat="1" x14ac:dyDescent="0.25">
      <c r="A63" s="28" t="s">
        <v>3959</v>
      </c>
      <c r="B63" s="28" t="s">
        <v>3960</v>
      </c>
      <c r="C63" s="41" t="s">
        <v>3961</v>
      </c>
      <c r="E63" s="42">
        <v>46075</v>
      </c>
      <c r="F63" s="61" t="s">
        <v>4696</v>
      </c>
      <c r="G63" s="55">
        <v>30</v>
      </c>
      <c r="H63" s="55" t="s">
        <v>227</v>
      </c>
      <c r="I63" s="55" t="s">
        <v>3594</v>
      </c>
      <c r="J63" s="35" t="s">
        <v>790</v>
      </c>
      <c r="K63" s="55">
        <v>1035</v>
      </c>
      <c r="L63" s="55" t="s">
        <v>34</v>
      </c>
      <c r="M63" s="28" t="s">
        <v>4337</v>
      </c>
      <c r="N63" s="28" t="s">
        <v>80</v>
      </c>
      <c r="O63" s="47"/>
      <c r="P63" s="28">
        <f t="shared" si="1"/>
        <v>49</v>
      </c>
    </row>
    <row r="64" spans="1:16" s="28" customFormat="1" x14ac:dyDescent="0.25">
      <c r="A64" s="28" t="s">
        <v>3959</v>
      </c>
      <c r="B64" s="28" t="s">
        <v>3960</v>
      </c>
      <c r="C64" s="41" t="s">
        <v>3961</v>
      </c>
      <c r="E64" s="42">
        <v>46075</v>
      </c>
      <c r="F64" s="61" t="s">
        <v>4694</v>
      </c>
      <c r="G64" s="55">
        <v>1472.68</v>
      </c>
      <c r="H64" s="55" t="s">
        <v>227</v>
      </c>
      <c r="I64" s="55" t="s">
        <v>3594</v>
      </c>
      <c r="J64" s="35" t="s">
        <v>29</v>
      </c>
      <c r="K64" s="55">
        <v>1035</v>
      </c>
      <c r="L64" s="55" t="s">
        <v>34</v>
      </c>
      <c r="M64" s="28" t="s">
        <v>4337</v>
      </c>
      <c r="N64" s="28" t="s">
        <v>80</v>
      </c>
      <c r="O64" s="47"/>
      <c r="P64" s="28">
        <f t="shared" si="1"/>
        <v>38</v>
      </c>
    </row>
    <row r="65" spans="1:16" s="28" customFormat="1" ht="45" x14ac:dyDescent="0.25">
      <c r="A65" s="28" t="s">
        <v>3959</v>
      </c>
      <c r="B65" s="28" t="s">
        <v>3960</v>
      </c>
      <c r="C65" s="41" t="s">
        <v>3961</v>
      </c>
      <c r="E65" s="42">
        <v>46076</v>
      </c>
      <c r="F65" s="61" t="s">
        <v>4514</v>
      </c>
      <c r="G65" s="55">
        <v>-1729.4</v>
      </c>
      <c r="H65" s="55" t="s">
        <v>227</v>
      </c>
      <c r="I65" s="55" t="s">
        <v>3594</v>
      </c>
      <c r="J65" s="35" t="s">
        <v>41</v>
      </c>
      <c r="K65" s="61">
        <v>1035</v>
      </c>
      <c r="L65" s="55" t="s">
        <v>34</v>
      </c>
      <c r="M65" s="28" t="s">
        <v>4337</v>
      </c>
      <c r="N65" s="28" t="s">
        <v>80</v>
      </c>
      <c r="O65" s="47" t="s">
        <v>4763</v>
      </c>
      <c r="P65" s="28">
        <f t="shared" si="1"/>
        <v>44</v>
      </c>
    </row>
    <row r="66" spans="1:16" s="28" customFormat="1" ht="60" x14ac:dyDescent="0.25">
      <c r="A66" s="28" t="s">
        <v>3959</v>
      </c>
      <c r="B66" s="28" t="s">
        <v>3960</v>
      </c>
      <c r="C66" s="41" t="s">
        <v>3961</v>
      </c>
      <c r="E66" s="42">
        <v>46076</v>
      </c>
      <c r="F66" s="61" t="s">
        <v>4703</v>
      </c>
      <c r="G66" s="55">
        <v>-2428.4899999999998</v>
      </c>
      <c r="H66" s="55" t="s">
        <v>227</v>
      </c>
      <c r="I66" s="55" t="s">
        <v>3594</v>
      </c>
      <c r="J66" s="35" t="s">
        <v>41</v>
      </c>
      <c r="K66" s="55">
        <v>1035</v>
      </c>
      <c r="L66" s="55" t="s">
        <v>34</v>
      </c>
      <c r="M66" s="28" t="s">
        <v>4337</v>
      </c>
      <c r="N66" s="28" t="s">
        <v>80</v>
      </c>
      <c r="O66" s="47" t="s">
        <v>4704</v>
      </c>
      <c r="P66" s="28">
        <f t="shared" ref="P66:P97" si="2">LEN(F66&amp;J66)+12</f>
        <v>56</v>
      </c>
    </row>
    <row r="67" spans="1:16" s="28" customFormat="1" x14ac:dyDescent="0.25">
      <c r="A67" s="28" t="s">
        <v>3959</v>
      </c>
      <c r="B67" s="28" t="s">
        <v>3960</v>
      </c>
      <c r="C67" s="41" t="s">
        <v>3961</v>
      </c>
      <c r="E67" s="42">
        <v>46077</v>
      </c>
      <c r="F67" s="43" t="s">
        <v>4700</v>
      </c>
      <c r="G67" s="28">
        <v>14.88</v>
      </c>
      <c r="H67" s="28" t="s">
        <v>227</v>
      </c>
      <c r="I67" s="28" t="s">
        <v>16</v>
      </c>
      <c r="J67" s="41" t="s">
        <v>3185</v>
      </c>
      <c r="K67" s="28">
        <v>3500</v>
      </c>
      <c r="L67" s="28" t="s">
        <v>34</v>
      </c>
      <c r="M67" s="28" t="s">
        <v>4337</v>
      </c>
      <c r="N67" s="28" t="s">
        <v>80</v>
      </c>
      <c r="O67" s="47"/>
      <c r="P67" s="28">
        <f t="shared" si="2"/>
        <v>47</v>
      </c>
    </row>
    <row r="68" spans="1:16" s="28" customFormat="1" x14ac:dyDescent="0.25">
      <c r="A68" s="28" t="s">
        <v>3959</v>
      </c>
      <c r="B68" s="28" t="s">
        <v>3960</v>
      </c>
      <c r="C68" s="41" t="s">
        <v>3961</v>
      </c>
      <c r="E68" s="42">
        <v>46078</v>
      </c>
      <c r="F68" s="28" t="s">
        <v>3840</v>
      </c>
      <c r="G68" s="28">
        <v>22.33</v>
      </c>
      <c r="H68" s="28" t="s">
        <v>227</v>
      </c>
      <c r="I68" s="28" t="s">
        <v>16</v>
      </c>
      <c r="J68" s="45" t="s">
        <v>236</v>
      </c>
      <c r="K68" s="28">
        <v>3500</v>
      </c>
      <c r="L68" s="28" t="s">
        <v>34</v>
      </c>
      <c r="M68" s="28" t="s">
        <v>4337</v>
      </c>
      <c r="N68" s="28" t="s">
        <v>80</v>
      </c>
      <c r="O68" s="47"/>
      <c r="P68" s="28">
        <f t="shared" si="2"/>
        <v>34</v>
      </c>
    </row>
    <row r="69" spans="1:16" s="28" customFormat="1" x14ac:dyDescent="0.25">
      <c r="A69" s="28" t="s">
        <v>3959</v>
      </c>
      <c r="B69" s="28" t="s">
        <v>3960</v>
      </c>
      <c r="C69" s="41" t="s">
        <v>3961</v>
      </c>
      <c r="E69" s="42">
        <v>46078</v>
      </c>
      <c r="F69" s="43" t="s">
        <v>4701</v>
      </c>
      <c r="G69" s="28">
        <v>704.06</v>
      </c>
      <c r="H69" s="28" t="s">
        <v>227</v>
      </c>
      <c r="I69" s="28" t="s">
        <v>16</v>
      </c>
      <c r="J69" s="41" t="s">
        <v>583</v>
      </c>
      <c r="K69" s="28">
        <v>3500</v>
      </c>
      <c r="L69" s="28" t="s">
        <v>34</v>
      </c>
      <c r="M69" s="28" t="s">
        <v>4337</v>
      </c>
      <c r="N69" s="28" t="s">
        <v>80</v>
      </c>
      <c r="O69" s="47"/>
      <c r="P69" s="44">
        <f t="shared" si="2"/>
        <v>57</v>
      </c>
    </row>
    <row r="70" spans="1:16" s="28" customFormat="1" x14ac:dyDescent="0.25">
      <c r="A70" s="28" t="s">
        <v>3959</v>
      </c>
      <c r="B70" s="28" t="s">
        <v>3960</v>
      </c>
      <c r="C70" s="41" t="s">
        <v>3961</v>
      </c>
      <c r="E70" s="42">
        <v>46078</v>
      </c>
      <c r="F70" s="43" t="s">
        <v>4702</v>
      </c>
      <c r="G70" s="28">
        <v>19.739999999999998</v>
      </c>
      <c r="H70" s="28" t="s">
        <v>227</v>
      </c>
      <c r="I70" s="28" t="s">
        <v>21</v>
      </c>
      <c r="J70" s="41" t="s">
        <v>709</v>
      </c>
      <c r="K70" s="28">
        <v>3500</v>
      </c>
      <c r="L70" s="28" t="s">
        <v>34</v>
      </c>
      <c r="M70" s="28" t="s">
        <v>4337</v>
      </c>
      <c r="N70" s="28" t="s">
        <v>80</v>
      </c>
      <c r="O70" s="47"/>
      <c r="P70" s="28">
        <f t="shared" si="2"/>
        <v>60</v>
      </c>
    </row>
    <row r="71" spans="1:16" s="28" customFormat="1" x14ac:dyDescent="0.25">
      <c r="A71" s="28" t="s">
        <v>3959</v>
      </c>
      <c r="B71" s="28" t="s">
        <v>3960</v>
      </c>
      <c r="C71" s="41" t="s">
        <v>3961</v>
      </c>
      <c r="E71" s="42">
        <v>46083</v>
      </c>
      <c r="F71" s="28" t="s">
        <v>3840</v>
      </c>
      <c r="G71" s="28">
        <v>23.41</v>
      </c>
      <c r="H71" s="28" t="s">
        <v>227</v>
      </c>
      <c r="I71" s="28" t="s">
        <v>16</v>
      </c>
      <c r="J71" s="41" t="s">
        <v>242</v>
      </c>
      <c r="K71" s="28">
        <v>3500</v>
      </c>
      <c r="L71" s="28" t="s">
        <v>34</v>
      </c>
      <c r="M71" s="28" t="s">
        <v>4337</v>
      </c>
      <c r="N71" s="28" t="s">
        <v>80</v>
      </c>
      <c r="O71" s="47"/>
      <c r="P71" s="28">
        <f t="shared" si="2"/>
        <v>35</v>
      </c>
    </row>
    <row r="72" spans="1:16" s="28" customFormat="1" x14ac:dyDescent="0.25">
      <c r="A72" s="28" t="s">
        <v>3972</v>
      </c>
      <c r="B72" s="28" t="s">
        <v>3973</v>
      </c>
      <c r="C72" s="41" t="s">
        <v>3974</v>
      </c>
      <c r="E72" s="42">
        <v>46057</v>
      </c>
      <c r="F72" s="43" t="s">
        <v>4706</v>
      </c>
      <c r="G72" s="28">
        <v>383.4</v>
      </c>
      <c r="H72" s="28" t="s">
        <v>227</v>
      </c>
      <c r="I72" s="55" t="s">
        <v>3594</v>
      </c>
      <c r="J72" s="41" t="s">
        <v>41</v>
      </c>
      <c r="K72" s="28">
        <v>3353</v>
      </c>
      <c r="L72" s="28" t="s">
        <v>34</v>
      </c>
      <c r="M72" s="28" t="s">
        <v>4337</v>
      </c>
      <c r="N72" s="28" t="s">
        <v>500</v>
      </c>
      <c r="O72" s="47"/>
      <c r="P72" s="28">
        <f t="shared" si="2"/>
        <v>43</v>
      </c>
    </row>
    <row r="73" spans="1:16" s="28" customFormat="1" x14ac:dyDescent="0.25">
      <c r="A73" s="28" t="s">
        <v>3972</v>
      </c>
      <c r="B73" s="28" t="s">
        <v>3973</v>
      </c>
      <c r="C73" s="41" t="s">
        <v>3974</v>
      </c>
      <c r="E73" s="42">
        <v>46057</v>
      </c>
      <c r="F73" s="61" t="s">
        <v>4820</v>
      </c>
      <c r="G73" s="28">
        <v>30</v>
      </c>
      <c r="H73" s="28" t="s">
        <v>227</v>
      </c>
      <c r="I73" s="55" t="s">
        <v>3594</v>
      </c>
      <c r="J73" s="41" t="s">
        <v>790</v>
      </c>
      <c r="K73" s="55">
        <v>3285</v>
      </c>
      <c r="L73" s="55" t="s">
        <v>34</v>
      </c>
      <c r="M73" s="28" t="s">
        <v>4337</v>
      </c>
      <c r="N73" s="28" t="s">
        <v>500</v>
      </c>
      <c r="O73" s="47"/>
      <c r="P73" s="28">
        <f t="shared" si="2"/>
        <v>55</v>
      </c>
    </row>
    <row r="74" spans="1:16" s="28" customFormat="1" x14ac:dyDescent="0.25">
      <c r="A74" s="28" t="s">
        <v>3972</v>
      </c>
      <c r="B74" s="28" t="s">
        <v>3973</v>
      </c>
      <c r="C74" s="41" t="s">
        <v>3974</v>
      </c>
      <c r="E74" s="42">
        <v>46057</v>
      </c>
      <c r="F74" s="43" t="s">
        <v>4705</v>
      </c>
      <c r="G74" s="28">
        <v>30</v>
      </c>
      <c r="H74" s="28" t="s">
        <v>227</v>
      </c>
      <c r="I74" s="55" t="s">
        <v>3594</v>
      </c>
      <c r="J74" s="41" t="s">
        <v>790</v>
      </c>
      <c r="K74" s="28">
        <v>3353</v>
      </c>
      <c r="L74" s="28" t="s">
        <v>34</v>
      </c>
      <c r="M74" s="28" t="s">
        <v>4337</v>
      </c>
      <c r="N74" s="28" t="s">
        <v>500</v>
      </c>
      <c r="O74" s="47"/>
      <c r="P74" s="28">
        <f t="shared" si="2"/>
        <v>52</v>
      </c>
    </row>
    <row r="75" spans="1:16" s="28" customFormat="1" x14ac:dyDescent="0.25">
      <c r="A75" s="28" t="s">
        <v>3972</v>
      </c>
      <c r="B75" s="28" t="s">
        <v>3973</v>
      </c>
      <c r="C75" s="41" t="s">
        <v>3974</v>
      </c>
      <c r="E75" s="42">
        <v>46057</v>
      </c>
      <c r="F75" s="61" t="s">
        <v>4707</v>
      </c>
      <c r="G75" s="28">
        <v>-363.4</v>
      </c>
      <c r="H75" s="28" t="s">
        <v>227</v>
      </c>
      <c r="I75" s="55" t="s">
        <v>3594</v>
      </c>
      <c r="J75" s="41" t="s">
        <v>29</v>
      </c>
      <c r="K75" s="55">
        <v>3285</v>
      </c>
      <c r="L75" s="55" t="s">
        <v>34</v>
      </c>
      <c r="M75" s="28" t="s">
        <v>4337</v>
      </c>
      <c r="N75" s="28" t="s">
        <v>500</v>
      </c>
      <c r="O75" s="47" t="s">
        <v>4708</v>
      </c>
      <c r="P75" s="28">
        <f t="shared" si="2"/>
        <v>58</v>
      </c>
    </row>
    <row r="76" spans="1:16" s="28" customFormat="1" x14ac:dyDescent="0.25">
      <c r="A76" s="28" t="s">
        <v>3972</v>
      </c>
      <c r="B76" s="28" t="s">
        <v>3973</v>
      </c>
      <c r="C76" s="41" t="s">
        <v>3974</v>
      </c>
      <c r="E76" s="42">
        <v>46058</v>
      </c>
      <c r="F76" s="43" t="s">
        <v>4823</v>
      </c>
      <c r="G76" s="28">
        <v>5.2</v>
      </c>
      <c r="H76" s="28" t="s">
        <v>227</v>
      </c>
      <c r="I76" s="28" t="s">
        <v>21</v>
      </c>
      <c r="J76" s="41" t="s">
        <v>239</v>
      </c>
      <c r="K76" s="43">
        <v>3500</v>
      </c>
      <c r="L76" s="28" t="s">
        <v>34</v>
      </c>
      <c r="M76" s="28" t="s">
        <v>4337</v>
      </c>
      <c r="N76" s="28" t="s">
        <v>500</v>
      </c>
      <c r="O76" s="47" t="s">
        <v>4709</v>
      </c>
      <c r="P76" s="28">
        <f t="shared" si="2"/>
        <v>55</v>
      </c>
    </row>
    <row r="77" spans="1:16" s="28" customFormat="1" x14ac:dyDescent="0.25">
      <c r="A77" s="28" t="s">
        <v>3972</v>
      </c>
      <c r="B77" s="28" t="s">
        <v>3973</v>
      </c>
      <c r="C77" s="41" t="s">
        <v>3974</v>
      </c>
      <c r="E77" s="42">
        <v>46058</v>
      </c>
      <c r="F77" s="28" t="s">
        <v>4710</v>
      </c>
      <c r="G77" s="28">
        <v>8</v>
      </c>
      <c r="H77" s="28" t="s">
        <v>227</v>
      </c>
      <c r="I77" s="28" t="s">
        <v>3922</v>
      </c>
      <c r="J77" s="41" t="s">
        <v>29</v>
      </c>
      <c r="K77" s="28">
        <v>3369</v>
      </c>
      <c r="L77" s="28" t="s">
        <v>34</v>
      </c>
      <c r="M77" s="28" t="s">
        <v>4337</v>
      </c>
      <c r="N77" s="28" t="s">
        <v>500</v>
      </c>
      <c r="O77" s="47"/>
      <c r="P77" s="28">
        <f t="shared" si="2"/>
        <v>47</v>
      </c>
    </row>
    <row r="78" spans="1:16" s="28" customFormat="1" x14ac:dyDescent="0.25">
      <c r="A78" s="28" t="s">
        <v>3972</v>
      </c>
      <c r="B78" s="28" t="s">
        <v>3973</v>
      </c>
      <c r="C78" s="41" t="s">
        <v>3974</v>
      </c>
      <c r="E78" s="42">
        <v>46058</v>
      </c>
      <c r="F78" s="28" t="s">
        <v>3983</v>
      </c>
      <c r="G78" s="28">
        <v>6.67</v>
      </c>
      <c r="H78" s="28" t="s">
        <v>227</v>
      </c>
      <c r="I78" s="28" t="s">
        <v>16</v>
      </c>
      <c r="J78" s="41" t="s">
        <v>4502</v>
      </c>
      <c r="K78" s="28">
        <v>3369</v>
      </c>
      <c r="L78" s="28" t="s">
        <v>34</v>
      </c>
      <c r="M78" s="28" t="s">
        <v>4337</v>
      </c>
      <c r="N78" s="28" t="s">
        <v>500</v>
      </c>
      <c r="O78" s="47"/>
      <c r="P78" s="28">
        <f t="shared" si="2"/>
        <v>43</v>
      </c>
    </row>
    <row r="79" spans="1:16" s="28" customFormat="1" x14ac:dyDescent="0.25">
      <c r="A79" s="28" t="s">
        <v>3972</v>
      </c>
      <c r="B79" s="28" t="s">
        <v>3973</v>
      </c>
      <c r="C79" s="41" t="s">
        <v>3974</v>
      </c>
      <c r="E79" s="42">
        <v>46058</v>
      </c>
      <c r="F79" s="28" t="s">
        <v>3983</v>
      </c>
      <c r="G79" s="28">
        <v>7.36</v>
      </c>
      <c r="H79" s="28" t="s">
        <v>227</v>
      </c>
      <c r="I79" s="28" t="s">
        <v>16</v>
      </c>
      <c r="J79" s="41" t="s">
        <v>1159</v>
      </c>
      <c r="K79" s="28">
        <v>3369</v>
      </c>
      <c r="L79" s="28" t="s">
        <v>34</v>
      </c>
      <c r="M79" s="28" t="s">
        <v>4337</v>
      </c>
      <c r="N79" s="28" t="s">
        <v>500</v>
      </c>
      <c r="O79" s="47"/>
      <c r="P79" s="28">
        <f t="shared" si="2"/>
        <v>51</v>
      </c>
    </row>
    <row r="80" spans="1:16" s="28" customFormat="1" x14ac:dyDescent="0.25">
      <c r="A80" s="28" t="s">
        <v>3972</v>
      </c>
      <c r="B80" s="28" t="s">
        <v>3973</v>
      </c>
      <c r="C80" s="41" t="s">
        <v>3974</v>
      </c>
      <c r="E80" s="42">
        <v>46059</v>
      </c>
      <c r="F80" s="28" t="s">
        <v>3978</v>
      </c>
      <c r="G80" s="28">
        <v>144.97</v>
      </c>
      <c r="H80" s="28" t="s">
        <v>227</v>
      </c>
      <c r="I80" s="28" t="s">
        <v>21</v>
      </c>
      <c r="J80" s="41" t="s">
        <v>239</v>
      </c>
      <c r="K80" s="28">
        <v>3369</v>
      </c>
      <c r="L80" s="28" t="s">
        <v>34</v>
      </c>
      <c r="M80" s="28" t="s">
        <v>4337</v>
      </c>
      <c r="N80" s="28" t="s">
        <v>500</v>
      </c>
      <c r="O80" s="47"/>
      <c r="P80" s="28">
        <f t="shared" si="2"/>
        <v>44</v>
      </c>
    </row>
    <row r="81" spans="1:16" s="28" customFormat="1" x14ac:dyDescent="0.25">
      <c r="A81" s="28" t="s">
        <v>3972</v>
      </c>
      <c r="B81" s="28" t="s">
        <v>3973</v>
      </c>
      <c r="C81" s="41" t="s">
        <v>3974</v>
      </c>
      <c r="E81" s="42">
        <v>46059</v>
      </c>
      <c r="F81" s="28" t="s">
        <v>4710</v>
      </c>
      <c r="G81" s="28">
        <v>8</v>
      </c>
      <c r="H81" s="28" t="s">
        <v>227</v>
      </c>
      <c r="I81" s="28" t="s">
        <v>3922</v>
      </c>
      <c r="J81" s="41" t="s">
        <v>29</v>
      </c>
      <c r="K81" s="28">
        <v>3369</v>
      </c>
      <c r="L81" s="28" t="s">
        <v>34</v>
      </c>
      <c r="M81" s="28" t="s">
        <v>4337</v>
      </c>
      <c r="N81" s="28" t="s">
        <v>500</v>
      </c>
      <c r="O81" s="47"/>
      <c r="P81" s="28">
        <f t="shared" si="2"/>
        <v>47</v>
      </c>
    </row>
    <row r="82" spans="1:16" s="28" customFormat="1" x14ac:dyDescent="0.25">
      <c r="A82" s="28" t="s">
        <v>3972</v>
      </c>
      <c r="B82" s="28" t="s">
        <v>3973</v>
      </c>
      <c r="C82" s="41" t="s">
        <v>3974</v>
      </c>
      <c r="E82" s="42">
        <v>46059</v>
      </c>
      <c r="F82" s="28" t="s">
        <v>3980</v>
      </c>
      <c r="G82" s="28">
        <v>131.78</v>
      </c>
      <c r="H82" s="28" t="s">
        <v>227</v>
      </c>
      <c r="I82" s="28" t="s">
        <v>3864</v>
      </c>
      <c r="J82" s="41" t="s">
        <v>1249</v>
      </c>
      <c r="K82" s="28">
        <v>3369</v>
      </c>
      <c r="L82" s="28" t="s">
        <v>34</v>
      </c>
      <c r="M82" s="28" t="s">
        <v>4337</v>
      </c>
      <c r="N82" s="28" t="s">
        <v>500</v>
      </c>
      <c r="O82" s="47"/>
      <c r="P82" s="28">
        <f t="shared" si="2"/>
        <v>40</v>
      </c>
    </row>
    <row r="83" spans="1:16" s="28" customFormat="1" x14ac:dyDescent="0.25">
      <c r="A83" s="28" t="s">
        <v>3972</v>
      </c>
      <c r="B83" s="28" t="s">
        <v>3973</v>
      </c>
      <c r="C83" s="41" t="s">
        <v>3974</v>
      </c>
      <c r="E83" s="42">
        <v>46062</v>
      </c>
      <c r="F83" s="61" t="s">
        <v>4805</v>
      </c>
      <c r="G83" s="28">
        <v>31.99</v>
      </c>
      <c r="H83" s="28" t="s">
        <v>227</v>
      </c>
      <c r="I83" s="28" t="s">
        <v>21</v>
      </c>
      <c r="J83" s="41" t="s">
        <v>239</v>
      </c>
      <c r="K83" s="55">
        <v>3285</v>
      </c>
      <c r="L83" s="55" t="s">
        <v>34</v>
      </c>
      <c r="M83" s="28" t="s">
        <v>4337</v>
      </c>
      <c r="N83" s="28" t="s">
        <v>500</v>
      </c>
      <c r="O83" s="47"/>
      <c r="P83" s="28">
        <f t="shared" si="2"/>
        <v>36</v>
      </c>
    </row>
    <row r="84" spans="1:16" s="28" customFormat="1" x14ac:dyDescent="0.25">
      <c r="A84" s="28" t="s">
        <v>3972</v>
      </c>
      <c r="B84" s="28" t="s">
        <v>3973</v>
      </c>
      <c r="C84" s="41" t="s">
        <v>3974</v>
      </c>
      <c r="E84" s="42">
        <v>46062</v>
      </c>
      <c r="F84" s="55" t="s">
        <v>3976</v>
      </c>
      <c r="G84" s="28">
        <v>22.65</v>
      </c>
      <c r="H84" s="28" t="s">
        <v>227</v>
      </c>
      <c r="I84" s="28" t="s">
        <v>16</v>
      </c>
      <c r="J84" s="41" t="s">
        <v>2774</v>
      </c>
      <c r="K84" s="55">
        <v>3285</v>
      </c>
      <c r="L84" s="55" t="s">
        <v>34</v>
      </c>
      <c r="M84" s="28" t="s">
        <v>4337</v>
      </c>
      <c r="N84" s="28" t="s">
        <v>500</v>
      </c>
      <c r="O84" s="47"/>
      <c r="P84" s="28">
        <f t="shared" si="2"/>
        <v>49</v>
      </c>
    </row>
    <row r="85" spans="1:16" s="28" customFormat="1" x14ac:dyDescent="0.25">
      <c r="A85" s="28" t="s">
        <v>3972</v>
      </c>
      <c r="B85" s="28" t="s">
        <v>3973</v>
      </c>
      <c r="C85" s="41" t="s">
        <v>3974</v>
      </c>
      <c r="E85" s="42">
        <v>46062</v>
      </c>
      <c r="F85" s="55" t="s">
        <v>3976</v>
      </c>
      <c r="G85" s="28">
        <v>7.64</v>
      </c>
      <c r="H85" s="28" t="s">
        <v>227</v>
      </c>
      <c r="I85" s="28" t="s">
        <v>16</v>
      </c>
      <c r="J85" s="41" t="s">
        <v>1078</v>
      </c>
      <c r="K85" s="55">
        <v>3285</v>
      </c>
      <c r="L85" s="55" t="s">
        <v>34</v>
      </c>
      <c r="M85" s="28" t="s">
        <v>4337</v>
      </c>
      <c r="N85" s="28" t="s">
        <v>500</v>
      </c>
      <c r="O85" s="47"/>
      <c r="P85" s="28">
        <f t="shared" si="2"/>
        <v>49</v>
      </c>
    </row>
    <row r="86" spans="1:16" s="28" customFormat="1" x14ac:dyDescent="0.25">
      <c r="A86" s="28" t="s">
        <v>3972</v>
      </c>
      <c r="B86" s="28" t="s">
        <v>3973</v>
      </c>
      <c r="C86" s="41" t="s">
        <v>3974</v>
      </c>
      <c r="E86" s="42">
        <v>46062</v>
      </c>
      <c r="F86" s="55" t="s">
        <v>3976</v>
      </c>
      <c r="G86" s="28">
        <v>17.899999999999999</v>
      </c>
      <c r="H86" s="28" t="s">
        <v>227</v>
      </c>
      <c r="I86" s="28" t="s">
        <v>16</v>
      </c>
      <c r="J86" s="41" t="s">
        <v>2980</v>
      </c>
      <c r="K86" s="55">
        <v>3285</v>
      </c>
      <c r="L86" s="55" t="s">
        <v>34</v>
      </c>
      <c r="M86" s="28" t="s">
        <v>4337</v>
      </c>
      <c r="N86" s="28" t="s">
        <v>500</v>
      </c>
      <c r="O86" s="47"/>
      <c r="P86" s="28">
        <f t="shared" si="2"/>
        <v>51</v>
      </c>
    </row>
    <row r="87" spans="1:16" s="28" customFormat="1" x14ac:dyDescent="0.25">
      <c r="A87" s="28" t="s">
        <v>3972</v>
      </c>
      <c r="B87" s="28" t="s">
        <v>3973</v>
      </c>
      <c r="C87" s="41" t="s">
        <v>3974</v>
      </c>
      <c r="E87" s="42">
        <v>46062</v>
      </c>
      <c r="F87" s="43" t="s">
        <v>4711</v>
      </c>
      <c r="G87" s="28">
        <v>2746.26</v>
      </c>
      <c r="H87" s="28" t="s">
        <v>227</v>
      </c>
      <c r="I87" s="55" t="s">
        <v>3594</v>
      </c>
      <c r="J87" s="41" t="s">
        <v>29</v>
      </c>
      <c r="K87" s="28">
        <v>3353</v>
      </c>
      <c r="L87" s="28" t="s">
        <v>34</v>
      </c>
      <c r="M87" s="28" t="s">
        <v>4337</v>
      </c>
      <c r="N87" s="28" t="s">
        <v>500</v>
      </c>
      <c r="O87" s="47"/>
      <c r="P87" s="28">
        <f t="shared" si="2"/>
        <v>47</v>
      </c>
    </row>
    <row r="88" spans="1:16" s="28" customFormat="1" x14ac:dyDescent="0.25">
      <c r="A88" s="28" t="s">
        <v>3972</v>
      </c>
      <c r="B88" s="28" t="s">
        <v>3973</v>
      </c>
      <c r="C88" s="41" t="s">
        <v>3974</v>
      </c>
      <c r="E88" s="42">
        <v>46062</v>
      </c>
      <c r="F88" s="61" t="s">
        <v>4714</v>
      </c>
      <c r="G88" s="55">
        <v>2746.27</v>
      </c>
      <c r="H88" s="55" t="s">
        <v>227</v>
      </c>
      <c r="I88" s="55" t="s">
        <v>3594</v>
      </c>
      <c r="J88" s="35" t="s">
        <v>29</v>
      </c>
      <c r="K88" s="55" t="s">
        <v>3991</v>
      </c>
      <c r="L88" s="55" t="s">
        <v>34</v>
      </c>
      <c r="M88" s="28" t="s">
        <v>4337</v>
      </c>
      <c r="N88" s="28" t="s">
        <v>500</v>
      </c>
      <c r="O88" s="47"/>
      <c r="P88" s="28">
        <f t="shared" si="2"/>
        <v>36</v>
      </c>
    </row>
    <row r="89" spans="1:16" s="28" customFormat="1" x14ac:dyDescent="0.25">
      <c r="A89" s="28" t="s">
        <v>3972</v>
      </c>
      <c r="B89" s="28" t="s">
        <v>3973</v>
      </c>
      <c r="C89" s="41" t="s">
        <v>3974</v>
      </c>
      <c r="E89" s="42">
        <v>46062</v>
      </c>
      <c r="F89" s="55" t="s">
        <v>4712</v>
      </c>
      <c r="G89" s="28">
        <v>8</v>
      </c>
      <c r="H89" s="28" t="s">
        <v>227</v>
      </c>
      <c r="I89" s="28" t="s">
        <v>3922</v>
      </c>
      <c r="J89" s="41" t="s">
        <v>29</v>
      </c>
      <c r="K89" s="55">
        <v>3285</v>
      </c>
      <c r="L89" s="55" t="s">
        <v>34</v>
      </c>
      <c r="M89" s="28" t="s">
        <v>4337</v>
      </c>
      <c r="N89" s="28" t="s">
        <v>500</v>
      </c>
      <c r="O89" s="47"/>
      <c r="P89" s="28">
        <f t="shared" si="2"/>
        <v>48</v>
      </c>
    </row>
    <row r="90" spans="1:16" s="28" customFormat="1" x14ac:dyDescent="0.25">
      <c r="A90" s="28" t="s">
        <v>3972</v>
      </c>
      <c r="B90" s="28" t="s">
        <v>3973</v>
      </c>
      <c r="C90" s="41" t="s">
        <v>3974</v>
      </c>
      <c r="E90" s="42">
        <v>46062</v>
      </c>
      <c r="F90" s="43" t="s">
        <v>4739</v>
      </c>
      <c r="G90" s="28">
        <v>22.5</v>
      </c>
      <c r="H90" s="28" t="s">
        <v>227</v>
      </c>
      <c r="I90" s="55" t="s">
        <v>3594</v>
      </c>
      <c r="J90" s="41" t="s">
        <v>790</v>
      </c>
      <c r="K90" s="28">
        <v>3353</v>
      </c>
      <c r="L90" s="28" t="s">
        <v>34</v>
      </c>
      <c r="M90" s="28" t="s">
        <v>4337</v>
      </c>
      <c r="N90" s="28" t="s">
        <v>500</v>
      </c>
      <c r="O90" s="47"/>
      <c r="P90" s="28">
        <f t="shared" si="2"/>
        <v>55</v>
      </c>
    </row>
    <row r="91" spans="1:16" s="28" customFormat="1" x14ac:dyDescent="0.25">
      <c r="A91" s="28" t="s">
        <v>3972</v>
      </c>
      <c r="B91" s="28" t="s">
        <v>3973</v>
      </c>
      <c r="C91" s="41" t="s">
        <v>3974</v>
      </c>
      <c r="E91" s="42">
        <v>46062</v>
      </c>
      <c r="F91" s="55" t="s">
        <v>4713</v>
      </c>
      <c r="G91" s="55">
        <v>22.5</v>
      </c>
      <c r="H91" s="55" t="s">
        <v>227</v>
      </c>
      <c r="I91" s="55" t="s">
        <v>3594</v>
      </c>
      <c r="J91" s="35" t="s">
        <v>790</v>
      </c>
      <c r="K91" s="55" t="s">
        <v>3991</v>
      </c>
      <c r="L91" s="55" t="s">
        <v>34</v>
      </c>
      <c r="M91" s="28" t="s">
        <v>4337</v>
      </c>
      <c r="N91" s="28" t="s">
        <v>500</v>
      </c>
      <c r="O91" s="47"/>
      <c r="P91" s="28">
        <f t="shared" si="2"/>
        <v>44</v>
      </c>
    </row>
    <row r="92" spans="1:16" s="28" customFormat="1" x14ac:dyDescent="0.25">
      <c r="A92" s="28" t="s">
        <v>3972</v>
      </c>
      <c r="B92" s="28" t="s">
        <v>3973</v>
      </c>
      <c r="C92" s="41" t="s">
        <v>3974</v>
      </c>
      <c r="E92" s="42">
        <v>46063</v>
      </c>
      <c r="F92" s="43" t="s">
        <v>4815</v>
      </c>
      <c r="G92" s="28">
        <v>40.97</v>
      </c>
      <c r="H92" s="28" t="s">
        <v>227</v>
      </c>
      <c r="I92" s="28" t="s">
        <v>21</v>
      </c>
      <c r="J92" s="41" t="s">
        <v>239</v>
      </c>
      <c r="K92" s="28">
        <v>3353</v>
      </c>
      <c r="L92" s="28" t="s">
        <v>34</v>
      </c>
      <c r="M92" s="28" t="s">
        <v>4337</v>
      </c>
      <c r="N92" s="28" t="s">
        <v>500</v>
      </c>
      <c r="O92" s="47"/>
      <c r="P92" s="28">
        <f t="shared" si="2"/>
        <v>40</v>
      </c>
    </row>
    <row r="93" spans="1:16" s="28" customFormat="1" x14ac:dyDescent="0.25">
      <c r="A93" s="28" t="s">
        <v>3972</v>
      </c>
      <c r="B93" s="28" t="s">
        <v>3973</v>
      </c>
      <c r="C93" s="41" t="s">
        <v>3974</v>
      </c>
      <c r="E93" s="42">
        <v>46063</v>
      </c>
      <c r="F93" s="55" t="s">
        <v>3976</v>
      </c>
      <c r="G93" s="28">
        <v>83.37</v>
      </c>
      <c r="H93" s="28" t="s">
        <v>227</v>
      </c>
      <c r="I93" s="28" t="s">
        <v>16</v>
      </c>
      <c r="J93" s="41" t="s">
        <v>1137</v>
      </c>
      <c r="K93" s="55">
        <v>3285</v>
      </c>
      <c r="L93" s="55" t="s">
        <v>34</v>
      </c>
      <c r="M93" s="28" t="s">
        <v>4337</v>
      </c>
      <c r="N93" s="28" t="s">
        <v>500</v>
      </c>
      <c r="O93" s="47"/>
      <c r="P93" s="28">
        <f t="shared" si="2"/>
        <v>46</v>
      </c>
    </row>
    <row r="94" spans="1:16" s="28" customFormat="1" x14ac:dyDescent="0.25">
      <c r="A94" s="28" t="s">
        <v>3972</v>
      </c>
      <c r="B94" s="28" t="s">
        <v>3973</v>
      </c>
      <c r="C94" s="41" t="s">
        <v>3974</v>
      </c>
      <c r="E94" s="42">
        <v>46063</v>
      </c>
      <c r="F94" s="55" t="s">
        <v>4001</v>
      </c>
      <c r="G94" s="28">
        <v>451.87</v>
      </c>
      <c r="H94" s="28" t="s">
        <v>227</v>
      </c>
      <c r="I94" s="28" t="s">
        <v>3864</v>
      </c>
      <c r="J94" s="41" t="s">
        <v>1137</v>
      </c>
      <c r="K94" s="55">
        <v>3285</v>
      </c>
      <c r="L94" s="55" t="s">
        <v>34</v>
      </c>
      <c r="M94" s="28" t="s">
        <v>4337</v>
      </c>
      <c r="N94" s="28" t="s">
        <v>500</v>
      </c>
      <c r="O94" s="47"/>
      <c r="P94" s="28">
        <f t="shared" si="2"/>
        <v>42</v>
      </c>
    </row>
    <row r="95" spans="1:16" s="28" customFormat="1" ht="30" x14ac:dyDescent="0.25">
      <c r="A95" s="28" t="s">
        <v>3972</v>
      </c>
      <c r="B95" s="28" t="s">
        <v>3973</v>
      </c>
      <c r="C95" s="41" t="s">
        <v>3974</v>
      </c>
      <c r="E95" s="42">
        <v>46063</v>
      </c>
      <c r="F95" s="61" t="s">
        <v>3976</v>
      </c>
      <c r="G95" s="28">
        <v>5.6</v>
      </c>
      <c r="H95" s="28" t="s">
        <v>227</v>
      </c>
      <c r="I95" s="28" t="s">
        <v>16</v>
      </c>
      <c r="J95" s="41" t="s">
        <v>828</v>
      </c>
      <c r="K95" s="61">
        <v>3285</v>
      </c>
      <c r="L95" s="55" t="s">
        <v>34</v>
      </c>
      <c r="M95" s="28" t="s">
        <v>4337</v>
      </c>
      <c r="N95" s="28" t="s">
        <v>500</v>
      </c>
      <c r="O95" s="48" t="s">
        <v>4765</v>
      </c>
      <c r="P95" s="28">
        <f t="shared" si="2"/>
        <v>51</v>
      </c>
    </row>
    <row r="96" spans="1:16" s="28" customFormat="1" x14ac:dyDescent="0.25">
      <c r="A96" s="28" t="s">
        <v>3972</v>
      </c>
      <c r="B96" s="28" t="s">
        <v>3973</v>
      </c>
      <c r="C96" s="41" t="s">
        <v>3974</v>
      </c>
      <c r="E96" s="42">
        <v>46064</v>
      </c>
      <c r="F96" s="61" t="s">
        <v>4837</v>
      </c>
      <c r="G96" s="28">
        <v>55.36</v>
      </c>
      <c r="H96" s="28" t="s">
        <v>227</v>
      </c>
      <c r="I96" s="28" t="s">
        <v>21</v>
      </c>
      <c r="J96" s="41" t="s">
        <v>239</v>
      </c>
      <c r="K96" s="55">
        <v>3501</v>
      </c>
      <c r="L96" s="55" t="s">
        <v>34</v>
      </c>
      <c r="M96" s="28" t="s">
        <v>4337</v>
      </c>
      <c r="N96" s="28" t="s">
        <v>500</v>
      </c>
      <c r="O96" s="47"/>
      <c r="P96" s="28">
        <f t="shared" si="2"/>
        <v>42</v>
      </c>
    </row>
    <row r="97" spans="1:16" s="28" customFormat="1" x14ac:dyDescent="0.25">
      <c r="A97" s="28" t="s">
        <v>3972</v>
      </c>
      <c r="B97" s="28" t="s">
        <v>3973</v>
      </c>
      <c r="C97" s="41" t="s">
        <v>3974</v>
      </c>
      <c r="E97" s="42">
        <v>46064</v>
      </c>
      <c r="F97" s="61" t="s">
        <v>4715</v>
      </c>
      <c r="G97" s="28">
        <v>23.74</v>
      </c>
      <c r="H97" s="28" t="s">
        <v>227</v>
      </c>
      <c r="I97" s="28" t="s">
        <v>21</v>
      </c>
      <c r="J97" s="41" t="s">
        <v>239</v>
      </c>
      <c r="K97" s="55">
        <v>3501</v>
      </c>
      <c r="L97" s="55" t="s">
        <v>34</v>
      </c>
      <c r="M97" s="28" t="s">
        <v>4337</v>
      </c>
      <c r="N97" s="28" t="s">
        <v>500</v>
      </c>
      <c r="O97" s="47"/>
      <c r="P97" s="28">
        <f t="shared" si="2"/>
        <v>59</v>
      </c>
    </row>
    <row r="98" spans="1:16" s="28" customFormat="1" x14ac:dyDescent="0.25">
      <c r="A98" s="28" t="s">
        <v>3972</v>
      </c>
      <c r="B98" s="28" t="s">
        <v>3973</v>
      </c>
      <c r="C98" s="41" t="s">
        <v>3974</v>
      </c>
      <c r="E98" s="42">
        <v>46065</v>
      </c>
      <c r="F98" s="43" t="s">
        <v>4716</v>
      </c>
      <c r="G98" s="28">
        <v>-188.17</v>
      </c>
      <c r="H98" s="28" t="s">
        <v>227</v>
      </c>
      <c r="I98" s="55" t="s">
        <v>3594</v>
      </c>
      <c r="J98" s="41" t="s">
        <v>29</v>
      </c>
      <c r="K98" s="28">
        <v>3369</v>
      </c>
      <c r="L98" s="28" t="s">
        <v>34</v>
      </c>
      <c r="M98" s="28" t="s">
        <v>4337</v>
      </c>
      <c r="N98" s="28" t="s">
        <v>500</v>
      </c>
      <c r="O98" s="47" t="s">
        <v>4717</v>
      </c>
      <c r="P98" s="28">
        <f t="shared" ref="P98:P129" si="3">LEN(F98&amp;J98)+12</f>
        <v>60</v>
      </c>
    </row>
    <row r="99" spans="1:16" s="28" customFormat="1" x14ac:dyDescent="0.25">
      <c r="A99" s="28" t="s">
        <v>3972</v>
      </c>
      <c r="B99" s="28" t="s">
        <v>3973</v>
      </c>
      <c r="C99" s="41" t="s">
        <v>3974</v>
      </c>
      <c r="E99" s="42">
        <v>46065</v>
      </c>
      <c r="F99" s="43" t="s">
        <v>4727</v>
      </c>
      <c r="G99" s="28">
        <v>30</v>
      </c>
      <c r="H99" s="28" t="s">
        <v>227</v>
      </c>
      <c r="I99" s="55" t="s">
        <v>3594</v>
      </c>
      <c r="J99" s="41" t="s">
        <v>790</v>
      </c>
      <c r="K99" s="28">
        <v>3369</v>
      </c>
      <c r="L99" s="28" t="s">
        <v>34</v>
      </c>
      <c r="M99" s="28" t="s">
        <v>4337</v>
      </c>
      <c r="N99" s="28" t="s">
        <v>500</v>
      </c>
      <c r="O99" s="47"/>
      <c r="P99" s="28">
        <f t="shared" si="3"/>
        <v>57</v>
      </c>
    </row>
    <row r="100" spans="1:16" s="28" customFormat="1" x14ac:dyDescent="0.25">
      <c r="A100" s="28" t="s">
        <v>3972</v>
      </c>
      <c r="B100" s="28" t="s">
        <v>3973</v>
      </c>
      <c r="C100" s="41" t="s">
        <v>3974</v>
      </c>
      <c r="E100" s="42">
        <v>46073</v>
      </c>
      <c r="F100" s="43" t="s">
        <v>4816</v>
      </c>
      <c r="G100" s="28">
        <v>1849.66</v>
      </c>
      <c r="H100" s="28" t="s">
        <v>227</v>
      </c>
      <c r="I100" s="55" t="s">
        <v>3594</v>
      </c>
      <c r="J100" s="41" t="s">
        <v>29</v>
      </c>
      <c r="K100" s="28">
        <v>3353</v>
      </c>
      <c r="L100" s="28" t="s">
        <v>34</v>
      </c>
      <c r="M100" s="28" t="s">
        <v>4337</v>
      </c>
      <c r="N100" s="28" t="s">
        <v>500</v>
      </c>
      <c r="O100" s="47"/>
      <c r="P100" s="28">
        <f t="shared" si="3"/>
        <v>52</v>
      </c>
    </row>
    <row r="101" spans="1:16" s="28" customFormat="1" x14ac:dyDescent="0.25">
      <c r="A101" s="28" t="s">
        <v>3972</v>
      </c>
      <c r="B101" s="28" t="s">
        <v>3973</v>
      </c>
      <c r="C101" s="41" t="s">
        <v>3974</v>
      </c>
      <c r="E101" s="42">
        <v>46073</v>
      </c>
      <c r="F101" s="61" t="s">
        <v>4818</v>
      </c>
      <c r="G101" s="28">
        <v>1849.66</v>
      </c>
      <c r="H101" s="28" t="s">
        <v>227</v>
      </c>
      <c r="I101" s="55" t="s">
        <v>3594</v>
      </c>
      <c r="J101" s="41" t="s">
        <v>29</v>
      </c>
      <c r="K101" s="55">
        <v>3338</v>
      </c>
      <c r="L101" s="55" t="s">
        <v>34</v>
      </c>
      <c r="M101" s="28" t="s">
        <v>4337</v>
      </c>
      <c r="N101" s="28" t="s">
        <v>500</v>
      </c>
      <c r="O101" s="47"/>
      <c r="P101" s="28">
        <f t="shared" si="3"/>
        <v>65</v>
      </c>
    </row>
    <row r="102" spans="1:16" s="28" customFormat="1" x14ac:dyDescent="0.25">
      <c r="A102" s="28" t="s">
        <v>3972</v>
      </c>
      <c r="B102" s="28" t="s">
        <v>3973</v>
      </c>
      <c r="C102" s="41" t="s">
        <v>3974</v>
      </c>
      <c r="E102" s="42">
        <v>46073</v>
      </c>
      <c r="F102" s="61" t="s">
        <v>4023</v>
      </c>
      <c r="G102" s="55">
        <v>1849.68</v>
      </c>
      <c r="H102" s="55" t="s">
        <v>227</v>
      </c>
      <c r="I102" s="55" t="s">
        <v>3594</v>
      </c>
      <c r="J102" s="35" t="s">
        <v>29</v>
      </c>
      <c r="K102" s="55" t="s">
        <v>3991</v>
      </c>
      <c r="L102" s="55" t="s">
        <v>34</v>
      </c>
      <c r="M102" s="28" t="s">
        <v>4337</v>
      </c>
      <c r="N102" s="28" t="s">
        <v>500</v>
      </c>
      <c r="O102" s="47"/>
      <c r="P102" s="28">
        <f t="shared" si="3"/>
        <v>41</v>
      </c>
    </row>
    <row r="103" spans="1:16" s="28" customFormat="1" x14ac:dyDescent="0.25">
      <c r="A103" s="28" t="s">
        <v>3972</v>
      </c>
      <c r="B103" s="28" t="s">
        <v>3973</v>
      </c>
      <c r="C103" s="41" t="s">
        <v>3974</v>
      </c>
      <c r="E103" s="42">
        <v>46073</v>
      </c>
      <c r="F103" s="61" t="s">
        <v>4718</v>
      </c>
      <c r="G103" s="28">
        <v>299.54000000000002</v>
      </c>
      <c r="H103" s="28" t="s">
        <v>227</v>
      </c>
      <c r="I103" s="55" t="s">
        <v>3594</v>
      </c>
      <c r="J103" s="41" t="s">
        <v>656</v>
      </c>
      <c r="K103" s="55">
        <v>3338</v>
      </c>
      <c r="L103" s="55" t="s">
        <v>34</v>
      </c>
      <c r="M103" s="28" t="s">
        <v>4337</v>
      </c>
      <c r="N103" s="28" t="s">
        <v>500</v>
      </c>
      <c r="O103" s="47" t="s">
        <v>4719</v>
      </c>
      <c r="P103" s="28">
        <f t="shared" si="3"/>
        <v>62</v>
      </c>
    </row>
    <row r="104" spans="1:16" s="28" customFormat="1" x14ac:dyDescent="0.25">
      <c r="A104" s="28" t="s">
        <v>3972</v>
      </c>
      <c r="B104" s="28" t="s">
        <v>3973</v>
      </c>
      <c r="C104" s="41" t="s">
        <v>3974</v>
      </c>
      <c r="E104" s="42">
        <v>46073</v>
      </c>
      <c r="F104" s="28" t="s">
        <v>4720</v>
      </c>
      <c r="G104" s="28">
        <v>299.52999999999997</v>
      </c>
      <c r="H104" s="28" t="s">
        <v>227</v>
      </c>
      <c r="I104" s="55" t="s">
        <v>3594</v>
      </c>
      <c r="J104" s="41" t="s">
        <v>656</v>
      </c>
      <c r="K104" s="28">
        <v>3353</v>
      </c>
      <c r="L104" s="28" t="s">
        <v>34</v>
      </c>
      <c r="M104" s="28" t="s">
        <v>4337</v>
      </c>
      <c r="N104" s="28" t="s">
        <v>500</v>
      </c>
      <c r="O104" s="47"/>
      <c r="P104" s="28">
        <f t="shared" si="3"/>
        <v>49</v>
      </c>
    </row>
    <row r="105" spans="1:16" s="28" customFormat="1" x14ac:dyDescent="0.25">
      <c r="A105" s="28" t="s">
        <v>3972</v>
      </c>
      <c r="B105" s="28" t="s">
        <v>3973</v>
      </c>
      <c r="C105" s="41" t="s">
        <v>3974</v>
      </c>
      <c r="E105" s="42">
        <v>46073</v>
      </c>
      <c r="F105" s="55" t="s">
        <v>4028</v>
      </c>
      <c r="G105" s="28">
        <v>299.52999999999997</v>
      </c>
      <c r="H105" s="28" t="s">
        <v>227</v>
      </c>
      <c r="I105" s="55" t="s">
        <v>3594</v>
      </c>
      <c r="J105" s="41" t="s">
        <v>656</v>
      </c>
      <c r="K105" s="55" t="s">
        <v>3991</v>
      </c>
      <c r="L105" s="55" t="s">
        <v>34</v>
      </c>
      <c r="M105" s="28" t="s">
        <v>4337</v>
      </c>
      <c r="N105" s="28" t="s">
        <v>500</v>
      </c>
      <c r="O105" s="47"/>
      <c r="P105" s="28">
        <f t="shared" si="3"/>
        <v>38</v>
      </c>
    </row>
    <row r="106" spans="1:16" s="28" customFormat="1" x14ac:dyDescent="0.25">
      <c r="A106" s="28" t="s">
        <v>3972</v>
      </c>
      <c r="B106" s="28" t="s">
        <v>3973</v>
      </c>
      <c r="C106" s="41" t="s">
        <v>3974</v>
      </c>
      <c r="E106" s="42">
        <v>46073</v>
      </c>
      <c r="F106" s="61" t="s">
        <v>4819</v>
      </c>
      <c r="G106" s="28">
        <v>30</v>
      </c>
      <c r="H106" s="28" t="s">
        <v>227</v>
      </c>
      <c r="I106" s="55" t="s">
        <v>3594</v>
      </c>
      <c r="J106" s="41" t="s">
        <v>790</v>
      </c>
      <c r="K106" s="55">
        <v>3338</v>
      </c>
      <c r="L106" s="55" t="s">
        <v>34</v>
      </c>
      <c r="M106" s="28" t="s">
        <v>4337</v>
      </c>
      <c r="N106" s="28" t="s">
        <v>500</v>
      </c>
      <c r="O106" s="47" t="s">
        <v>4721</v>
      </c>
      <c r="P106" s="44">
        <f t="shared" si="3"/>
        <v>73</v>
      </c>
    </row>
    <row r="107" spans="1:16" s="28" customFormat="1" x14ac:dyDescent="0.25">
      <c r="A107" s="28" t="s">
        <v>3972</v>
      </c>
      <c r="B107" s="28" t="s">
        <v>3973</v>
      </c>
      <c r="C107" s="41" t="s">
        <v>3974</v>
      </c>
      <c r="E107" s="42">
        <v>46073</v>
      </c>
      <c r="F107" s="43" t="s">
        <v>4817</v>
      </c>
      <c r="G107" s="28">
        <v>30</v>
      </c>
      <c r="H107" s="28" t="s">
        <v>227</v>
      </c>
      <c r="I107" s="55" t="s">
        <v>3594</v>
      </c>
      <c r="J107" s="41" t="s">
        <v>790</v>
      </c>
      <c r="K107" s="28">
        <v>3353</v>
      </c>
      <c r="L107" s="28" t="s">
        <v>34</v>
      </c>
      <c r="M107" s="28" t="s">
        <v>4337</v>
      </c>
      <c r="N107" s="28" t="s">
        <v>500</v>
      </c>
      <c r="O107" s="47"/>
      <c r="P107" s="28">
        <f t="shared" si="3"/>
        <v>60</v>
      </c>
    </row>
    <row r="108" spans="1:16" s="28" customFormat="1" x14ac:dyDescent="0.25">
      <c r="A108" s="28" t="s">
        <v>3972</v>
      </c>
      <c r="B108" s="28" t="s">
        <v>3973</v>
      </c>
      <c r="C108" s="41" t="s">
        <v>3974</v>
      </c>
      <c r="E108" s="42">
        <v>46073</v>
      </c>
      <c r="F108" s="61" t="s">
        <v>4827</v>
      </c>
      <c r="G108" s="28">
        <v>30</v>
      </c>
      <c r="H108" s="28" t="s">
        <v>227</v>
      </c>
      <c r="I108" s="55" t="s">
        <v>3594</v>
      </c>
      <c r="J108" s="41" t="s">
        <v>790</v>
      </c>
      <c r="K108" s="55" t="s">
        <v>3991</v>
      </c>
      <c r="L108" s="55" t="s">
        <v>34</v>
      </c>
      <c r="M108" s="28" t="s">
        <v>4337</v>
      </c>
      <c r="N108" s="28" t="s">
        <v>500</v>
      </c>
      <c r="O108" s="47"/>
      <c r="P108" s="28">
        <f t="shared" si="3"/>
        <v>49</v>
      </c>
    </row>
    <row r="109" spans="1:16" s="28" customFormat="1" x14ac:dyDescent="0.25">
      <c r="A109" s="28" t="s">
        <v>3972</v>
      </c>
      <c r="B109" s="28" t="s">
        <v>3973</v>
      </c>
      <c r="C109" s="41" t="s">
        <v>3974</v>
      </c>
      <c r="E109" s="42">
        <v>46074</v>
      </c>
      <c r="F109" s="61" t="s">
        <v>4722</v>
      </c>
      <c r="G109" s="55">
        <v>-961.36</v>
      </c>
      <c r="H109" s="55" t="s">
        <v>227</v>
      </c>
      <c r="I109" s="55" t="s">
        <v>3594</v>
      </c>
      <c r="J109" s="35" t="s">
        <v>29</v>
      </c>
      <c r="K109" s="55">
        <v>1035</v>
      </c>
      <c r="L109" s="61" t="s">
        <v>34</v>
      </c>
      <c r="M109" s="28" t="s">
        <v>4337</v>
      </c>
      <c r="N109" s="28" t="s">
        <v>500</v>
      </c>
      <c r="O109" s="47" t="s">
        <v>4725</v>
      </c>
      <c r="P109" s="28">
        <f t="shared" si="3"/>
        <v>54</v>
      </c>
    </row>
    <row r="110" spans="1:16" s="28" customFormat="1" x14ac:dyDescent="0.25">
      <c r="A110" s="28" t="s">
        <v>3972</v>
      </c>
      <c r="B110" s="28" t="s">
        <v>3973</v>
      </c>
      <c r="C110" s="41" t="s">
        <v>3974</v>
      </c>
      <c r="E110" s="42">
        <v>46076</v>
      </c>
      <c r="F110" s="61" t="s">
        <v>4723</v>
      </c>
      <c r="G110" s="55">
        <v>728.4</v>
      </c>
      <c r="H110" s="55" t="s">
        <v>227</v>
      </c>
      <c r="I110" s="55" t="s">
        <v>3594</v>
      </c>
      <c r="J110" s="35" t="s">
        <v>41</v>
      </c>
      <c r="K110" s="55">
        <v>1035</v>
      </c>
      <c r="L110" s="55" t="s">
        <v>34</v>
      </c>
      <c r="M110" s="28" t="s">
        <v>4337</v>
      </c>
      <c r="N110" s="28" t="s">
        <v>500</v>
      </c>
      <c r="O110" s="47"/>
      <c r="P110" s="28">
        <f t="shared" si="3"/>
        <v>37</v>
      </c>
    </row>
    <row r="111" spans="1:16" s="28" customFormat="1" x14ac:dyDescent="0.25">
      <c r="A111" s="28" t="s">
        <v>3972</v>
      </c>
      <c r="B111" s="28" t="s">
        <v>3973</v>
      </c>
      <c r="C111" s="41" t="s">
        <v>3974</v>
      </c>
      <c r="E111" s="42">
        <v>46076</v>
      </c>
      <c r="F111" s="61" t="s">
        <v>4540</v>
      </c>
      <c r="G111" s="55">
        <v>2.6</v>
      </c>
      <c r="H111" s="55" t="s">
        <v>227</v>
      </c>
      <c r="I111" s="55" t="s">
        <v>16</v>
      </c>
      <c r="J111" s="35" t="s">
        <v>4365</v>
      </c>
      <c r="K111" s="55">
        <v>1035</v>
      </c>
      <c r="L111" s="55" t="s">
        <v>34</v>
      </c>
      <c r="M111" s="28" t="s">
        <v>4337</v>
      </c>
      <c r="N111" s="28" t="s">
        <v>500</v>
      </c>
      <c r="O111" s="47"/>
      <c r="P111" s="28">
        <f t="shared" si="3"/>
        <v>47</v>
      </c>
    </row>
    <row r="112" spans="1:16" s="28" customFormat="1" x14ac:dyDescent="0.25">
      <c r="A112" s="28" t="s">
        <v>3972</v>
      </c>
      <c r="B112" s="28" t="s">
        <v>3973</v>
      </c>
      <c r="C112" s="41" t="s">
        <v>3974</v>
      </c>
      <c r="E112" s="42">
        <v>46076</v>
      </c>
      <c r="F112" s="61" t="s">
        <v>4724</v>
      </c>
      <c r="G112" s="55">
        <v>30</v>
      </c>
      <c r="H112" s="55" t="s">
        <v>227</v>
      </c>
      <c r="I112" s="55" t="s">
        <v>3594</v>
      </c>
      <c r="J112" s="35" t="s">
        <v>790</v>
      </c>
      <c r="K112" s="55">
        <v>1035</v>
      </c>
      <c r="L112" s="55" t="s">
        <v>34</v>
      </c>
      <c r="M112" s="28" t="s">
        <v>4337</v>
      </c>
      <c r="N112" s="28" t="s">
        <v>500</v>
      </c>
      <c r="O112" s="47"/>
      <c r="P112" s="28">
        <f t="shared" si="3"/>
        <v>46</v>
      </c>
    </row>
    <row r="113" spans="1:16" s="28" customFormat="1" x14ac:dyDescent="0.25">
      <c r="A113" s="28" t="s">
        <v>3972</v>
      </c>
      <c r="B113" s="28" t="s">
        <v>3973</v>
      </c>
      <c r="C113" s="41" t="s">
        <v>3974</v>
      </c>
      <c r="E113" s="42">
        <v>46076</v>
      </c>
      <c r="F113" s="61" t="s">
        <v>4540</v>
      </c>
      <c r="G113" s="55">
        <v>1</v>
      </c>
      <c r="H113" s="55" t="s">
        <v>227</v>
      </c>
      <c r="I113" s="55" t="s">
        <v>16</v>
      </c>
      <c r="J113" s="35" t="s">
        <v>4365</v>
      </c>
      <c r="K113" s="55">
        <v>1035</v>
      </c>
      <c r="L113" s="55" t="s">
        <v>34</v>
      </c>
      <c r="M113" s="28" t="s">
        <v>4337</v>
      </c>
      <c r="N113" s="28" t="s">
        <v>500</v>
      </c>
      <c r="O113" s="47"/>
      <c r="P113" s="28">
        <f t="shared" si="3"/>
        <v>47</v>
      </c>
    </row>
    <row r="114" spans="1:16" s="28" customFormat="1" x14ac:dyDescent="0.25">
      <c r="A114" s="28" t="s">
        <v>3972</v>
      </c>
      <c r="B114" s="28" t="s">
        <v>3973</v>
      </c>
      <c r="C114" s="41" t="s">
        <v>3974</v>
      </c>
      <c r="E114" s="42">
        <v>46076</v>
      </c>
      <c r="F114" s="61" t="s">
        <v>4540</v>
      </c>
      <c r="G114" s="55">
        <v>2.1</v>
      </c>
      <c r="H114" s="55" t="s">
        <v>227</v>
      </c>
      <c r="I114" s="55" t="s">
        <v>16</v>
      </c>
      <c r="J114" s="35" t="s">
        <v>4365</v>
      </c>
      <c r="K114" s="55">
        <v>1035</v>
      </c>
      <c r="L114" s="55" t="s">
        <v>34</v>
      </c>
      <c r="M114" s="28" t="s">
        <v>4337</v>
      </c>
      <c r="N114" s="28" t="s">
        <v>500</v>
      </c>
      <c r="O114" s="47"/>
      <c r="P114" s="28">
        <f t="shared" si="3"/>
        <v>47</v>
      </c>
    </row>
    <row r="115" spans="1:16" s="28" customFormat="1" x14ac:dyDescent="0.25">
      <c r="A115" s="28" t="s">
        <v>3972</v>
      </c>
      <c r="B115" s="28" t="s">
        <v>3973</v>
      </c>
      <c r="C115" s="41" t="s">
        <v>3974</v>
      </c>
      <c r="E115" s="42">
        <v>46077</v>
      </c>
      <c r="F115" s="61" t="s">
        <v>4722</v>
      </c>
      <c r="G115" s="55">
        <v>-594.27</v>
      </c>
      <c r="H115" s="55" t="s">
        <v>227</v>
      </c>
      <c r="I115" s="55" t="s">
        <v>3594</v>
      </c>
      <c r="J115" s="35" t="s">
        <v>29</v>
      </c>
      <c r="K115" s="55">
        <v>1035</v>
      </c>
      <c r="L115" s="55" t="s">
        <v>34</v>
      </c>
      <c r="M115" s="28" t="s">
        <v>4337</v>
      </c>
      <c r="N115" s="28" t="s">
        <v>500</v>
      </c>
      <c r="O115" s="47" t="s">
        <v>4725</v>
      </c>
      <c r="P115" s="28">
        <f t="shared" si="3"/>
        <v>54</v>
      </c>
    </row>
    <row r="116" spans="1:16" s="28" customFormat="1" x14ac:dyDescent="0.25">
      <c r="A116" s="28" t="s">
        <v>3972</v>
      </c>
      <c r="B116" s="28" t="s">
        <v>3973</v>
      </c>
      <c r="C116" s="41" t="s">
        <v>3974</v>
      </c>
      <c r="E116" s="42">
        <v>46077</v>
      </c>
      <c r="F116" s="61" t="s">
        <v>4540</v>
      </c>
      <c r="G116" s="55">
        <v>11.69</v>
      </c>
      <c r="H116" s="55" t="s">
        <v>227</v>
      </c>
      <c r="I116" s="55" t="s">
        <v>16</v>
      </c>
      <c r="J116" s="35" t="s">
        <v>742</v>
      </c>
      <c r="K116" s="55">
        <v>1035</v>
      </c>
      <c r="L116" s="55" t="s">
        <v>34</v>
      </c>
      <c r="M116" s="28" t="s">
        <v>4337</v>
      </c>
      <c r="N116" s="28" t="s">
        <v>500</v>
      </c>
      <c r="O116" s="47"/>
      <c r="P116" s="28">
        <f t="shared" si="3"/>
        <v>49</v>
      </c>
    </row>
    <row r="117" spans="1:16" s="28" customFormat="1" x14ac:dyDescent="0.25">
      <c r="A117" s="28" t="s">
        <v>3972</v>
      </c>
      <c r="B117" s="28" t="s">
        <v>3973</v>
      </c>
      <c r="C117" s="41" t="s">
        <v>3974</v>
      </c>
      <c r="E117" s="42">
        <v>46077</v>
      </c>
      <c r="F117" s="61" t="s">
        <v>4540</v>
      </c>
      <c r="G117" s="55">
        <v>19.53</v>
      </c>
      <c r="H117" s="55" t="s">
        <v>227</v>
      </c>
      <c r="I117" s="55" t="s">
        <v>16</v>
      </c>
      <c r="J117" s="35" t="s">
        <v>2239</v>
      </c>
      <c r="K117" s="55">
        <v>1035</v>
      </c>
      <c r="L117" s="55" t="s">
        <v>34</v>
      </c>
      <c r="M117" s="28" t="s">
        <v>4337</v>
      </c>
      <c r="N117" s="28" t="s">
        <v>500</v>
      </c>
      <c r="O117" s="47"/>
      <c r="P117" s="28">
        <f t="shared" si="3"/>
        <v>42</v>
      </c>
    </row>
    <row r="118" spans="1:16" s="28" customFormat="1" x14ac:dyDescent="0.25">
      <c r="A118" s="28" t="s">
        <v>3972</v>
      </c>
      <c r="B118" s="28" t="s">
        <v>3973</v>
      </c>
      <c r="C118" s="41" t="s">
        <v>3974</v>
      </c>
      <c r="E118" s="42">
        <v>46077</v>
      </c>
      <c r="F118" s="61" t="s">
        <v>4726</v>
      </c>
      <c r="G118" s="55">
        <v>194.54</v>
      </c>
      <c r="H118" s="55" t="s">
        <v>227</v>
      </c>
      <c r="I118" s="55" t="s">
        <v>3864</v>
      </c>
      <c r="J118" s="35" t="s">
        <v>3073</v>
      </c>
      <c r="K118" s="55">
        <v>1035</v>
      </c>
      <c r="L118" s="55" t="s">
        <v>34</v>
      </c>
      <c r="M118" s="28" t="s">
        <v>4337</v>
      </c>
      <c r="N118" s="28" t="s">
        <v>500</v>
      </c>
      <c r="O118" s="47" t="s">
        <v>4605</v>
      </c>
      <c r="P118" s="28">
        <f t="shared" si="3"/>
        <v>43</v>
      </c>
    </row>
    <row r="119" spans="1:16" s="28" customFormat="1" ht="30" x14ac:dyDescent="0.25">
      <c r="A119" s="28" t="s">
        <v>3972</v>
      </c>
      <c r="B119" s="28" t="s">
        <v>3973</v>
      </c>
      <c r="C119" s="41" t="s">
        <v>3974</v>
      </c>
      <c r="E119" s="42">
        <v>46077</v>
      </c>
      <c r="F119" s="43" t="s">
        <v>4727</v>
      </c>
      <c r="G119" s="28">
        <v>30</v>
      </c>
      <c r="H119" s="28" t="s">
        <v>227</v>
      </c>
      <c r="I119" s="55" t="s">
        <v>3594</v>
      </c>
      <c r="J119" s="41" t="s">
        <v>790</v>
      </c>
      <c r="K119" s="28">
        <v>3369</v>
      </c>
      <c r="L119" s="28" t="s">
        <v>34</v>
      </c>
      <c r="M119" s="28" t="s">
        <v>4337</v>
      </c>
      <c r="N119" s="28" t="s">
        <v>500</v>
      </c>
      <c r="O119" s="47" t="s">
        <v>4728</v>
      </c>
      <c r="P119" s="28">
        <f t="shared" si="3"/>
        <v>57</v>
      </c>
    </row>
    <row r="120" spans="1:16" s="28" customFormat="1" x14ac:dyDescent="0.25">
      <c r="A120" s="28" t="s">
        <v>3972</v>
      </c>
      <c r="B120" s="28" t="s">
        <v>3973</v>
      </c>
      <c r="C120" s="41" t="s">
        <v>3974</v>
      </c>
      <c r="E120" s="42">
        <v>46078</v>
      </c>
      <c r="F120" s="61" t="s">
        <v>4540</v>
      </c>
      <c r="G120" s="55">
        <v>15.3</v>
      </c>
      <c r="H120" s="55" t="s">
        <v>227</v>
      </c>
      <c r="I120" s="55" t="s">
        <v>16</v>
      </c>
      <c r="J120" s="35" t="s">
        <v>847</v>
      </c>
      <c r="K120" s="55">
        <v>1035</v>
      </c>
      <c r="L120" s="55" t="s">
        <v>34</v>
      </c>
      <c r="M120" s="28" t="s">
        <v>4337</v>
      </c>
      <c r="N120" s="28" t="s">
        <v>500</v>
      </c>
      <c r="O120" s="47"/>
      <c r="P120" s="28">
        <f t="shared" si="3"/>
        <v>47</v>
      </c>
    </row>
    <row r="121" spans="1:16" s="28" customFormat="1" ht="30" x14ac:dyDescent="0.25">
      <c r="A121" s="28" t="s">
        <v>3972</v>
      </c>
      <c r="B121" s="28" t="s">
        <v>3973</v>
      </c>
      <c r="C121" s="41" t="s">
        <v>3974</v>
      </c>
      <c r="E121" s="42">
        <v>46079</v>
      </c>
      <c r="F121" s="61" t="s">
        <v>4811</v>
      </c>
      <c r="G121" s="28">
        <v>135</v>
      </c>
      <c r="H121" s="28" t="s">
        <v>227</v>
      </c>
      <c r="I121" s="55" t="s">
        <v>3594</v>
      </c>
      <c r="J121" s="41" t="s">
        <v>790</v>
      </c>
      <c r="K121" s="55">
        <v>3338</v>
      </c>
      <c r="L121" s="55" t="s">
        <v>34</v>
      </c>
      <c r="M121" s="28" t="s">
        <v>4337</v>
      </c>
      <c r="N121" s="28" t="s">
        <v>500</v>
      </c>
      <c r="O121" s="47" t="s">
        <v>4812</v>
      </c>
      <c r="P121" s="44">
        <f t="shared" si="3"/>
        <v>73</v>
      </c>
    </row>
    <row r="122" spans="1:16" s="28" customFormat="1" x14ac:dyDescent="0.25">
      <c r="A122" s="28" t="s">
        <v>3972</v>
      </c>
      <c r="B122" s="28" t="s">
        <v>3973</v>
      </c>
      <c r="C122" s="41" t="s">
        <v>3974</v>
      </c>
      <c r="E122" s="42">
        <v>46079</v>
      </c>
      <c r="F122" s="61" t="s">
        <v>4540</v>
      </c>
      <c r="G122" s="55">
        <v>10.9</v>
      </c>
      <c r="H122" s="55" t="s">
        <v>227</v>
      </c>
      <c r="I122" s="55" t="s">
        <v>16</v>
      </c>
      <c r="J122" s="35" t="s">
        <v>4366</v>
      </c>
      <c r="K122" s="55">
        <v>1035</v>
      </c>
      <c r="L122" s="55" t="s">
        <v>34</v>
      </c>
      <c r="M122" s="28" t="s">
        <v>4337</v>
      </c>
      <c r="N122" s="28" t="s">
        <v>500</v>
      </c>
      <c r="O122" s="47"/>
      <c r="P122" s="28">
        <f t="shared" si="3"/>
        <v>58</v>
      </c>
    </row>
    <row r="123" spans="1:16" s="28" customFormat="1" ht="30" x14ac:dyDescent="0.25">
      <c r="A123" s="28" t="s">
        <v>3972</v>
      </c>
      <c r="B123" s="28" t="s">
        <v>3973</v>
      </c>
      <c r="C123" s="41" t="s">
        <v>3974</v>
      </c>
      <c r="E123" s="42">
        <v>46079</v>
      </c>
      <c r="F123" s="61" t="s">
        <v>4808</v>
      </c>
      <c r="G123" s="28">
        <v>10242.43</v>
      </c>
      <c r="H123" s="28" t="s">
        <v>227</v>
      </c>
      <c r="I123" s="55" t="s">
        <v>3594</v>
      </c>
      <c r="J123" s="45" t="s">
        <v>4803</v>
      </c>
      <c r="K123" s="55">
        <v>3338</v>
      </c>
      <c r="L123" s="55" t="s">
        <v>34</v>
      </c>
      <c r="M123" s="28" t="s">
        <v>4337</v>
      </c>
      <c r="N123" s="28" t="s">
        <v>500</v>
      </c>
      <c r="O123" s="47" t="s">
        <v>4813</v>
      </c>
      <c r="P123" s="28">
        <f t="shared" si="3"/>
        <v>75</v>
      </c>
    </row>
    <row r="124" spans="1:16" s="28" customFormat="1" x14ac:dyDescent="0.25">
      <c r="A124" s="28" t="s">
        <v>3972</v>
      </c>
      <c r="B124" s="28" t="s">
        <v>3973</v>
      </c>
      <c r="C124" s="41" t="s">
        <v>3974</v>
      </c>
      <c r="E124" s="42">
        <v>46079</v>
      </c>
      <c r="F124" s="61" t="s">
        <v>4540</v>
      </c>
      <c r="G124" s="55">
        <v>11.52</v>
      </c>
      <c r="H124" s="55" t="s">
        <v>227</v>
      </c>
      <c r="I124" s="55" t="s">
        <v>16</v>
      </c>
      <c r="J124" s="35" t="s">
        <v>2724</v>
      </c>
      <c r="K124" s="55">
        <v>1035</v>
      </c>
      <c r="L124" s="55" t="s">
        <v>34</v>
      </c>
      <c r="M124" s="28" t="s">
        <v>4337</v>
      </c>
      <c r="N124" s="28" t="s">
        <v>500</v>
      </c>
      <c r="O124" s="47"/>
      <c r="P124" s="28">
        <f t="shared" si="3"/>
        <v>42</v>
      </c>
    </row>
    <row r="125" spans="1:16" s="28" customFormat="1" x14ac:dyDescent="0.25">
      <c r="A125" s="28" t="s">
        <v>3972</v>
      </c>
      <c r="B125" s="28" t="s">
        <v>3973</v>
      </c>
      <c r="C125" s="41" t="s">
        <v>3974</v>
      </c>
      <c r="E125" s="42">
        <v>46079</v>
      </c>
      <c r="F125" s="61" t="s">
        <v>4548</v>
      </c>
      <c r="G125" s="55">
        <v>8</v>
      </c>
      <c r="H125" s="55" t="s">
        <v>227</v>
      </c>
      <c r="I125" s="55" t="s">
        <v>3922</v>
      </c>
      <c r="J125" s="35" t="s">
        <v>29</v>
      </c>
      <c r="K125" s="55">
        <v>1035</v>
      </c>
      <c r="L125" s="55" t="s">
        <v>34</v>
      </c>
      <c r="M125" s="28" t="s">
        <v>4337</v>
      </c>
      <c r="N125" s="28" t="s">
        <v>500</v>
      </c>
      <c r="O125" s="47"/>
      <c r="P125" s="28">
        <f t="shared" si="3"/>
        <v>44</v>
      </c>
    </row>
    <row r="126" spans="1:16" s="28" customFormat="1" ht="30" x14ac:dyDescent="0.25">
      <c r="A126" s="28" t="s">
        <v>3972</v>
      </c>
      <c r="B126" s="28" t="s">
        <v>3973</v>
      </c>
      <c r="C126" s="41" t="s">
        <v>3974</v>
      </c>
      <c r="E126" s="42">
        <v>46079</v>
      </c>
      <c r="F126" s="61" t="s">
        <v>4809</v>
      </c>
      <c r="G126" s="28">
        <v>6898.5</v>
      </c>
      <c r="H126" s="28" t="s">
        <v>227</v>
      </c>
      <c r="I126" s="55" t="s">
        <v>3594</v>
      </c>
      <c r="J126" s="41" t="s">
        <v>1844</v>
      </c>
      <c r="K126" s="55">
        <v>3338</v>
      </c>
      <c r="L126" s="55" t="s">
        <v>34</v>
      </c>
      <c r="M126" s="28" t="s">
        <v>4337</v>
      </c>
      <c r="N126" s="28" t="s">
        <v>500</v>
      </c>
      <c r="O126" s="47" t="s">
        <v>4814</v>
      </c>
      <c r="P126" s="28">
        <f t="shared" si="3"/>
        <v>69</v>
      </c>
    </row>
    <row r="127" spans="1:16" s="28" customFormat="1" ht="30" x14ac:dyDescent="0.25">
      <c r="A127" s="28" t="s">
        <v>3972</v>
      </c>
      <c r="B127" s="28" t="s">
        <v>3973</v>
      </c>
      <c r="C127" s="41" t="s">
        <v>3974</v>
      </c>
      <c r="E127" s="42">
        <v>46079</v>
      </c>
      <c r="F127" s="61" t="s">
        <v>4810</v>
      </c>
      <c r="G127" s="28">
        <v>895.3</v>
      </c>
      <c r="H127" s="28" t="s">
        <v>227</v>
      </c>
      <c r="I127" s="55" t="s">
        <v>3594</v>
      </c>
      <c r="J127" s="41" t="s">
        <v>656</v>
      </c>
      <c r="K127" s="55">
        <v>3338</v>
      </c>
      <c r="L127" s="55" t="s">
        <v>34</v>
      </c>
      <c r="M127" s="28" t="s">
        <v>4337</v>
      </c>
      <c r="N127" s="28" t="s">
        <v>500</v>
      </c>
      <c r="O127" s="47" t="s">
        <v>4814</v>
      </c>
      <c r="P127" s="28">
        <f t="shared" si="3"/>
        <v>71</v>
      </c>
    </row>
    <row r="128" spans="1:16" s="28" customFormat="1" x14ac:dyDescent="0.25">
      <c r="A128" s="28" t="s">
        <v>3972</v>
      </c>
      <c r="B128" s="28" t="s">
        <v>3973</v>
      </c>
      <c r="C128" s="41" t="s">
        <v>3974</v>
      </c>
      <c r="E128" s="42">
        <v>46083</v>
      </c>
      <c r="F128" s="28" t="s">
        <v>4002</v>
      </c>
      <c r="G128" s="28">
        <v>12.31</v>
      </c>
      <c r="H128" s="28" t="s">
        <v>227</v>
      </c>
      <c r="I128" s="28" t="s">
        <v>16</v>
      </c>
      <c r="J128" s="41" t="s">
        <v>742</v>
      </c>
      <c r="K128" s="28">
        <v>3369</v>
      </c>
      <c r="L128" s="28" t="s">
        <v>34</v>
      </c>
      <c r="M128" s="28" t="s">
        <v>4337</v>
      </c>
      <c r="N128" s="28" t="s">
        <v>500</v>
      </c>
      <c r="O128" s="47"/>
      <c r="P128" s="28">
        <f t="shared" si="3"/>
        <v>63</v>
      </c>
    </row>
    <row r="129" spans="1:16" s="28" customFormat="1" x14ac:dyDescent="0.25">
      <c r="A129" s="28" t="s">
        <v>3972</v>
      </c>
      <c r="B129" s="28" t="s">
        <v>3973</v>
      </c>
      <c r="C129" s="41" t="s">
        <v>3974</v>
      </c>
      <c r="E129" s="42">
        <v>46083</v>
      </c>
      <c r="F129" s="28" t="s">
        <v>4002</v>
      </c>
      <c r="G129" s="28">
        <v>11.72</v>
      </c>
      <c r="H129" s="28" t="s">
        <v>227</v>
      </c>
      <c r="I129" s="28" t="s">
        <v>16</v>
      </c>
      <c r="J129" s="41" t="s">
        <v>1159</v>
      </c>
      <c r="K129" s="28">
        <v>3369</v>
      </c>
      <c r="L129" s="28" t="s">
        <v>34</v>
      </c>
      <c r="M129" s="28" t="s">
        <v>4337</v>
      </c>
      <c r="N129" s="28" t="s">
        <v>500</v>
      </c>
      <c r="O129" s="47"/>
      <c r="P129" s="28">
        <f t="shared" si="3"/>
        <v>62</v>
      </c>
    </row>
    <row r="130" spans="1:16" s="28" customFormat="1" x14ac:dyDescent="0.25">
      <c r="A130" s="28" t="s">
        <v>3972</v>
      </c>
      <c r="B130" s="28" t="s">
        <v>3973</v>
      </c>
      <c r="C130" s="41" t="s">
        <v>3974</v>
      </c>
      <c r="E130" s="42">
        <v>46083</v>
      </c>
      <c r="F130" s="28" t="s">
        <v>4002</v>
      </c>
      <c r="G130" s="28">
        <v>6.67</v>
      </c>
      <c r="H130" s="28" t="s">
        <v>227</v>
      </c>
      <c r="I130" s="28" t="s">
        <v>16</v>
      </c>
      <c r="J130" s="41" t="s">
        <v>3733</v>
      </c>
      <c r="K130" s="28">
        <v>3369</v>
      </c>
      <c r="L130" s="28" t="s">
        <v>34</v>
      </c>
      <c r="M130" s="28" t="s">
        <v>4337</v>
      </c>
      <c r="N130" s="28" t="s">
        <v>500</v>
      </c>
      <c r="O130" s="47"/>
      <c r="P130" s="28">
        <f t="shared" ref="P130:P154" si="4">LEN(F130&amp;J130)+12</f>
        <v>65</v>
      </c>
    </row>
    <row r="131" spans="1:16" s="28" customFormat="1" x14ac:dyDescent="0.25">
      <c r="A131" s="28" t="s">
        <v>3972</v>
      </c>
      <c r="B131" s="28" t="s">
        <v>3973</v>
      </c>
      <c r="C131" s="41" t="s">
        <v>3974</v>
      </c>
      <c r="E131" s="42">
        <v>46084</v>
      </c>
      <c r="F131" s="28" t="s">
        <v>4026</v>
      </c>
      <c r="G131" s="28">
        <v>39.97</v>
      </c>
      <c r="H131" s="28" t="s">
        <v>227</v>
      </c>
      <c r="I131" s="28" t="s">
        <v>21</v>
      </c>
      <c r="J131" s="41" t="s">
        <v>239</v>
      </c>
      <c r="K131" s="28">
        <v>3369</v>
      </c>
      <c r="L131" s="28" t="s">
        <v>34</v>
      </c>
      <c r="M131" s="28" t="s">
        <v>4337</v>
      </c>
      <c r="N131" s="28" t="s">
        <v>500</v>
      </c>
      <c r="O131" s="47"/>
      <c r="P131" s="28">
        <f t="shared" si="4"/>
        <v>44</v>
      </c>
    </row>
    <row r="132" spans="1:16" s="28" customFormat="1" x14ac:dyDescent="0.25">
      <c r="A132" s="28" t="s">
        <v>3972</v>
      </c>
      <c r="B132" s="28" t="s">
        <v>3973</v>
      </c>
      <c r="C132" s="41" t="s">
        <v>3974</v>
      </c>
      <c r="E132" s="42">
        <v>46084</v>
      </c>
      <c r="F132" s="28" t="s">
        <v>4032</v>
      </c>
      <c r="G132" s="28">
        <v>18.989999999999998</v>
      </c>
      <c r="H132" s="28" t="s">
        <v>227</v>
      </c>
      <c r="I132" s="28" t="s">
        <v>21</v>
      </c>
      <c r="J132" s="41" t="s">
        <v>239</v>
      </c>
      <c r="K132" s="28">
        <v>3369</v>
      </c>
      <c r="L132" s="28" t="s">
        <v>34</v>
      </c>
      <c r="M132" s="28" t="s">
        <v>4337</v>
      </c>
      <c r="N132" s="28" t="s">
        <v>500</v>
      </c>
      <c r="O132" s="47"/>
      <c r="P132" s="28">
        <f t="shared" si="4"/>
        <v>43</v>
      </c>
    </row>
    <row r="133" spans="1:16" s="28" customFormat="1" x14ac:dyDescent="0.25">
      <c r="A133" s="28" t="s">
        <v>3972</v>
      </c>
      <c r="B133" s="28" t="s">
        <v>3973</v>
      </c>
      <c r="C133" s="41" t="s">
        <v>3974</v>
      </c>
      <c r="E133" s="42">
        <v>46084</v>
      </c>
      <c r="F133" s="43" t="s">
        <v>4002</v>
      </c>
      <c r="G133" s="28">
        <v>35.53</v>
      </c>
      <c r="H133" s="28" t="s">
        <v>227</v>
      </c>
      <c r="I133" s="28" t="s">
        <v>16</v>
      </c>
      <c r="J133" s="41" t="s">
        <v>4346</v>
      </c>
      <c r="K133" s="28">
        <v>3369</v>
      </c>
      <c r="L133" s="28" t="s">
        <v>34</v>
      </c>
      <c r="M133" s="28" t="s">
        <v>4337</v>
      </c>
      <c r="N133" s="28" t="s">
        <v>500</v>
      </c>
      <c r="O133" s="47"/>
      <c r="P133" s="28">
        <f t="shared" si="4"/>
        <v>62</v>
      </c>
    </row>
    <row r="134" spans="1:16" s="28" customFormat="1" x14ac:dyDescent="0.25">
      <c r="A134" s="28" t="s">
        <v>3972</v>
      </c>
      <c r="B134" s="28" t="s">
        <v>3973</v>
      </c>
      <c r="C134" s="41" t="s">
        <v>3974</v>
      </c>
      <c r="E134" s="42">
        <v>46084</v>
      </c>
      <c r="F134" s="28" t="s">
        <v>4729</v>
      </c>
      <c r="G134" s="28">
        <v>8</v>
      </c>
      <c r="H134" s="28" t="s">
        <v>227</v>
      </c>
      <c r="I134" s="28" t="s">
        <v>3922</v>
      </c>
      <c r="J134" s="41" t="s">
        <v>29</v>
      </c>
      <c r="K134" s="28">
        <v>3369</v>
      </c>
      <c r="L134" s="28" t="s">
        <v>34</v>
      </c>
      <c r="M134" s="28" t="s">
        <v>4337</v>
      </c>
      <c r="N134" s="28" t="s">
        <v>500</v>
      </c>
      <c r="O134" s="47"/>
      <c r="P134" s="28">
        <f t="shared" si="4"/>
        <v>58</v>
      </c>
    </row>
    <row r="135" spans="1:16" s="28" customFormat="1" x14ac:dyDescent="0.25">
      <c r="A135" s="28" t="s">
        <v>3972</v>
      </c>
      <c r="B135" s="28" t="s">
        <v>3973</v>
      </c>
      <c r="C135" s="41" t="s">
        <v>3974</v>
      </c>
      <c r="E135" s="42">
        <v>46084</v>
      </c>
      <c r="F135" s="28" t="s">
        <v>4002</v>
      </c>
      <c r="G135" s="28">
        <v>6.76</v>
      </c>
      <c r="H135" s="28" t="s">
        <v>227</v>
      </c>
      <c r="I135" s="28" t="s">
        <v>16</v>
      </c>
      <c r="J135" s="41" t="s">
        <v>994</v>
      </c>
      <c r="K135" s="28">
        <v>3369</v>
      </c>
      <c r="L135" s="28" t="s">
        <v>34</v>
      </c>
      <c r="M135" s="28" t="s">
        <v>4337</v>
      </c>
      <c r="N135" s="28" t="s">
        <v>500</v>
      </c>
      <c r="O135" s="47"/>
      <c r="P135" s="28">
        <f t="shared" si="4"/>
        <v>68</v>
      </c>
    </row>
    <row r="136" spans="1:16" s="28" customFormat="1" x14ac:dyDescent="0.25">
      <c r="A136" s="28" t="s">
        <v>3972</v>
      </c>
      <c r="B136" s="28" t="s">
        <v>3973</v>
      </c>
      <c r="C136" s="41" t="s">
        <v>3974</v>
      </c>
      <c r="E136" s="42">
        <v>46084</v>
      </c>
      <c r="F136" s="28" t="s">
        <v>4002</v>
      </c>
      <c r="G136" s="28">
        <v>34.35</v>
      </c>
      <c r="H136" s="28" t="s">
        <v>227</v>
      </c>
      <c r="I136" s="28" t="s">
        <v>16</v>
      </c>
      <c r="J136" s="41" t="s">
        <v>1232</v>
      </c>
      <c r="K136" s="28">
        <v>3369</v>
      </c>
      <c r="L136" s="28" t="s">
        <v>34</v>
      </c>
      <c r="M136" s="28" t="s">
        <v>4337</v>
      </c>
      <c r="N136" s="28" t="s">
        <v>500</v>
      </c>
      <c r="O136" s="47"/>
      <c r="P136" s="28">
        <f t="shared" si="4"/>
        <v>58</v>
      </c>
    </row>
    <row r="137" spans="1:16" s="28" customFormat="1" x14ac:dyDescent="0.25">
      <c r="A137" s="28" t="s">
        <v>3972</v>
      </c>
      <c r="B137" s="28" t="s">
        <v>3973</v>
      </c>
      <c r="C137" s="41" t="s">
        <v>3974</v>
      </c>
      <c r="E137" s="42">
        <v>46084</v>
      </c>
      <c r="F137" s="28" t="s">
        <v>4037</v>
      </c>
      <c r="G137" s="28">
        <v>396.12</v>
      </c>
      <c r="H137" s="28" t="s">
        <v>227</v>
      </c>
      <c r="I137" s="28" t="s">
        <v>3864</v>
      </c>
      <c r="J137" s="41" t="s">
        <v>1232</v>
      </c>
      <c r="K137" s="28">
        <v>3369</v>
      </c>
      <c r="L137" s="28" t="s">
        <v>34</v>
      </c>
      <c r="M137" s="28" t="s">
        <v>4337</v>
      </c>
      <c r="N137" s="28" t="s">
        <v>500</v>
      </c>
      <c r="O137" s="47"/>
      <c r="P137" s="28">
        <f t="shared" si="4"/>
        <v>54</v>
      </c>
    </row>
    <row r="138" spans="1:16" s="28" customFormat="1" ht="30" x14ac:dyDescent="0.25">
      <c r="A138" s="28" t="s">
        <v>3814</v>
      </c>
      <c r="C138" s="41" t="s">
        <v>3815</v>
      </c>
      <c r="E138" s="42">
        <v>46057</v>
      </c>
      <c r="F138" s="43" t="s">
        <v>4730</v>
      </c>
      <c r="G138" s="28">
        <v>25</v>
      </c>
      <c r="H138" s="28" t="s">
        <v>227</v>
      </c>
      <c r="I138" s="28" t="s">
        <v>16</v>
      </c>
      <c r="J138" s="41" t="s">
        <v>937</v>
      </c>
      <c r="K138" s="28">
        <v>3500</v>
      </c>
      <c r="L138" s="43" t="s">
        <v>3820</v>
      </c>
      <c r="M138" s="28" t="s">
        <v>4337</v>
      </c>
      <c r="N138" s="28" t="s">
        <v>505</v>
      </c>
      <c r="O138" s="60" t="s">
        <v>4804</v>
      </c>
      <c r="P138" s="28">
        <f t="shared" si="4"/>
        <v>47</v>
      </c>
    </row>
    <row r="139" spans="1:16" s="28" customFormat="1" ht="30" x14ac:dyDescent="0.25">
      <c r="A139" s="28" t="s">
        <v>3814</v>
      </c>
      <c r="C139" s="41" t="s">
        <v>3815</v>
      </c>
      <c r="E139" s="42">
        <v>46057</v>
      </c>
      <c r="F139" s="43" t="s">
        <v>4731</v>
      </c>
      <c r="G139" s="28">
        <v>25</v>
      </c>
      <c r="H139" s="28" t="s">
        <v>227</v>
      </c>
      <c r="I139" s="28" t="s">
        <v>16</v>
      </c>
      <c r="J139" s="41" t="s">
        <v>937</v>
      </c>
      <c r="K139" s="28">
        <v>3500</v>
      </c>
      <c r="L139" s="43" t="s">
        <v>3820</v>
      </c>
      <c r="M139" s="28" t="s">
        <v>4337</v>
      </c>
      <c r="N139" s="28" t="s">
        <v>505</v>
      </c>
      <c r="O139" s="60" t="s">
        <v>4804</v>
      </c>
      <c r="P139" s="28">
        <f t="shared" si="4"/>
        <v>47</v>
      </c>
    </row>
    <row r="140" spans="1:16" s="28" customFormat="1" ht="30" x14ac:dyDescent="0.25">
      <c r="A140" s="28" t="s">
        <v>3814</v>
      </c>
      <c r="C140" s="41" t="s">
        <v>3815</v>
      </c>
      <c r="E140" s="42">
        <v>46057</v>
      </c>
      <c r="F140" s="43" t="s">
        <v>4732</v>
      </c>
      <c r="G140" s="28">
        <v>25</v>
      </c>
      <c r="H140" s="28" t="s">
        <v>227</v>
      </c>
      <c r="I140" s="28" t="s">
        <v>16</v>
      </c>
      <c r="J140" s="41" t="s">
        <v>937</v>
      </c>
      <c r="K140" s="28">
        <v>3500</v>
      </c>
      <c r="L140" s="43" t="s">
        <v>3820</v>
      </c>
      <c r="M140" s="28" t="s">
        <v>4337</v>
      </c>
      <c r="N140" s="28" t="s">
        <v>505</v>
      </c>
      <c r="O140" s="60" t="s">
        <v>4804</v>
      </c>
      <c r="P140" s="28">
        <f t="shared" si="4"/>
        <v>47</v>
      </c>
    </row>
    <row r="141" spans="1:16" s="28" customFormat="1" ht="30" x14ac:dyDescent="0.25">
      <c r="A141" s="28" t="s">
        <v>3814</v>
      </c>
      <c r="C141" s="41" t="s">
        <v>3815</v>
      </c>
      <c r="E141" s="42">
        <v>46057</v>
      </c>
      <c r="F141" s="43" t="s">
        <v>4733</v>
      </c>
      <c r="G141" s="28">
        <v>25</v>
      </c>
      <c r="H141" s="28" t="s">
        <v>227</v>
      </c>
      <c r="I141" s="28" t="s">
        <v>16</v>
      </c>
      <c r="J141" s="41" t="s">
        <v>937</v>
      </c>
      <c r="K141" s="28">
        <v>3500</v>
      </c>
      <c r="L141" s="43" t="s">
        <v>3820</v>
      </c>
      <c r="M141" s="28" t="s">
        <v>4337</v>
      </c>
      <c r="N141" s="28" t="s">
        <v>505</v>
      </c>
      <c r="O141" s="60" t="s">
        <v>4804</v>
      </c>
      <c r="P141" s="28">
        <f t="shared" si="4"/>
        <v>45</v>
      </c>
    </row>
    <row r="142" spans="1:16" s="28" customFormat="1" x14ac:dyDescent="0.25">
      <c r="A142" s="28" t="s">
        <v>3814</v>
      </c>
      <c r="C142" s="41" t="s">
        <v>3815</v>
      </c>
      <c r="E142" s="42">
        <v>46057</v>
      </c>
      <c r="F142" s="43" t="s">
        <v>4734</v>
      </c>
      <c r="G142" s="28">
        <v>17.170000000000002</v>
      </c>
      <c r="H142" s="28" t="s">
        <v>227</v>
      </c>
      <c r="I142" s="28" t="s">
        <v>16</v>
      </c>
      <c r="J142" s="41" t="s">
        <v>937</v>
      </c>
      <c r="K142" s="55">
        <v>3500</v>
      </c>
      <c r="L142" s="55" t="s">
        <v>34</v>
      </c>
      <c r="M142" s="28" t="s">
        <v>4337</v>
      </c>
      <c r="N142" s="28" t="s">
        <v>505</v>
      </c>
      <c r="O142" s="47"/>
      <c r="P142" s="28">
        <f t="shared" si="4"/>
        <v>48</v>
      </c>
    </row>
    <row r="143" spans="1:16" s="28" customFormat="1" x14ac:dyDescent="0.25">
      <c r="A143" s="28" t="s">
        <v>3814</v>
      </c>
      <c r="C143" s="41" t="s">
        <v>3815</v>
      </c>
      <c r="E143" s="42">
        <v>46064</v>
      </c>
      <c r="F143" s="61" t="s">
        <v>4767</v>
      </c>
      <c r="G143" s="28">
        <v>276.08999999999997</v>
      </c>
      <c r="H143" s="28" t="s">
        <v>227</v>
      </c>
      <c r="I143" s="28" t="s">
        <v>16</v>
      </c>
      <c r="J143" s="41" t="s">
        <v>250</v>
      </c>
      <c r="K143" s="55">
        <v>3336</v>
      </c>
      <c r="L143" s="55" t="s">
        <v>34</v>
      </c>
      <c r="M143" s="28" t="s">
        <v>4337</v>
      </c>
      <c r="N143" s="28" t="s">
        <v>505</v>
      </c>
      <c r="O143" s="48" t="s">
        <v>4769</v>
      </c>
      <c r="P143" s="28">
        <f t="shared" si="4"/>
        <v>65</v>
      </c>
    </row>
    <row r="144" spans="1:16" s="28" customFormat="1" x14ac:dyDescent="0.25">
      <c r="A144" s="28" t="s">
        <v>3814</v>
      </c>
      <c r="C144" s="41" t="s">
        <v>3815</v>
      </c>
      <c r="E144" s="42">
        <v>46064</v>
      </c>
      <c r="F144" s="61" t="s">
        <v>4768</v>
      </c>
      <c r="G144" s="28">
        <v>249.09</v>
      </c>
      <c r="H144" s="28" t="s">
        <v>227</v>
      </c>
      <c r="I144" s="28" t="s">
        <v>16</v>
      </c>
      <c r="J144" s="41" t="s">
        <v>250</v>
      </c>
      <c r="K144" s="55">
        <v>3336</v>
      </c>
      <c r="L144" s="55" t="s">
        <v>34</v>
      </c>
      <c r="M144" s="28" t="s">
        <v>4337</v>
      </c>
      <c r="N144" s="28" t="s">
        <v>505</v>
      </c>
      <c r="O144" s="48" t="s">
        <v>4772</v>
      </c>
      <c r="P144" s="28">
        <f t="shared" si="4"/>
        <v>69</v>
      </c>
    </row>
    <row r="145" spans="1:16" s="28" customFormat="1" ht="30" x14ac:dyDescent="0.25">
      <c r="A145" s="28" t="s">
        <v>3814</v>
      </c>
      <c r="C145" s="41" t="s">
        <v>3815</v>
      </c>
      <c r="E145" s="42">
        <v>46072</v>
      </c>
      <c r="F145" s="43" t="s">
        <v>4735</v>
      </c>
      <c r="G145" s="28">
        <v>45.09</v>
      </c>
      <c r="H145" s="28" t="s">
        <v>227</v>
      </c>
      <c r="I145" s="43" t="s">
        <v>3822</v>
      </c>
      <c r="J145" s="41" t="s">
        <v>3527</v>
      </c>
      <c r="K145" s="28">
        <v>3500</v>
      </c>
      <c r="L145" s="28" t="s">
        <v>3820</v>
      </c>
      <c r="M145" s="28" t="s">
        <v>4337</v>
      </c>
      <c r="N145" s="28" t="s">
        <v>505</v>
      </c>
      <c r="O145" s="48" t="s">
        <v>4764</v>
      </c>
      <c r="P145" s="28">
        <f t="shared" si="4"/>
        <v>51</v>
      </c>
    </row>
    <row r="146" spans="1:16" s="28" customFormat="1" x14ac:dyDescent="0.25">
      <c r="A146" s="28" t="s">
        <v>3814</v>
      </c>
      <c r="C146" s="41" t="s">
        <v>3815</v>
      </c>
      <c r="E146" s="42">
        <v>46076</v>
      </c>
      <c r="F146" s="43" t="s">
        <v>4735</v>
      </c>
      <c r="G146" s="28">
        <v>15.78</v>
      </c>
      <c r="H146" s="28" t="s">
        <v>227</v>
      </c>
      <c r="I146" s="28" t="s">
        <v>3822</v>
      </c>
      <c r="J146" s="41" t="s">
        <v>598</v>
      </c>
      <c r="K146" s="28">
        <v>3500</v>
      </c>
      <c r="L146" s="28" t="s">
        <v>3820</v>
      </c>
      <c r="M146" s="28" t="s">
        <v>4337</v>
      </c>
      <c r="N146" s="28" t="s">
        <v>505</v>
      </c>
      <c r="O146" s="47"/>
      <c r="P146" s="28">
        <f t="shared" si="4"/>
        <v>51</v>
      </c>
    </row>
    <row r="147" spans="1:16" s="28" customFormat="1" x14ac:dyDescent="0.25">
      <c r="A147" s="28" t="s">
        <v>3814</v>
      </c>
      <c r="C147" s="41" t="s">
        <v>3815</v>
      </c>
      <c r="E147" s="42">
        <v>46076</v>
      </c>
      <c r="F147" s="43" t="s">
        <v>4735</v>
      </c>
      <c r="G147" s="28">
        <v>105.21</v>
      </c>
      <c r="H147" s="28" t="s">
        <v>227</v>
      </c>
      <c r="I147" s="28" t="s">
        <v>3822</v>
      </c>
      <c r="J147" s="41" t="s">
        <v>598</v>
      </c>
      <c r="K147" s="28">
        <v>3500</v>
      </c>
      <c r="L147" s="28" t="s">
        <v>3820</v>
      </c>
      <c r="M147" s="28" t="s">
        <v>4337</v>
      </c>
      <c r="N147" s="28" t="s">
        <v>505</v>
      </c>
      <c r="O147" s="47"/>
      <c r="P147" s="28">
        <f t="shared" si="4"/>
        <v>51</v>
      </c>
    </row>
    <row r="148" spans="1:16" s="28" customFormat="1" x14ac:dyDescent="0.25">
      <c r="A148" s="28" t="s">
        <v>3814</v>
      </c>
      <c r="C148" s="41" t="s">
        <v>3815</v>
      </c>
      <c r="E148" s="42">
        <v>46078</v>
      </c>
      <c r="F148" s="43" t="s">
        <v>4735</v>
      </c>
      <c r="G148" s="28">
        <v>32.24</v>
      </c>
      <c r="H148" s="28" t="s">
        <v>227</v>
      </c>
      <c r="I148" s="28" t="s">
        <v>3822</v>
      </c>
      <c r="J148" s="41" t="s">
        <v>598</v>
      </c>
      <c r="K148" s="28">
        <v>3500</v>
      </c>
      <c r="L148" s="28" t="s">
        <v>3820</v>
      </c>
      <c r="M148" s="28" t="s">
        <v>4337</v>
      </c>
      <c r="N148" s="28" t="s">
        <v>505</v>
      </c>
      <c r="O148" s="47"/>
      <c r="P148" s="28">
        <f t="shared" si="4"/>
        <v>51</v>
      </c>
    </row>
    <row r="149" spans="1:16" s="28" customFormat="1" x14ac:dyDescent="0.25">
      <c r="A149" s="28" t="s">
        <v>3814</v>
      </c>
      <c r="C149" s="41" t="s">
        <v>3815</v>
      </c>
      <c r="E149" s="42">
        <v>46082</v>
      </c>
      <c r="F149" s="43" t="s">
        <v>4736</v>
      </c>
      <c r="G149" s="28">
        <v>130.63</v>
      </c>
      <c r="H149" s="28" t="s">
        <v>227</v>
      </c>
      <c r="I149" s="28" t="s">
        <v>3819</v>
      </c>
      <c r="J149" s="41" t="s">
        <v>1165</v>
      </c>
      <c r="K149" s="28">
        <v>3500</v>
      </c>
      <c r="L149" s="28" t="s">
        <v>3820</v>
      </c>
      <c r="M149" s="28" t="s">
        <v>4337</v>
      </c>
      <c r="N149" s="28" t="s">
        <v>505</v>
      </c>
      <c r="O149" s="47"/>
      <c r="P149" s="28">
        <f t="shared" si="4"/>
        <v>46</v>
      </c>
    </row>
    <row r="150" spans="1:16" s="28" customFormat="1" x14ac:dyDescent="0.25">
      <c r="A150" s="28" t="s">
        <v>3814</v>
      </c>
      <c r="C150" s="41" t="s">
        <v>3815</v>
      </c>
      <c r="E150" s="42">
        <v>46084</v>
      </c>
      <c r="F150" s="43" t="s">
        <v>4736</v>
      </c>
      <c r="G150" s="28">
        <v>52.39</v>
      </c>
      <c r="H150" s="28" t="s">
        <v>227</v>
      </c>
      <c r="I150" s="28" t="s">
        <v>3819</v>
      </c>
      <c r="J150" s="41" t="s">
        <v>3752</v>
      </c>
      <c r="K150" s="28">
        <v>3500</v>
      </c>
      <c r="L150" s="28" t="s">
        <v>3820</v>
      </c>
      <c r="M150" s="28" t="s">
        <v>4337</v>
      </c>
      <c r="N150" s="28" t="s">
        <v>505</v>
      </c>
      <c r="O150" s="47"/>
      <c r="P150" s="28">
        <f t="shared" si="4"/>
        <v>48</v>
      </c>
    </row>
    <row r="151" spans="1:16" s="28" customFormat="1" x14ac:dyDescent="0.25">
      <c r="A151" s="28" t="s">
        <v>3814</v>
      </c>
      <c r="C151" s="41" t="s">
        <v>3815</v>
      </c>
      <c r="E151" s="42">
        <v>46084</v>
      </c>
      <c r="F151" s="43" t="s">
        <v>4770</v>
      </c>
      <c r="G151" s="28">
        <v>242.6</v>
      </c>
      <c r="H151" s="28" t="s">
        <v>227</v>
      </c>
      <c r="I151" s="28" t="s">
        <v>16</v>
      </c>
      <c r="J151" s="41" t="s">
        <v>250</v>
      </c>
      <c r="K151" s="28">
        <v>3369</v>
      </c>
      <c r="L151" s="28" t="s">
        <v>34</v>
      </c>
      <c r="M151" s="28" t="s">
        <v>4337</v>
      </c>
      <c r="N151" s="28" t="s">
        <v>505</v>
      </c>
      <c r="O151" s="48" t="s">
        <v>4773</v>
      </c>
      <c r="P151" s="28">
        <f t="shared" si="4"/>
        <v>58</v>
      </c>
    </row>
    <row r="152" spans="1:16" s="28" customFormat="1" x14ac:dyDescent="0.25">
      <c r="A152" s="28" t="s">
        <v>3814</v>
      </c>
      <c r="C152" s="41" t="s">
        <v>3815</v>
      </c>
      <c r="E152" s="42">
        <v>46084</v>
      </c>
      <c r="F152" s="43" t="s">
        <v>4771</v>
      </c>
      <c r="G152" s="28">
        <v>528</v>
      </c>
      <c r="H152" s="28" t="s">
        <v>227</v>
      </c>
      <c r="I152" s="28" t="s">
        <v>16</v>
      </c>
      <c r="J152" s="41" t="s">
        <v>250</v>
      </c>
      <c r="K152" s="28">
        <v>3369</v>
      </c>
      <c r="L152" s="28" t="s">
        <v>34</v>
      </c>
      <c r="M152" s="28" t="s">
        <v>4337</v>
      </c>
      <c r="N152" s="28" t="s">
        <v>505</v>
      </c>
      <c r="O152" s="48" t="s">
        <v>4774</v>
      </c>
      <c r="P152" s="28">
        <f t="shared" si="4"/>
        <v>54</v>
      </c>
    </row>
    <row r="153" spans="1:16" s="28" customFormat="1" x14ac:dyDescent="0.25">
      <c r="A153" s="28" t="s">
        <v>3814</v>
      </c>
      <c r="C153" s="41" t="s">
        <v>3815</v>
      </c>
      <c r="E153" s="42">
        <v>46084</v>
      </c>
      <c r="F153" s="43" t="s">
        <v>4737</v>
      </c>
      <c r="G153" s="28">
        <v>25</v>
      </c>
      <c r="H153" s="28" t="s">
        <v>227</v>
      </c>
      <c r="I153" s="28" t="s">
        <v>16</v>
      </c>
      <c r="J153" s="41" t="s">
        <v>232</v>
      </c>
      <c r="K153" s="28">
        <v>3500</v>
      </c>
      <c r="L153" s="28" t="s">
        <v>34</v>
      </c>
      <c r="M153" s="28" t="s">
        <v>4337</v>
      </c>
      <c r="N153" s="28" t="s">
        <v>505</v>
      </c>
      <c r="O153" s="47"/>
      <c r="P153" s="28">
        <f t="shared" si="4"/>
        <v>39</v>
      </c>
    </row>
    <row r="154" spans="1:16" s="28" customFormat="1" x14ac:dyDescent="0.25">
      <c r="A154" s="28" t="s">
        <v>3814</v>
      </c>
      <c r="C154" s="41" t="s">
        <v>3815</v>
      </c>
      <c r="E154" s="42">
        <v>46084</v>
      </c>
      <c r="F154" s="43" t="s">
        <v>4738</v>
      </c>
      <c r="G154" s="28">
        <v>19.79</v>
      </c>
      <c r="H154" s="28" t="s">
        <v>227</v>
      </c>
      <c r="I154" s="28" t="s">
        <v>16</v>
      </c>
      <c r="J154" s="41" t="s">
        <v>232</v>
      </c>
      <c r="K154" s="28">
        <v>3500</v>
      </c>
      <c r="L154" s="28" t="s">
        <v>34</v>
      </c>
      <c r="M154" s="28" t="s">
        <v>4337</v>
      </c>
      <c r="N154" s="28" t="s">
        <v>505</v>
      </c>
      <c r="O154" s="47"/>
      <c r="P154" s="28">
        <f t="shared" si="4"/>
        <v>39</v>
      </c>
    </row>
    <row r="155" spans="1:16" ht="15.75" thickBot="1" x14ac:dyDescent="0.3">
      <c r="F155" s="38" t="s">
        <v>4505</v>
      </c>
      <c r="G155" s="38">
        <f>SUM(G2:G154)</f>
        <v>47059.169999999969</v>
      </c>
    </row>
    <row r="156" spans="1:16" ht="15.75" thickTop="1" x14ac:dyDescent="0.25">
      <c r="K156" s="55"/>
      <c r="L156" s="55"/>
    </row>
  </sheetData>
  <autoFilter ref="A1:P155" xr:uid="{AEB86BAB-C071-4A25-97C3-B8D55F9C3DB3}"/>
  <sortState xmlns:xlrd2="http://schemas.microsoft.com/office/spreadsheetml/2017/richdata2" ref="A2:P154">
    <sortCondition ref="C2:C154"/>
    <sortCondition ref="E2:E154"/>
  </sortState>
  <pageMargins left="0.7" right="0.7" top="0.75" bottom="0.75" header="0.3" footer="0.3"/>
  <pageSetup scale="3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F42BD-9A9E-4195-83B6-3D50FCA0394C}">
  <dimension ref="A1:P13"/>
  <sheetViews>
    <sheetView zoomScale="80" zoomScaleNormal="80" workbookViewId="0">
      <pane ySplit="1" topLeftCell="A2" activePane="bottomLeft" state="frozen"/>
      <selection pane="bottomLeft" activeCell="L22" sqref="L22"/>
    </sheetView>
  </sheetViews>
  <sheetFormatPr defaultColWidth="9.140625" defaultRowHeight="15" x14ac:dyDescent="0.25"/>
  <cols>
    <col min="1" max="1" width="12.28515625" style="34" customWidth="1"/>
    <col min="2" max="2" width="14.5703125" style="34" customWidth="1"/>
    <col min="3" max="3" width="9" style="35" customWidth="1"/>
    <col min="4" max="4" width="4" style="34" customWidth="1"/>
    <col min="5" max="5" width="11" style="34" customWidth="1"/>
    <col min="6" max="6" width="40.7109375" style="34" bestFit="1" customWidth="1"/>
    <col min="7" max="7" width="15.140625" style="34" bestFit="1" customWidth="1"/>
    <col min="8" max="8" width="21.42578125" style="34" customWidth="1"/>
    <col min="9" max="9" width="20.28515625" style="34" customWidth="1"/>
    <col min="10" max="10" width="16.85546875" style="35" customWidth="1"/>
    <col min="11" max="11" width="7.28515625" style="34" bestFit="1" customWidth="1"/>
    <col min="12" max="12" width="11.28515625" style="34" bestFit="1" customWidth="1"/>
    <col min="13" max="13" width="22.7109375" style="34" bestFit="1" customWidth="1"/>
    <col min="14" max="14" width="12.42578125" style="34" bestFit="1" customWidth="1"/>
    <col min="15" max="15" width="34.85546875" style="34" customWidth="1"/>
    <col min="16" max="16" width="4.5703125" style="34" bestFit="1" customWidth="1"/>
    <col min="17" max="16384" width="9.140625" style="34"/>
  </cols>
  <sheetData>
    <row r="1" spans="1:16" s="37" customFormat="1" x14ac:dyDescent="0.25">
      <c r="A1" s="36" t="s">
        <v>0</v>
      </c>
      <c r="B1" s="36" t="s">
        <v>1</v>
      </c>
      <c r="C1" s="36" t="s">
        <v>2</v>
      </c>
      <c r="D1" s="36" t="s">
        <v>3</v>
      </c>
      <c r="E1" s="36" t="s">
        <v>4</v>
      </c>
      <c r="F1" s="36" t="s">
        <v>5</v>
      </c>
      <c r="G1" s="36" t="s">
        <v>6</v>
      </c>
      <c r="H1" s="36" t="s">
        <v>7</v>
      </c>
      <c r="I1" s="36" t="s">
        <v>8</v>
      </c>
      <c r="J1" s="36" t="s">
        <v>10</v>
      </c>
      <c r="K1" s="36" t="s">
        <v>11</v>
      </c>
      <c r="L1" s="36" t="s">
        <v>12</v>
      </c>
      <c r="M1" s="36" t="s">
        <v>13</v>
      </c>
      <c r="N1" s="36" t="s">
        <v>14</v>
      </c>
      <c r="P1" s="37" t="s">
        <v>4495</v>
      </c>
    </row>
    <row r="2" spans="1:16" s="28" customFormat="1" x14ac:dyDescent="0.25">
      <c r="A2" s="28" t="s">
        <v>3837</v>
      </c>
      <c r="B2" s="28" t="s">
        <v>3838</v>
      </c>
      <c r="C2" s="41" t="s">
        <v>3839</v>
      </c>
      <c r="E2" s="42">
        <v>46060</v>
      </c>
      <c r="F2" s="28" t="s">
        <v>3840</v>
      </c>
      <c r="G2" s="28">
        <v>24.33</v>
      </c>
      <c r="H2" s="28" t="s">
        <v>227</v>
      </c>
      <c r="I2" s="28" t="s">
        <v>16</v>
      </c>
      <c r="J2" s="41" t="s">
        <v>1035</v>
      </c>
      <c r="K2" s="28">
        <v>7500</v>
      </c>
      <c r="L2" s="28" t="s">
        <v>171</v>
      </c>
      <c r="M2" s="28" t="s">
        <v>4337</v>
      </c>
      <c r="N2" s="28" t="s">
        <v>321</v>
      </c>
      <c r="P2" s="28">
        <f t="shared" ref="P2:P11" si="0">LEN(F2&amp;J2)+12</f>
        <v>39</v>
      </c>
    </row>
    <row r="3" spans="1:16" s="28" customFormat="1" x14ac:dyDescent="0.25">
      <c r="A3" s="28" t="s">
        <v>3837</v>
      </c>
      <c r="B3" s="28" t="s">
        <v>3838</v>
      </c>
      <c r="C3" s="41" t="s">
        <v>3839</v>
      </c>
      <c r="E3" s="42">
        <v>46060</v>
      </c>
      <c r="F3" s="28" t="s">
        <v>3848</v>
      </c>
      <c r="G3" s="28">
        <v>59.52</v>
      </c>
      <c r="H3" s="28" t="s">
        <v>227</v>
      </c>
      <c r="I3" s="28" t="s">
        <v>3822</v>
      </c>
      <c r="J3" s="41" t="s">
        <v>1922</v>
      </c>
      <c r="K3" s="28">
        <v>7500</v>
      </c>
      <c r="L3" s="28" t="s">
        <v>171</v>
      </c>
      <c r="M3" s="28" t="s">
        <v>4337</v>
      </c>
      <c r="N3" s="28" t="s">
        <v>321</v>
      </c>
      <c r="P3" s="28">
        <f t="shared" si="0"/>
        <v>44</v>
      </c>
    </row>
    <row r="4" spans="1:16" s="28" customFormat="1" x14ac:dyDescent="0.25">
      <c r="A4" s="28" t="s">
        <v>3837</v>
      </c>
      <c r="B4" s="28" t="s">
        <v>3838</v>
      </c>
      <c r="C4" s="41" t="s">
        <v>3839</v>
      </c>
      <c r="E4" s="42">
        <v>46062</v>
      </c>
      <c r="F4" s="43" t="s">
        <v>4742</v>
      </c>
      <c r="G4" s="28">
        <v>849.81</v>
      </c>
      <c r="H4" s="28" t="s">
        <v>227</v>
      </c>
      <c r="I4" s="28" t="s">
        <v>3594</v>
      </c>
      <c r="J4" s="41" t="s">
        <v>41</v>
      </c>
      <c r="K4" s="28">
        <v>1035</v>
      </c>
      <c r="L4" s="28" t="s">
        <v>171</v>
      </c>
      <c r="M4" s="28" t="s">
        <v>4337</v>
      </c>
      <c r="N4" s="28" t="s">
        <v>321</v>
      </c>
      <c r="P4" s="28">
        <f t="shared" si="0"/>
        <v>40</v>
      </c>
    </row>
    <row r="5" spans="1:16" s="28" customFormat="1" x14ac:dyDescent="0.25">
      <c r="A5" s="28" t="s">
        <v>3837</v>
      </c>
      <c r="B5" s="28" t="s">
        <v>3838</v>
      </c>
      <c r="C5" s="41" t="s">
        <v>3839</v>
      </c>
      <c r="E5" s="42">
        <v>46062</v>
      </c>
      <c r="F5" s="43" t="s">
        <v>4743</v>
      </c>
      <c r="G5" s="28">
        <v>30</v>
      </c>
      <c r="H5" s="28" t="s">
        <v>227</v>
      </c>
      <c r="I5" s="28" t="s">
        <v>3594</v>
      </c>
      <c r="J5" s="41" t="s">
        <v>790</v>
      </c>
      <c r="K5" s="28">
        <v>1035</v>
      </c>
      <c r="L5" s="28" t="s">
        <v>171</v>
      </c>
      <c r="M5" s="28" t="s">
        <v>4337</v>
      </c>
      <c r="N5" s="28" t="s">
        <v>321</v>
      </c>
      <c r="P5" s="28">
        <f t="shared" si="0"/>
        <v>49</v>
      </c>
    </row>
    <row r="6" spans="1:16" s="28" customFormat="1" x14ac:dyDescent="0.25">
      <c r="A6" s="28" t="s">
        <v>3837</v>
      </c>
      <c r="B6" s="28" t="s">
        <v>3838</v>
      </c>
      <c r="C6" s="41" t="s">
        <v>3839</v>
      </c>
      <c r="E6" s="42">
        <v>46063</v>
      </c>
      <c r="F6" s="43" t="s">
        <v>4744</v>
      </c>
      <c r="G6" s="28">
        <v>44.55</v>
      </c>
      <c r="H6" s="28" t="s">
        <v>227</v>
      </c>
      <c r="I6" s="28" t="s">
        <v>16</v>
      </c>
      <c r="J6" s="41" t="s">
        <v>4501</v>
      </c>
      <c r="K6" s="28">
        <v>7500</v>
      </c>
      <c r="L6" s="28" t="s">
        <v>171</v>
      </c>
      <c r="M6" s="28" t="s">
        <v>4337</v>
      </c>
      <c r="N6" s="28" t="s">
        <v>321</v>
      </c>
      <c r="P6" s="28">
        <f t="shared" si="0"/>
        <v>42</v>
      </c>
    </row>
    <row r="7" spans="1:16" s="28" customFormat="1" x14ac:dyDescent="0.25">
      <c r="A7" s="28" t="s">
        <v>3837</v>
      </c>
      <c r="B7" s="28" t="s">
        <v>3838</v>
      </c>
      <c r="C7" s="41" t="s">
        <v>3839</v>
      </c>
      <c r="E7" s="42">
        <v>46064</v>
      </c>
      <c r="F7" s="43" t="s">
        <v>4745</v>
      </c>
      <c r="G7" s="28">
        <v>83.01</v>
      </c>
      <c r="H7" s="28" t="s">
        <v>227</v>
      </c>
      <c r="I7" s="28" t="s">
        <v>16</v>
      </c>
      <c r="J7" s="41" t="s">
        <v>2177</v>
      </c>
      <c r="K7" s="28">
        <v>7501</v>
      </c>
      <c r="L7" s="28" t="s">
        <v>171</v>
      </c>
      <c r="M7" s="28" t="s">
        <v>4337</v>
      </c>
      <c r="N7" s="28" t="s">
        <v>321</v>
      </c>
      <c r="P7" s="44">
        <f t="shared" si="0"/>
        <v>59</v>
      </c>
    </row>
    <row r="8" spans="1:16" s="28" customFormat="1" x14ac:dyDescent="0.25">
      <c r="A8" s="28" t="s">
        <v>3837</v>
      </c>
      <c r="B8" s="28" t="s">
        <v>3838</v>
      </c>
      <c r="C8" s="41" t="s">
        <v>3839</v>
      </c>
      <c r="E8" s="42">
        <v>46066</v>
      </c>
      <c r="F8" s="28" t="s">
        <v>3840</v>
      </c>
      <c r="G8" s="28">
        <v>22.67</v>
      </c>
      <c r="H8" s="28" t="s">
        <v>227</v>
      </c>
      <c r="I8" s="28" t="s">
        <v>16</v>
      </c>
      <c r="J8" s="41" t="s">
        <v>1035</v>
      </c>
      <c r="K8" s="28">
        <v>7500</v>
      </c>
      <c r="L8" s="28" t="s">
        <v>171</v>
      </c>
      <c r="M8" s="28" t="s">
        <v>4337</v>
      </c>
      <c r="N8" s="28" t="s">
        <v>321</v>
      </c>
      <c r="P8" s="28">
        <f t="shared" si="0"/>
        <v>39</v>
      </c>
    </row>
    <row r="9" spans="1:16" s="28" customFormat="1" x14ac:dyDescent="0.25">
      <c r="A9" s="28" t="s">
        <v>3837</v>
      </c>
      <c r="B9" s="28" t="s">
        <v>3838</v>
      </c>
      <c r="C9" s="41" t="s">
        <v>3839</v>
      </c>
      <c r="E9" s="42">
        <v>46075</v>
      </c>
      <c r="F9" s="43" t="s">
        <v>4746</v>
      </c>
      <c r="G9" s="28">
        <v>2108.11</v>
      </c>
      <c r="H9" s="28" t="s">
        <v>227</v>
      </c>
      <c r="I9" s="28" t="s">
        <v>3594</v>
      </c>
      <c r="J9" s="41" t="s">
        <v>41</v>
      </c>
      <c r="K9" s="28">
        <v>1035</v>
      </c>
      <c r="L9" s="28" t="s">
        <v>171</v>
      </c>
      <c r="M9" s="28" t="s">
        <v>4337</v>
      </c>
      <c r="N9" s="28" t="s">
        <v>321</v>
      </c>
      <c r="P9" s="28">
        <f t="shared" si="0"/>
        <v>45</v>
      </c>
    </row>
    <row r="10" spans="1:16" s="28" customFormat="1" x14ac:dyDescent="0.25">
      <c r="A10" s="28" t="s">
        <v>3837</v>
      </c>
      <c r="B10" s="28" t="s">
        <v>3838</v>
      </c>
      <c r="C10" s="41" t="s">
        <v>3839</v>
      </c>
      <c r="E10" s="42">
        <v>46075</v>
      </c>
      <c r="F10" s="43" t="s">
        <v>4747</v>
      </c>
      <c r="G10" s="28">
        <v>13.25</v>
      </c>
      <c r="H10" s="28" t="s">
        <v>227</v>
      </c>
      <c r="I10" s="28" t="s">
        <v>3843</v>
      </c>
      <c r="J10" s="41" t="s">
        <v>595</v>
      </c>
      <c r="K10" s="28">
        <v>1035</v>
      </c>
      <c r="L10" s="28" t="s">
        <v>171</v>
      </c>
      <c r="M10" s="28" t="s">
        <v>4337</v>
      </c>
      <c r="N10" s="28" t="s">
        <v>321</v>
      </c>
      <c r="P10" s="44">
        <f t="shared" si="0"/>
        <v>48</v>
      </c>
    </row>
    <row r="11" spans="1:16" s="28" customFormat="1" x14ac:dyDescent="0.25">
      <c r="A11" s="28" t="s">
        <v>3837</v>
      </c>
      <c r="B11" s="28" t="s">
        <v>3838</v>
      </c>
      <c r="C11" s="41" t="s">
        <v>3839</v>
      </c>
      <c r="E11" s="42">
        <v>46086</v>
      </c>
      <c r="F11" s="28" t="s">
        <v>3840</v>
      </c>
      <c r="G11" s="28">
        <v>22.84</v>
      </c>
      <c r="H11" s="28" t="s">
        <v>227</v>
      </c>
      <c r="I11" s="28" t="s">
        <v>16</v>
      </c>
      <c r="J11" s="41" t="s">
        <v>3518</v>
      </c>
      <c r="K11" s="28">
        <v>7500</v>
      </c>
      <c r="L11" s="28" t="s">
        <v>171</v>
      </c>
      <c r="M11" s="28" t="s">
        <v>4337</v>
      </c>
      <c r="N11" s="28" t="s">
        <v>321</v>
      </c>
      <c r="P11" s="28">
        <f t="shared" si="0"/>
        <v>33</v>
      </c>
    </row>
    <row r="12" spans="1:16" ht="15.75" thickBot="1" x14ac:dyDescent="0.3">
      <c r="F12" s="38" t="s">
        <v>4507</v>
      </c>
      <c r="G12" s="38">
        <f>SUM(G2:G11)</f>
        <v>3258.09</v>
      </c>
    </row>
    <row r="13" spans="1:16" ht="15.75" thickTop="1" x14ac:dyDescent="0.25"/>
  </sheetData>
  <sortState xmlns:xlrd2="http://schemas.microsoft.com/office/spreadsheetml/2017/richdata2" ref="A2:P11">
    <sortCondition ref="E2:E1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1A203B48B755F489A6280E44926DB07" ma:contentTypeVersion="12" ma:contentTypeDescription="Create a new document." ma:contentTypeScope="" ma:versionID="577c3de3244b27f64fa1e9e9ced84e67">
  <xsd:schema xmlns:xsd="http://www.w3.org/2001/XMLSchema" xmlns:xs="http://www.w3.org/2001/XMLSchema" xmlns:p="http://schemas.microsoft.com/office/2006/metadata/properties" xmlns:ns2="8e50646f-995c-4725-a726-3db56b24f115" xmlns:ns3="d0aff9bf-d359-4c31-99d8-2935260dafe4" targetNamespace="http://schemas.microsoft.com/office/2006/metadata/properties" ma:root="true" ma:fieldsID="d0ed55ea4738d99c2b1b33dcb3b52eff" ns2:_="" ns3:_="">
    <xsd:import namespace="8e50646f-995c-4725-a726-3db56b24f115"/>
    <xsd:import namespace="d0aff9bf-d359-4c31-99d8-2935260dafe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50646f-995c-4725-a726-3db56b24f1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ff82ec25-2ba4-4ba0-bc10-6c15a04f39d0"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0aff9bf-d359-4c31-99d8-2935260dafe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a3911c53-c393-4f96-97a3-a7883bc744db}" ma:internalName="TaxCatchAll" ma:showField="CatchAllData" ma:web="d0aff9bf-d359-4c31-99d8-2935260dafe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e50646f-995c-4725-a726-3db56b24f115">
      <Terms xmlns="http://schemas.microsoft.com/office/infopath/2007/PartnerControls"/>
    </lcf76f155ced4ddcb4097134ff3c332f>
    <TaxCatchAll xmlns="d0aff9bf-d359-4c31-99d8-2935260dafe4" xsi:nil="true"/>
  </documentManagement>
</p:properties>
</file>

<file path=customXml/itemProps1.xml><?xml version="1.0" encoding="utf-8"?>
<ds:datastoreItem xmlns:ds="http://schemas.openxmlformats.org/officeDocument/2006/customXml" ds:itemID="{20256FC0-A9C8-433E-81BD-6D97AC37EB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50646f-995c-4725-a726-3db56b24f115"/>
    <ds:schemaRef ds:uri="d0aff9bf-d359-4c31-99d8-2935260dafe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0A7D0D-C765-4000-9417-0194FCB13389}">
  <ds:schemaRefs>
    <ds:schemaRef ds:uri="http://schemas.microsoft.com/sharepoint/v3/contenttype/forms"/>
  </ds:schemaRefs>
</ds:datastoreItem>
</file>

<file path=customXml/itemProps3.xml><?xml version="1.0" encoding="utf-8"?>
<ds:datastoreItem xmlns:ds="http://schemas.openxmlformats.org/officeDocument/2006/customXml" ds:itemID="{C6F68A1A-BB86-4460-9BB9-BCD766F776C5}">
  <ds:schemaRefs>
    <ds:schemaRef ds:uri="http://schemas.microsoft.com/office/2006/metadata/properties"/>
    <ds:schemaRef ds:uri="http://schemas.microsoft.com/office/infopath/2007/PartnerControls"/>
    <ds:schemaRef ds:uri="8e50646f-995c-4725-a726-3db56b24f115"/>
    <ds:schemaRef ds:uri="d0aff9bf-d359-4c31-99d8-2935260dafe4"/>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Employee List</vt:lpstr>
      <vt:lpstr>Vendor List</vt:lpstr>
      <vt:lpstr>AmEx Load Raw</vt:lpstr>
      <vt:lpstr>AmEx All</vt:lpstr>
      <vt:lpstr>AEA_Posted</vt:lpstr>
      <vt:lpstr>SBF_Posted</vt:lpstr>
      <vt:lpstr>DEBT_Reviewed</vt:lpstr>
      <vt:lpstr>'Employee List'!Print_Area</vt:lpstr>
      <vt:lpstr>'Employee List'!Print_Titles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Futerman, Allys</dc:creator>
  <cp:lastModifiedBy>Duma, Anna</cp:lastModifiedBy>
  <cp:lastPrinted>2026-03-18T21:25:34Z</cp:lastPrinted>
  <dcterms:created xsi:type="dcterms:W3CDTF">2025-08-01T20:01:32Z</dcterms:created>
  <dcterms:modified xsi:type="dcterms:W3CDTF">2026-03-23T16:42:01Z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0x01010041A203B48B755F489A6280E44926DB07</vt:lpwstr>
  </property>
  <property fmtid="{D5CDD505-2E9C-101B-9397-08002B2CF9AE}" pid="3" name="MediaServiceImageTags">
    <vt:lpwstr/>
  </property>
</Properties>
</file>